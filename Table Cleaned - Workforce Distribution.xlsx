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5EDC4FD-3FD8-4C7A-BDC2-1393B30DD526}" xr6:coauthVersionLast="47" xr6:coauthVersionMax="47" xr10:uidLastSave="{00000000-0000-0000-0000-000000000000}"/>
  <bookViews>
    <workbookView xWindow="-108" yWindow="-108" windowWidth="23256" windowHeight="12456" xr2:uid="{FB9ECF18-382C-4339-9DD9-8450EF76AE82}"/>
  </bookViews>
  <sheets>
    <sheet name="Table" sheetId="1" r:id="rId1"/>
  </sheets>
  <definedNames>
    <definedName name="_xlnm._FilterDatabase" localSheetId="0" hidden="1">Table!$K$1:$K$3001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01" i="1" l="1"/>
  <c r="O3001" i="1" s="1"/>
  <c r="L3001" i="1"/>
  <c r="I3001" i="1"/>
  <c r="J3001" i="1" s="1"/>
  <c r="O3000" i="1"/>
  <c r="N3000" i="1"/>
  <c r="L3000" i="1"/>
  <c r="I3000" i="1"/>
  <c r="J3000" i="1" s="1"/>
  <c r="N2999" i="1"/>
  <c r="O2999" i="1" s="1"/>
  <c r="L2999" i="1"/>
  <c r="J2999" i="1"/>
  <c r="I2999" i="1"/>
  <c r="N2998" i="1"/>
  <c r="O2998" i="1" s="1"/>
  <c r="L2998" i="1"/>
  <c r="I2998" i="1"/>
  <c r="J2998" i="1" s="1"/>
  <c r="O2997" i="1"/>
  <c r="N2997" i="1"/>
  <c r="L2997" i="1"/>
  <c r="I2997" i="1"/>
  <c r="J2997" i="1" s="1"/>
  <c r="O2996" i="1"/>
  <c r="N2996" i="1"/>
  <c r="L2996" i="1"/>
  <c r="J2996" i="1"/>
  <c r="I2996" i="1"/>
  <c r="N2995" i="1"/>
  <c r="O2995" i="1" s="1"/>
  <c r="L2995" i="1"/>
  <c r="J2995" i="1"/>
  <c r="I2995" i="1"/>
  <c r="N2994" i="1"/>
  <c r="O2994" i="1" s="1"/>
  <c r="L2994" i="1"/>
  <c r="I2994" i="1"/>
  <c r="J2994" i="1" s="1"/>
  <c r="O2993" i="1"/>
  <c r="N2993" i="1"/>
  <c r="L2993" i="1"/>
  <c r="I2993" i="1"/>
  <c r="J2993" i="1" s="1"/>
  <c r="O2992" i="1"/>
  <c r="N2992" i="1"/>
  <c r="L2992" i="1"/>
  <c r="J2992" i="1"/>
  <c r="I2992" i="1"/>
  <c r="N2991" i="1"/>
  <c r="O2991" i="1" s="1"/>
  <c r="L2991" i="1"/>
  <c r="J2991" i="1"/>
  <c r="I2991" i="1"/>
  <c r="N2990" i="1"/>
  <c r="O2990" i="1" s="1"/>
  <c r="L2990" i="1"/>
  <c r="I2990" i="1"/>
  <c r="J2990" i="1" s="1"/>
  <c r="O2989" i="1"/>
  <c r="N2989" i="1"/>
  <c r="L2989" i="1"/>
  <c r="I2989" i="1"/>
  <c r="J2989" i="1" s="1"/>
  <c r="O2988" i="1"/>
  <c r="N2988" i="1"/>
  <c r="L2988" i="1"/>
  <c r="J2988" i="1"/>
  <c r="I2988" i="1"/>
  <c r="N2987" i="1"/>
  <c r="O2987" i="1" s="1"/>
  <c r="L2987" i="1"/>
  <c r="J2987" i="1"/>
  <c r="I2987" i="1"/>
  <c r="N2986" i="1"/>
  <c r="O2986" i="1" s="1"/>
  <c r="L2986" i="1"/>
  <c r="I2986" i="1"/>
  <c r="J2986" i="1" s="1"/>
  <c r="O2985" i="1"/>
  <c r="N2985" i="1"/>
  <c r="L2985" i="1"/>
  <c r="I2985" i="1"/>
  <c r="J2985" i="1" s="1"/>
  <c r="O2984" i="1"/>
  <c r="N2984" i="1"/>
  <c r="L2984" i="1"/>
  <c r="J2984" i="1"/>
  <c r="I2984" i="1"/>
  <c r="N2983" i="1"/>
  <c r="O2983" i="1" s="1"/>
  <c r="L2983" i="1"/>
  <c r="J2983" i="1"/>
  <c r="I2983" i="1"/>
  <c r="N2982" i="1"/>
  <c r="O2982" i="1" s="1"/>
  <c r="L2982" i="1"/>
  <c r="I2982" i="1"/>
  <c r="J2982" i="1" s="1"/>
  <c r="O2981" i="1"/>
  <c r="N2981" i="1"/>
  <c r="L2981" i="1"/>
  <c r="I2981" i="1"/>
  <c r="J2981" i="1" s="1"/>
  <c r="O2980" i="1"/>
  <c r="N2980" i="1"/>
  <c r="L2980" i="1"/>
  <c r="J2980" i="1"/>
  <c r="I2980" i="1"/>
  <c r="N2979" i="1"/>
  <c r="O2979" i="1" s="1"/>
  <c r="L2979" i="1"/>
  <c r="J2979" i="1"/>
  <c r="I2979" i="1"/>
  <c r="N2978" i="1"/>
  <c r="O2978" i="1" s="1"/>
  <c r="L2978" i="1"/>
  <c r="I2978" i="1"/>
  <c r="J2978" i="1" s="1"/>
  <c r="O2977" i="1"/>
  <c r="N2977" i="1"/>
  <c r="L2977" i="1"/>
  <c r="I2977" i="1"/>
  <c r="J2977" i="1" s="1"/>
  <c r="O2976" i="1"/>
  <c r="N2976" i="1"/>
  <c r="L2976" i="1"/>
  <c r="J2976" i="1"/>
  <c r="I2976" i="1"/>
  <c r="N2975" i="1"/>
  <c r="O2975" i="1" s="1"/>
  <c r="L2975" i="1"/>
  <c r="J2975" i="1"/>
  <c r="I2975" i="1"/>
  <c r="N2974" i="1"/>
  <c r="O2974" i="1" s="1"/>
  <c r="L2974" i="1"/>
  <c r="I2974" i="1"/>
  <c r="J2974" i="1" s="1"/>
  <c r="O2973" i="1"/>
  <c r="N2973" i="1"/>
  <c r="L2973" i="1"/>
  <c r="I2973" i="1"/>
  <c r="J2973" i="1" s="1"/>
  <c r="O2972" i="1"/>
  <c r="N2972" i="1"/>
  <c r="L2972" i="1"/>
  <c r="J2972" i="1"/>
  <c r="I2972" i="1"/>
  <c r="N2971" i="1"/>
  <c r="O2971" i="1" s="1"/>
  <c r="L2971" i="1"/>
  <c r="J2971" i="1"/>
  <c r="I2971" i="1"/>
  <c r="N2970" i="1"/>
  <c r="O2970" i="1" s="1"/>
  <c r="L2970" i="1"/>
  <c r="I2970" i="1"/>
  <c r="J2970" i="1" s="1"/>
  <c r="O2969" i="1"/>
  <c r="N2969" i="1"/>
  <c r="L2969" i="1"/>
  <c r="I2969" i="1"/>
  <c r="J2969" i="1" s="1"/>
  <c r="O2968" i="1"/>
  <c r="N2968" i="1"/>
  <c r="L2968" i="1"/>
  <c r="J2968" i="1"/>
  <c r="I2968" i="1"/>
  <c r="N2967" i="1"/>
  <c r="O2967" i="1" s="1"/>
  <c r="L2967" i="1"/>
  <c r="J2967" i="1"/>
  <c r="I2967" i="1"/>
  <c r="N2966" i="1"/>
  <c r="O2966" i="1" s="1"/>
  <c r="L2966" i="1"/>
  <c r="I2966" i="1"/>
  <c r="J2966" i="1" s="1"/>
  <c r="O2965" i="1"/>
  <c r="N2965" i="1"/>
  <c r="L2965" i="1"/>
  <c r="I2965" i="1"/>
  <c r="J2965" i="1" s="1"/>
  <c r="O2964" i="1"/>
  <c r="N2964" i="1"/>
  <c r="L2964" i="1"/>
  <c r="J2964" i="1"/>
  <c r="I2964" i="1"/>
  <c r="N2963" i="1"/>
  <c r="O2963" i="1" s="1"/>
  <c r="L2963" i="1"/>
  <c r="J2963" i="1"/>
  <c r="I2963" i="1"/>
  <c r="N2962" i="1"/>
  <c r="O2962" i="1" s="1"/>
  <c r="L2962" i="1"/>
  <c r="I2962" i="1"/>
  <c r="J2962" i="1" s="1"/>
  <c r="O2961" i="1"/>
  <c r="N2961" i="1"/>
  <c r="L2961" i="1"/>
  <c r="I2961" i="1"/>
  <c r="J2961" i="1" s="1"/>
  <c r="O2960" i="1"/>
  <c r="N2960" i="1"/>
  <c r="L2960" i="1"/>
  <c r="J2960" i="1"/>
  <c r="I2960" i="1"/>
  <c r="N2959" i="1"/>
  <c r="O2959" i="1" s="1"/>
  <c r="L2959" i="1"/>
  <c r="J2959" i="1"/>
  <c r="I2959" i="1"/>
  <c r="N2958" i="1"/>
  <c r="O2958" i="1" s="1"/>
  <c r="L2958" i="1"/>
  <c r="I2958" i="1"/>
  <c r="J2958" i="1" s="1"/>
  <c r="O2957" i="1"/>
  <c r="N2957" i="1"/>
  <c r="L2957" i="1"/>
  <c r="I2957" i="1"/>
  <c r="J2957" i="1" s="1"/>
  <c r="O2956" i="1"/>
  <c r="N2956" i="1"/>
  <c r="L2956" i="1"/>
  <c r="J2956" i="1"/>
  <c r="I2956" i="1"/>
  <c r="N2955" i="1"/>
  <c r="O2955" i="1" s="1"/>
  <c r="L2955" i="1"/>
  <c r="J2955" i="1"/>
  <c r="I2955" i="1"/>
  <c r="N2954" i="1"/>
  <c r="O2954" i="1" s="1"/>
  <c r="L2954" i="1"/>
  <c r="I2954" i="1"/>
  <c r="J2954" i="1" s="1"/>
  <c r="O2953" i="1"/>
  <c r="N2953" i="1"/>
  <c r="L2953" i="1"/>
  <c r="I2953" i="1"/>
  <c r="J2953" i="1" s="1"/>
  <c r="O2952" i="1"/>
  <c r="N2952" i="1"/>
  <c r="L2952" i="1"/>
  <c r="J2952" i="1"/>
  <c r="I2952" i="1"/>
  <c r="N2951" i="1"/>
  <c r="O2951" i="1" s="1"/>
  <c r="L2951" i="1"/>
  <c r="J2951" i="1"/>
  <c r="I2951" i="1"/>
  <c r="N2950" i="1"/>
  <c r="O2950" i="1" s="1"/>
  <c r="L2950" i="1"/>
  <c r="I2950" i="1"/>
  <c r="J2950" i="1" s="1"/>
  <c r="O2949" i="1"/>
  <c r="N2949" i="1"/>
  <c r="L2949" i="1"/>
  <c r="I2949" i="1"/>
  <c r="J2949" i="1" s="1"/>
  <c r="O2948" i="1"/>
  <c r="N2948" i="1"/>
  <c r="L2948" i="1"/>
  <c r="J2948" i="1"/>
  <c r="I2948" i="1"/>
  <c r="N2947" i="1"/>
  <c r="O2947" i="1" s="1"/>
  <c r="L2947" i="1"/>
  <c r="J2947" i="1"/>
  <c r="I2947" i="1"/>
  <c r="N2946" i="1"/>
  <c r="O2946" i="1" s="1"/>
  <c r="L2946" i="1"/>
  <c r="I2946" i="1"/>
  <c r="J2946" i="1" s="1"/>
  <c r="O2945" i="1"/>
  <c r="N2945" i="1"/>
  <c r="L2945" i="1"/>
  <c r="I2945" i="1"/>
  <c r="J2945" i="1" s="1"/>
  <c r="O2944" i="1"/>
  <c r="N2944" i="1"/>
  <c r="L2944" i="1"/>
  <c r="J2944" i="1"/>
  <c r="I2944" i="1"/>
  <c r="N2943" i="1"/>
  <c r="O2943" i="1" s="1"/>
  <c r="L2943" i="1"/>
  <c r="J2943" i="1"/>
  <c r="I2943" i="1"/>
  <c r="N2942" i="1"/>
  <c r="O2942" i="1" s="1"/>
  <c r="L2942" i="1"/>
  <c r="I2942" i="1"/>
  <c r="J2942" i="1" s="1"/>
  <c r="O2941" i="1"/>
  <c r="N2941" i="1"/>
  <c r="L2941" i="1"/>
  <c r="I2941" i="1"/>
  <c r="J2941" i="1" s="1"/>
  <c r="O2940" i="1"/>
  <c r="N2940" i="1"/>
  <c r="L2940" i="1"/>
  <c r="J2940" i="1"/>
  <c r="I2940" i="1"/>
  <c r="N2939" i="1"/>
  <c r="O2939" i="1" s="1"/>
  <c r="L2939" i="1"/>
  <c r="J2939" i="1"/>
  <c r="I2939" i="1"/>
  <c r="N2938" i="1"/>
  <c r="O2938" i="1" s="1"/>
  <c r="L2938" i="1"/>
  <c r="I2938" i="1"/>
  <c r="J2938" i="1" s="1"/>
  <c r="O2937" i="1"/>
  <c r="N2937" i="1"/>
  <c r="L2937" i="1"/>
  <c r="I2937" i="1"/>
  <c r="J2937" i="1" s="1"/>
  <c r="O2936" i="1"/>
  <c r="N2936" i="1"/>
  <c r="L2936" i="1"/>
  <c r="J2936" i="1"/>
  <c r="I2936" i="1"/>
  <c r="N2935" i="1"/>
  <c r="O2935" i="1" s="1"/>
  <c r="L2935" i="1"/>
  <c r="J2935" i="1"/>
  <c r="I2935" i="1"/>
  <c r="N2934" i="1"/>
  <c r="O2934" i="1" s="1"/>
  <c r="L2934" i="1"/>
  <c r="I2934" i="1"/>
  <c r="J2934" i="1" s="1"/>
  <c r="O2933" i="1"/>
  <c r="N2933" i="1"/>
  <c r="L2933" i="1"/>
  <c r="I2933" i="1"/>
  <c r="J2933" i="1" s="1"/>
  <c r="O2932" i="1"/>
  <c r="N2932" i="1"/>
  <c r="L2932" i="1"/>
  <c r="J2932" i="1"/>
  <c r="I2932" i="1"/>
  <c r="N2931" i="1"/>
  <c r="O2931" i="1" s="1"/>
  <c r="L2931" i="1"/>
  <c r="J2931" i="1"/>
  <c r="I2931" i="1"/>
  <c r="N2930" i="1"/>
  <c r="O2930" i="1" s="1"/>
  <c r="L2930" i="1"/>
  <c r="I2930" i="1"/>
  <c r="J2930" i="1" s="1"/>
  <c r="O2929" i="1"/>
  <c r="N2929" i="1"/>
  <c r="L2929" i="1"/>
  <c r="I2929" i="1"/>
  <c r="J2929" i="1" s="1"/>
  <c r="O2928" i="1"/>
  <c r="N2928" i="1"/>
  <c r="L2928" i="1"/>
  <c r="J2928" i="1"/>
  <c r="I2928" i="1"/>
  <c r="N2927" i="1"/>
  <c r="O2927" i="1" s="1"/>
  <c r="L2927" i="1"/>
  <c r="J2927" i="1"/>
  <c r="I2927" i="1"/>
  <c r="N2926" i="1"/>
  <c r="O2926" i="1" s="1"/>
  <c r="L2926" i="1"/>
  <c r="I2926" i="1"/>
  <c r="J2926" i="1" s="1"/>
  <c r="N2925" i="1"/>
  <c r="O2925" i="1" s="1"/>
  <c r="L2925" i="1"/>
  <c r="I2925" i="1"/>
  <c r="J2925" i="1" s="1"/>
  <c r="O2924" i="1"/>
  <c r="N2924" i="1"/>
  <c r="L2924" i="1"/>
  <c r="J2924" i="1"/>
  <c r="I2924" i="1"/>
  <c r="N2923" i="1"/>
  <c r="O2923" i="1" s="1"/>
  <c r="L2923" i="1"/>
  <c r="J2923" i="1"/>
  <c r="I2923" i="1"/>
  <c r="N2922" i="1"/>
  <c r="O2922" i="1" s="1"/>
  <c r="L2922" i="1"/>
  <c r="I2922" i="1"/>
  <c r="J2922" i="1" s="1"/>
  <c r="O2921" i="1"/>
  <c r="N2921" i="1"/>
  <c r="L2921" i="1"/>
  <c r="I2921" i="1"/>
  <c r="J2921" i="1" s="1"/>
  <c r="O2920" i="1"/>
  <c r="N2920" i="1"/>
  <c r="L2920" i="1"/>
  <c r="J2920" i="1"/>
  <c r="I2920" i="1"/>
  <c r="N2919" i="1"/>
  <c r="O2919" i="1" s="1"/>
  <c r="L2919" i="1"/>
  <c r="J2919" i="1"/>
  <c r="I2919" i="1"/>
  <c r="N2918" i="1"/>
  <c r="O2918" i="1" s="1"/>
  <c r="L2918" i="1"/>
  <c r="I2918" i="1"/>
  <c r="J2918" i="1" s="1"/>
  <c r="O2917" i="1"/>
  <c r="N2917" i="1"/>
  <c r="L2917" i="1"/>
  <c r="I2917" i="1"/>
  <c r="J2917" i="1" s="1"/>
  <c r="O2916" i="1"/>
  <c r="N2916" i="1"/>
  <c r="L2916" i="1"/>
  <c r="J2916" i="1"/>
  <c r="I2916" i="1"/>
  <c r="N2915" i="1"/>
  <c r="O2915" i="1" s="1"/>
  <c r="L2915" i="1"/>
  <c r="J2915" i="1"/>
  <c r="I2915" i="1"/>
  <c r="N2914" i="1"/>
  <c r="O2914" i="1" s="1"/>
  <c r="L2914" i="1"/>
  <c r="I2914" i="1"/>
  <c r="J2914" i="1" s="1"/>
  <c r="O2913" i="1"/>
  <c r="N2913" i="1"/>
  <c r="L2913" i="1"/>
  <c r="I2913" i="1"/>
  <c r="J2913" i="1" s="1"/>
  <c r="O2912" i="1"/>
  <c r="N2912" i="1"/>
  <c r="L2912" i="1"/>
  <c r="J2912" i="1"/>
  <c r="I2912" i="1"/>
  <c r="N2911" i="1"/>
  <c r="O2911" i="1" s="1"/>
  <c r="L2911" i="1"/>
  <c r="J2911" i="1"/>
  <c r="I2911" i="1"/>
  <c r="N2910" i="1"/>
  <c r="O2910" i="1" s="1"/>
  <c r="L2910" i="1"/>
  <c r="I2910" i="1"/>
  <c r="J2910" i="1" s="1"/>
  <c r="O2909" i="1"/>
  <c r="N2909" i="1"/>
  <c r="L2909" i="1"/>
  <c r="I2909" i="1"/>
  <c r="J2909" i="1" s="1"/>
  <c r="O2908" i="1"/>
  <c r="N2908" i="1"/>
  <c r="L2908" i="1"/>
  <c r="J2908" i="1"/>
  <c r="I2908" i="1"/>
  <c r="N2907" i="1"/>
  <c r="O2907" i="1" s="1"/>
  <c r="L2907" i="1"/>
  <c r="J2907" i="1"/>
  <c r="I2907" i="1"/>
  <c r="N2906" i="1"/>
  <c r="O2906" i="1" s="1"/>
  <c r="L2906" i="1"/>
  <c r="I2906" i="1"/>
  <c r="J2906" i="1" s="1"/>
  <c r="O2905" i="1"/>
  <c r="N2905" i="1"/>
  <c r="L2905" i="1"/>
  <c r="I2905" i="1"/>
  <c r="J2905" i="1" s="1"/>
  <c r="O2904" i="1"/>
  <c r="N2904" i="1"/>
  <c r="L2904" i="1"/>
  <c r="J2904" i="1"/>
  <c r="I2904" i="1"/>
  <c r="N2903" i="1"/>
  <c r="O2903" i="1" s="1"/>
  <c r="L2903" i="1"/>
  <c r="J2903" i="1"/>
  <c r="I2903" i="1"/>
  <c r="N2902" i="1"/>
  <c r="O2902" i="1" s="1"/>
  <c r="L2902" i="1"/>
  <c r="I2902" i="1"/>
  <c r="J2902" i="1" s="1"/>
  <c r="O2901" i="1"/>
  <c r="N2901" i="1"/>
  <c r="L2901" i="1"/>
  <c r="I2901" i="1"/>
  <c r="J2901" i="1" s="1"/>
  <c r="O2900" i="1"/>
  <c r="N2900" i="1"/>
  <c r="L2900" i="1"/>
  <c r="J2900" i="1"/>
  <c r="I2900" i="1"/>
  <c r="N2899" i="1"/>
  <c r="O2899" i="1" s="1"/>
  <c r="L2899" i="1"/>
  <c r="J2899" i="1"/>
  <c r="I2899" i="1"/>
  <c r="N2898" i="1"/>
  <c r="O2898" i="1" s="1"/>
  <c r="L2898" i="1"/>
  <c r="I2898" i="1"/>
  <c r="J2898" i="1" s="1"/>
  <c r="O2897" i="1"/>
  <c r="N2897" i="1"/>
  <c r="L2897" i="1"/>
  <c r="I2897" i="1"/>
  <c r="J2897" i="1" s="1"/>
  <c r="O2896" i="1"/>
  <c r="N2896" i="1"/>
  <c r="L2896" i="1"/>
  <c r="J2896" i="1"/>
  <c r="I2896" i="1"/>
  <c r="N2895" i="1"/>
  <c r="O2895" i="1" s="1"/>
  <c r="L2895" i="1"/>
  <c r="J2895" i="1"/>
  <c r="I2895" i="1"/>
  <c r="N2894" i="1"/>
  <c r="O2894" i="1" s="1"/>
  <c r="L2894" i="1"/>
  <c r="I2894" i="1"/>
  <c r="J2894" i="1" s="1"/>
  <c r="O2893" i="1"/>
  <c r="N2893" i="1"/>
  <c r="L2893" i="1"/>
  <c r="I2893" i="1"/>
  <c r="J2893" i="1" s="1"/>
  <c r="O2892" i="1"/>
  <c r="N2892" i="1"/>
  <c r="L2892" i="1"/>
  <c r="J2892" i="1"/>
  <c r="I2892" i="1"/>
  <c r="N2891" i="1"/>
  <c r="O2891" i="1" s="1"/>
  <c r="L2891" i="1"/>
  <c r="J2891" i="1"/>
  <c r="I2891" i="1"/>
  <c r="N2890" i="1"/>
  <c r="O2890" i="1" s="1"/>
  <c r="L2890" i="1"/>
  <c r="I2890" i="1"/>
  <c r="J2890" i="1" s="1"/>
  <c r="O2889" i="1"/>
  <c r="N2889" i="1"/>
  <c r="L2889" i="1"/>
  <c r="I2889" i="1"/>
  <c r="J2889" i="1" s="1"/>
  <c r="O2888" i="1"/>
  <c r="N2888" i="1"/>
  <c r="L2888" i="1"/>
  <c r="J2888" i="1"/>
  <c r="I2888" i="1"/>
  <c r="N2887" i="1"/>
  <c r="O2887" i="1" s="1"/>
  <c r="L2887" i="1"/>
  <c r="J2887" i="1"/>
  <c r="I2887" i="1"/>
  <c r="N2886" i="1"/>
  <c r="O2886" i="1" s="1"/>
  <c r="L2886" i="1"/>
  <c r="I2886" i="1"/>
  <c r="J2886" i="1" s="1"/>
  <c r="O2885" i="1"/>
  <c r="N2885" i="1"/>
  <c r="L2885" i="1"/>
  <c r="I2885" i="1"/>
  <c r="J2885" i="1" s="1"/>
  <c r="O2884" i="1"/>
  <c r="N2884" i="1"/>
  <c r="L2884" i="1"/>
  <c r="J2884" i="1"/>
  <c r="I2884" i="1"/>
  <c r="N2883" i="1"/>
  <c r="O2883" i="1" s="1"/>
  <c r="L2883" i="1"/>
  <c r="J2883" i="1"/>
  <c r="I2883" i="1"/>
  <c r="N2882" i="1"/>
  <c r="O2882" i="1" s="1"/>
  <c r="L2882" i="1"/>
  <c r="I2882" i="1"/>
  <c r="J2882" i="1" s="1"/>
  <c r="N2881" i="1"/>
  <c r="O2881" i="1" s="1"/>
  <c r="L2881" i="1"/>
  <c r="I2881" i="1"/>
  <c r="J2881" i="1" s="1"/>
  <c r="O2880" i="1"/>
  <c r="N2880" i="1"/>
  <c r="L2880" i="1"/>
  <c r="I2880" i="1"/>
  <c r="J2880" i="1" s="1"/>
  <c r="N2879" i="1"/>
  <c r="O2879" i="1" s="1"/>
  <c r="L2879" i="1"/>
  <c r="I2879" i="1"/>
  <c r="J2879" i="1" s="1"/>
  <c r="N2878" i="1"/>
  <c r="O2878" i="1" s="1"/>
  <c r="L2878" i="1"/>
  <c r="I2878" i="1"/>
  <c r="J2878" i="1" s="1"/>
  <c r="N2877" i="1"/>
  <c r="O2877" i="1" s="1"/>
  <c r="L2877" i="1"/>
  <c r="I2877" i="1"/>
  <c r="J2877" i="1" s="1"/>
  <c r="N2876" i="1"/>
  <c r="O2876" i="1" s="1"/>
  <c r="L2876" i="1"/>
  <c r="I2876" i="1"/>
  <c r="J2876" i="1" s="1"/>
  <c r="N2875" i="1"/>
  <c r="O2875" i="1" s="1"/>
  <c r="L2875" i="1"/>
  <c r="I2875" i="1"/>
  <c r="J2875" i="1" s="1"/>
  <c r="N2874" i="1"/>
  <c r="O2874" i="1" s="1"/>
  <c r="L2874" i="1"/>
  <c r="I2874" i="1"/>
  <c r="J2874" i="1" s="1"/>
  <c r="N2873" i="1"/>
  <c r="O2873" i="1" s="1"/>
  <c r="L2873" i="1"/>
  <c r="I2873" i="1"/>
  <c r="J2873" i="1" s="1"/>
  <c r="N2872" i="1"/>
  <c r="O2872" i="1" s="1"/>
  <c r="L2872" i="1"/>
  <c r="J2872" i="1"/>
  <c r="I2872" i="1"/>
  <c r="N2871" i="1"/>
  <c r="O2871" i="1" s="1"/>
  <c r="L2871" i="1"/>
  <c r="J2871" i="1"/>
  <c r="I2871" i="1"/>
  <c r="N2870" i="1"/>
  <c r="O2870" i="1" s="1"/>
  <c r="L2870" i="1"/>
  <c r="I2870" i="1"/>
  <c r="J2870" i="1" s="1"/>
  <c r="N2869" i="1"/>
  <c r="O2869" i="1" s="1"/>
  <c r="L2869" i="1"/>
  <c r="I2869" i="1"/>
  <c r="J2869" i="1" s="1"/>
  <c r="O2868" i="1"/>
  <c r="N2868" i="1"/>
  <c r="L2868" i="1"/>
  <c r="J2868" i="1"/>
  <c r="I2868" i="1"/>
  <c r="N2867" i="1"/>
  <c r="O2867" i="1" s="1"/>
  <c r="L2867" i="1"/>
  <c r="J2867" i="1"/>
  <c r="I2867" i="1"/>
  <c r="N2866" i="1"/>
  <c r="O2866" i="1" s="1"/>
  <c r="L2866" i="1"/>
  <c r="I2866" i="1"/>
  <c r="J2866" i="1" s="1"/>
  <c r="N2865" i="1"/>
  <c r="O2865" i="1" s="1"/>
  <c r="L2865" i="1"/>
  <c r="I2865" i="1"/>
  <c r="J2865" i="1" s="1"/>
  <c r="O2864" i="1"/>
  <c r="N2864" i="1"/>
  <c r="L2864" i="1"/>
  <c r="J2864" i="1"/>
  <c r="I2864" i="1"/>
  <c r="N2863" i="1"/>
  <c r="O2863" i="1" s="1"/>
  <c r="L2863" i="1"/>
  <c r="J2863" i="1"/>
  <c r="I2863" i="1"/>
  <c r="N2862" i="1"/>
  <c r="O2862" i="1" s="1"/>
  <c r="L2862" i="1"/>
  <c r="I2862" i="1"/>
  <c r="J2862" i="1" s="1"/>
  <c r="N2861" i="1"/>
  <c r="O2861" i="1" s="1"/>
  <c r="L2861" i="1"/>
  <c r="I2861" i="1"/>
  <c r="J2861" i="1" s="1"/>
  <c r="O2860" i="1"/>
  <c r="N2860" i="1"/>
  <c r="L2860" i="1"/>
  <c r="I2860" i="1"/>
  <c r="J2860" i="1" s="1"/>
  <c r="N2859" i="1"/>
  <c r="O2859" i="1" s="1"/>
  <c r="L2859" i="1"/>
  <c r="I2859" i="1"/>
  <c r="J2859" i="1" s="1"/>
  <c r="N2858" i="1"/>
  <c r="O2858" i="1" s="1"/>
  <c r="L2858" i="1"/>
  <c r="I2858" i="1"/>
  <c r="J2858" i="1" s="1"/>
  <c r="N2857" i="1"/>
  <c r="O2857" i="1" s="1"/>
  <c r="L2857" i="1"/>
  <c r="I2857" i="1"/>
  <c r="J2857" i="1" s="1"/>
  <c r="N2856" i="1"/>
  <c r="O2856" i="1" s="1"/>
  <c r="L2856" i="1"/>
  <c r="J2856" i="1"/>
  <c r="I2856" i="1"/>
  <c r="N2855" i="1"/>
  <c r="O2855" i="1" s="1"/>
  <c r="L2855" i="1"/>
  <c r="J2855" i="1"/>
  <c r="I2855" i="1"/>
  <c r="N2854" i="1"/>
  <c r="O2854" i="1" s="1"/>
  <c r="L2854" i="1"/>
  <c r="I2854" i="1"/>
  <c r="J2854" i="1" s="1"/>
  <c r="N2853" i="1"/>
  <c r="O2853" i="1" s="1"/>
  <c r="L2853" i="1"/>
  <c r="I2853" i="1"/>
  <c r="J2853" i="1" s="1"/>
  <c r="O2852" i="1"/>
  <c r="N2852" i="1"/>
  <c r="L2852" i="1"/>
  <c r="J2852" i="1"/>
  <c r="I2852" i="1"/>
  <c r="N2851" i="1"/>
  <c r="O2851" i="1" s="1"/>
  <c r="L2851" i="1"/>
  <c r="J2851" i="1"/>
  <c r="I2851" i="1"/>
  <c r="N2850" i="1"/>
  <c r="O2850" i="1" s="1"/>
  <c r="L2850" i="1"/>
  <c r="I2850" i="1"/>
  <c r="J2850" i="1" s="1"/>
  <c r="N2849" i="1"/>
  <c r="O2849" i="1" s="1"/>
  <c r="L2849" i="1"/>
  <c r="I2849" i="1"/>
  <c r="J2849" i="1" s="1"/>
  <c r="O2848" i="1"/>
  <c r="N2848" i="1"/>
  <c r="L2848" i="1"/>
  <c r="J2848" i="1"/>
  <c r="I2848" i="1"/>
  <c r="N2847" i="1"/>
  <c r="O2847" i="1" s="1"/>
  <c r="L2847" i="1"/>
  <c r="J2847" i="1"/>
  <c r="I2847" i="1"/>
  <c r="N2846" i="1"/>
  <c r="O2846" i="1" s="1"/>
  <c r="L2846" i="1"/>
  <c r="I2846" i="1"/>
  <c r="J2846" i="1" s="1"/>
  <c r="N2845" i="1"/>
  <c r="O2845" i="1" s="1"/>
  <c r="L2845" i="1"/>
  <c r="I2845" i="1"/>
  <c r="J2845" i="1" s="1"/>
  <c r="O2844" i="1"/>
  <c r="N2844" i="1"/>
  <c r="L2844" i="1"/>
  <c r="I2844" i="1"/>
  <c r="J2844" i="1" s="1"/>
  <c r="N2843" i="1"/>
  <c r="O2843" i="1" s="1"/>
  <c r="L2843" i="1"/>
  <c r="I2843" i="1"/>
  <c r="J2843" i="1" s="1"/>
  <c r="N2842" i="1"/>
  <c r="O2842" i="1" s="1"/>
  <c r="L2842" i="1"/>
  <c r="I2842" i="1"/>
  <c r="J2842" i="1" s="1"/>
  <c r="N2841" i="1"/>
  <c r="O2841" i="1" s="1"/>
  <c r="L2841" i="1"/>
  <c r="I2841" i="1"/>
  <c r="J2841" i="1" s="1"/>
  <c r="N2840" i="1"/>
  <c r="O2840" i="1" s="1"/>
  <c r="L2840" i="1"/>
  <c r="J2840" i="1"/>
  <c r="I2840" i="1"/>
  <c r="N2839" i="1"/>
  <c r="O2839" i="1" s="1"/>
  <c r="L2839" i="1"/>
  <c r="J2839" i="1"/>
  <c r="I2839" i="1"/>
  <c r="N2838" i="1"/>
  <c r="O2838" i="1" s="1"/>
  <c r="L2838" i="1"/>
  <c r="I2838" i="1"/>
  <c r="J2838" i="1" s="1"/>
  <c r="N2837" i="1"/>
  <c r="O2837" i="1" s="1"/>
  <c r="L2837" i="1"/>
  <c r="I2837" i="1"/>
  <c r="J2837" i="1" s="1"/>
  <c r="O2836" i="1"/>
  <c r="N2836" i="1"/>
  <c r="L2836" i="1"/>
  <c r="J2836" i="1"/>
  <c r="I2836" i="1"/>
  <c r="N2835" i="1"/>
  <c r="O2835" i="1" s="1"/>
  <c r="L2835" i="1"/>
  <c r="J2835" i="1"/>
  <c r="I2835" i="1"/>
  <c r="N2834" i="1"/>
  <c r="O2834" i="1" s="1"/>
  <c r="L2834" i="1"/>
  <c r="I2834" i="1"/>
  <c r="J2834" i="1" s="1"/>
  <c r="N2833" i="1"/>
  <c r="O2833" i="1" s="1"/>
  <c r="L2833" i="1"/>
  <c r="J2833" i="1"/>
  <c r="I2833" i="1"/>
  <c r="O2832" i="1"/>
  <c r="N2832" i="1"/>
  <c r="L2832" i="1"/>
  <c r="I2832" i="1"/>
  <c r="J2832" i="1" s="1"/>
  <c r="N2831" i="1"/>
  <c r="O2831" i="1" s="1"/>
  <c r="L2831" i="1"/>
  <c r="I2831" i="1"/>
  <c r="J2831" i="1" s="1"/>
  <c r="N2830" i="1"/>
  <c r="O2830" i="1" s="1"/>
  <c r="L2830" i="1"/>
  <c r="I2830" i="1"/>
  <c r="J2830" i="1" s="1"/>
  <c r="O2829" i="1"/>
  <c r="N2829" i="1"/>
  <c r="L2829" i="1"/>
  <c r="I2829" i="1"/>
  <c r="J2829" i="1" s="1"/>
  <c r="N2828" i="1"/>
  <c r="O2828" i="1" s="1"/>
  <c r="L2828" i="1"/>
  <c r="I2828" i="1"/>
  <c r="J2828" i="1" s="1"/>
  <c r="O2827" i="1"/>
  <c r="N2827" i="1"/>
  <c r="L2827" i="1"/>
  <c r="I2827" i="1"/>
  <c r="J2827" i="1" s="1"/>
  <c r="N2826" i="1"/>
  <c r="O2826" i="1" s="1"/>
  <c r="L2826" i="1"/>
  <c r="I2826" i="1"/>
  <c r="J2826" i="1" s="1"/>
  <c r="O2825" i="1"/>
  <c r="N2825" i="1"/>
  <c r="L2825" i="1"/>
  <c r="I2825" i="1"/>
  <c r="J2825" i="1" s="1"/>
  <c r="N2824" i="1"/>
  <c r="O2824" i="1" s="1"/>
  <c r="L2824" i="1"/>
  <c r="I2824" i="1"/>
  <c r="J2824" i="1" s="1"/>
  <c r="N2823" i="1"/>
  <c r="O2823" i="1" s="1"/>
  <c r="L2823" i="1"/>
  <c r="I2823" i="1"/>
  <c r="J2823" i="1" s="1"/>
  <c r="N2822" i="1"/>
  <c r="O2822" i="1" s="1"/>
  <c r="L2822" i="1"/>
  <c r="I2822" i="1"/>
  <c r="J2822" i="1" s="1"/>
  <c r="O2821" i="1"/>
  <c r="N2821" i="1"/>
  <c r="L2821" i="1"/>
  <c r="I2821" i="1"/>
  <c r="J2821" i="1" s="1"/>
  <c r="N2820" i="1"/>
  <c r="O2820" i="1" s="1"/>
  <c r="L2820" i="1"/>
  <c r="I2820" i="1"/>
  <c r="J2820" i="1" s="1"/>
  <c r="O2819" i="1"/>
  <c r="N2819" i="1"/>
  <c r="L2819" i="1"/>
  <c r="I2819" i="1"/>
  <c r="J2819" i="1" s="1"/>
  <c r="N2818" i="1"/>
  <c r="O2818" i="1" s="1"/>
  <c r="L2818" i="1"/>
  <c r="I2818" i="1"/>
  <c r="J2818" i="1" s="1"/>
  <c r="O2817" i="1"/>
  <c r="N2817" i="1"/>
  <c r="L2817" i="1"/>
  <c r="I2817" i="1"/>
  <c r="J2817" i="1" s="1"/>
  <c r="N2816" i="1"/>
  <c r="O2816" i="1" s="1"/>
  <c r="L2816" i="1"/>
  <c r="I2816" i="1"/>
  <c r="J2816" i="1" s="1"/>
  <c r="N2815" i="1"/>
  <c r="O2815" i="1" s="1"/>
  <c r="L2815" i="1"/>
  <c r="I2815" i="1"/>
  <c r="J2815" i="1" s="1"/>
  <c r="N2814" i="1"/>
  <c r="O2814" i="1" s="1"/>
  <c r="L2814" i="1"/>
  <c r="I2814" i="1"/>
  <c r="J2814" i="1" s="1"/>
  <c r="O2813" i="1"/>
  <c r="N2813" i="1"/>
  <c r="L2813" i="1"/>
  <c r="I2813" i="1"/>
  <c r="J2813" i="1" s="1"/>
  <c r="N2812" i="1"/>
  <c r="O2812" i="1" s="1"/>
  <c r="L2812" i="1"/>
  <c r="I2812" i="1"/>
  <c r="J2812" i="1" s="1"/>
  <c r="O2811" i="1"/>
  <c r="N2811" i="1"/>
  <c r="L2811" i="1"/>
  <c r="I2811" i="1"/>
  <c r="J2811" i="1" s="1"/>
  <c r="N2810" i="1"/>
  <c r="O2810" i="1" s="1"/>
  <c r="L2810" i="1"/>
  <c r="I2810" i="1"/>
  <c r="J2810" i="1" s="1"/>
  <c r="O2809" i="1"/>
  <c r="N2809" i="1"/>
  <c r="L2809" i="1"/>
  <c r="I2809" i="1"/>
  <c r="J2809" i="1" s="1"/>
  <c r="N2808" i="1"/>
  <c r="O2808" i="1" s="1"/>
  <c r="L2808" i="1"/>
  <c r="I2808" i="1"/>
  <c r="J2808" i="1" s="1"/>
  <c r="N2807" i="1"/>
  <c r="O2807" i="1" s="1"/>
  <c r="L2807" i="1"/>
  <c r="I2807" i="1"/>
  <c r="J2807" i="1" s="1"/>
  <c r="N2806" i="1"/>
  <c r="O2806" i="1" s="1"/>
  <c r="L2806" i="1"/>
  <c r="I2806" i="1"/>
  <c r="J2806" i="1" s="1"/>
  <c r="O2805" i="1"/>
  <c r="N2805" i="1"/>
  <c r="L2805" i="1"/>
  <c r="I2805" i="1"/>
  <c r="J2805" i="1" s="1"/>
  <c r="N2804" i="1"/>
  <c r="O2804" i="1" s="1"/>
  <c r="L2804" i="1"/>
  <c r="I2804" i="1"/>
  <c r="J2804" i="1" s="1"/>
  <c r="O2803" i="1"/>
  <c r="N2803" i="1"/>
  <c r="L2803" i="1"/>
  <c r="I2803" i="1"/>
  <c r="J2803" i="1" s="1"/>
  <c r="N2802" i="1"/>
  <c r="O2802" i="1" s="1"/>
  <c r="L2802" i="1"/>
  <c r="I2802" i="1"/>
  <c r="J2802" i="1" s="1"/>
  <c r="O2801" i="1"/>
  <c r="N2801" i="1"/>
  <c r="L2801" i="1"/>
  <c r="I2801" i="1"/>
  <c r="J2801" i="1" s="1"/>
  <c r="N2800" i="1"/>
  <c r="O2800" i="1" s="1"/>
  <c r="L2800" i="1"/>
  <c r="I2800" i="1"/>
  <c r="J2800" i="1" s="1"/>
  <c r="N2799" i="1"/>
  <c r="O2799" i="1" s="1"/>
  <c r="L2799" i="1"/>
  <c r="I2799" i="1"/>
  <c r="J2799" i="1" s="1"/>
  <c r="N2798" i="1"/>
  <c r="O2798" i="1" s="1"/>
  <c r="L2798" i="1"/>
  <c r="I2798" i="1"/>
  <c r="J2798" i="1" s="1"/>
  <c r="O2797" i="1"/>
  <c r="N2797" i="1"/>
  <c r="L2797" i="1"/>
  <c r="I2797" i="1"/>
  <c r="J2797" i="1" s="1"/>
  <c r="N2796" i="1"/>
  <c r="O2796" i="1" s="1"/>
  <c r="L2796" i="1"/>
  <c r="I2796" i="1"/>
  <c r="J2796" i="1" s="1"/>
  <c r="O2795" i="1"/>
  <c r="N2795" i="1"/>
  <c r="L2795" i="1"/>
  <c r="I2795" i="1"/>
  <c r="J2795" i="1" s="1"/>
  <c r="N2794" i="1"/>
  <c r="O2794" i="1" s="1"/>
  <c r="L2794" i="1"/>
  <c r="I2794" i="1"/>
  <c r="J2794" i="1" s="1"/>
  <c r="O2793" i="1"/>
  <c r="N2793" i="1"/>
  <c r="L2793" i="1"/>
  <c r="I2793" i="1"/>
  <c r="J2793" i="1" s="1"/>
  <c r="N2792" i="1"/>
  <c r="O2792" i="1" s="1"/>
  <c r="L2792" i="1"/>
  <c r="I2792" i="1"/>
  <c r="J2792" i="1" s="1"/>
  <c r="N2791" i="1"/>
  <c r="O2791" i="1" s="1"/>
  <c r="L2791" i="1"/>
  <c r="I2791" i="1"/>
  <c r="J2791" i="1" s="1"/>
  <c r="N2790" i="1"/>
  <c r="O2790" i="1" s="1"/>
  <c r="L2790" i="1"/>
  <c r="I2790" i="1"/>
  <c r="J2790" i="1" s="1"/>
  <c r="O2789" i="1"/>
  <c r="N2789" i="1"/>
  <c r="L2789" i="1"/>
  <c r="I2789" i="1"/>
  <c r="J2789" i="1" s="1"/>
  <c r="N2788" i="1"/>
  <c r="O2788" i="1" s="1"/>
  <c r="L2788" i="1"/>
  <c r="I2788" i="1"/>
  <c r="J2788" i="1" s="1"/>
  <c r="O2787" i="1"/>
  <c r="N2787" i="1"/>
  <c r="L2787" i="1"/>
  <c r="I2787" i="1"/>
  <c r="J2787" i="1" s="1"/>
  <c r="N2786" i="1"/>
  <c r="O2786" i="1" s="1"/>
  <c r="L2786" i="1"/>
  <c r="I2786" i="1"/>
  <c r="J2786" i="1" s="1"/>
  <c r="O2785" i="1"/>
  <c r="N2785" i="1"/>
  <c r="L2785" i="1"/>
  <c r="I2785" i="1"/>
  <c r="J2785" i="1" s="1"/>
  <c r="N2784" i="1"/>
  <c r="O2784" i="1" s="1"/>
  <c r="L2784" i="1"/>
  <c r="I2784" i="1"/>
  <c r="J2784" i="1" s="1"/>
  <c r="N2783" i="1"/>
  <c r="O2783" i="1" s="1"/>
  <c r="L2783" i="1"/>
  <c r="I2783" i="1"/>
  <c r="J2783" i="1" s="1"/>
  <c r="N2782" i="1"/>
  <c r="O2782" i="1" s="1"/>
  <c r="L2782" i="1"/>
  <c r="I2782" i="1"/>
  <c r="J2782" i="1" s="1"/>
  <c r="O2781" i="1"/>
  <c r="N2781" i="1"/>
  <c r="L2781" i="1"/>
  <c r="I2781" i="1"/>
  <c r="J2781" i="1" s="1"/>
  <c r="N2780" i="1"/>
  <c r="O2780" i="1" s="1"/>
  <c r="L2780" i="1"/>
  <c r="I2780" i="1"/>
  <c r="J2780" i="1" s="1"/>
  <c r="O2779" i="1"/>
  <c r="N2779" i="1"/>
  <c r="L2779" i="1"/>
  <c r="I2779" i="1"/>
  <c r="J2779" i="1" s="1"/>
  <c r="N2778" i="1"/>
  <c r="O2778" i="1" s="1"/>
  <c r="L2778" i="1"/>
  <c r="I2778" i="1"/>
  <c r="J2778" i="1" s="1"/>
  <c r="O2777" i="1"/>
  <c r="N2777" i="1"/>
  <c r="L2777" i="1"/>
  <c r="I2777" i="1"/>
  <c r="J2777" i="1" s="1"/>
  <c r="N2776" i="1"/>
  <c r="O2776" i="1" s="1"/>
  <c r="L2776" i="1"/>
  <c r="I2776" i="1"/>
  <c r="J2776" i="1" s="1"/>
  <c r="N2775" i="1"/>
  <c r="O2775" i="1" s="1"/>
  <c r="L2775" i="1"/>
  <c r="I2775" i="1"/>
  <c r="J2775" i="1" s="1"/>
  <c r="N2774" i="1"/>
  <c r="O2774" i="1" s="1"/>
  <c r="L2774" i="1"/>
  <c r="I2774" i="1"/>
  <c r="J2774" i="1" s="1"/>
  <c r="O2773" i="1"/>
  <c r="N2773" i="1"/>
  <c r="L2773" i="1"/>
  <c r="I2773" i="1"/>
  <c r="J2773" i="1" s="1"/>
  <c r="N2772" i="1"/>
  <c r="O2772" i="1" s="1"/>
  <c r="L2772" i="1"/>
  <c r="I2772" i="1"/>
  <c r="J2772" i="1" s="1"/>
  <c r="O2771" i="1"/>
  <c r="N2771" i="1"/>
  <c r="L2771" i="1"/>
  <c r="I2771" i="1"/>
  <c r="J2771" i="1" s="1"/>
  <c r="N2770" i="1"/>
  <c r="O2770" i="1" s="1"/>
  <c r="L2770" i="1"/>
  <c r="I2770" i="1"/>
  <c r="J2770" i="1" s="1"/>
  <c r="O2769" i="1"/>
  <c r="N2769" i="1"/>
  <c r="L2769" i="1"/>
  <c r="I2769" i="1"/>
  <c r="J2769" i="1" s="1"/>
  <c r="N2768" i="1"/>
  <c r="O2768" i="1" s="1"/>
  <c r="L2768" i="1"/>
  <c r="I2768" i="1"/>
  <c r="J2768" i="1" s="1"/>
  <c r="N2767" i="1"/>
  <c r="O2767" i="1" s="1"/>
  <c r="L2767" i="1"/>
  <c r="I2767" i="1"/>
  <c r="J2767" i="1" s="1"/>
  <c r="N2766" i="1"/>
  <c r="O2766" i="1" s="1"/>
  <c r="L2766" i="1"/>
  <c r="I2766" i="1"/>
  <c r="J2766" i="1" s="1"/>
  <c r="O2765" i="1"/>
  <c r="N2765" i="1"/>
  <c r="L2765" i="1"/>
  <c r="I2765" i="1"/>
  <c r="J2765" i="1" s="1"/>
  <c r="N2764" i="1"/>
  <c r="O2764" i="1" s="1"/>
  <c r="L2764" i="1"/>
  <c r="I2764" i="1"/>
  <c r="J2764" i="1" s="1"/>
  <c r="O2763" i="1"/>
  <c r="N2763" i="1"/>
  <c r="L2763" i="1"/>
  <c r="I2763" i="1"/>
  <c r="J2763" i="1" s="1"/>
  <c r="N2762" i="1"/>
  <c r="O2762" i="1" s="1"/>
  <c r="L2762" i="1"/>
  <c r="I2762" i="1"/>
  <c r="J2762" i="1" s="1"/>
  <c r="O2761" i="1"/>
  <c r="N2761" i="1"/>
  <c r="L2761" i="1"/>
  <c r="I2761" i="1"/>
  <c r="J2761" i="1" s="1"/>
  <c r="N2760" i="1"/>
  <c r="O2760" i="1" s="1"/>
  <c r="L2760" i="1"/>
  <c r="I2760" i="1"/>
  <c r="J2760" i="1" s="1"/>
  <c r="N2759" i="1"/>
  <c r="O2759" i="1" s="1"/>
  <c r="L2759" i="1"/>
  <c r="I2759" i="1"/>
  <c r="J2759" i="1" s="1"/>
  <c r="N2758" i="1"/>
  <c r="O2758" i="1" s="1"/>
  <c r="L2758" i="1"/>
  <c r="I2758" i="1"/>
  <c r="J2758" i="1" s="1"/>
  <c r="O2757" i="1"/>
  <c r="N2757" i="1"/>
  <c r="L2757" i="1"/>
  <c r="I2757" i="1"/>
  <c r="J2757" i="1" s="1"/>
  <c r="N2756" i="1"/>
  <c r="O2756" i="1" s="1"/>
  <c r="L2756" i="1"/>
  <c r="I2756" i="1"/>
  <c r="J2756" i="1" s="1"/>
  <c r="O2755" i="1"/>
  <c r="N2755" i="1"/>
  <c r="L2755" i="1"/>
  <c r="I2755" i="1"/>
  <c r="J2755" i="1" s="1"/>
  <c r="N2754" i="1"/>
  <c r="O2754" i="1" s="1"/>
  <c r="L2754" i="1"/>
  <c r="I2754" i="1"/>
  <c r="J2754" i="1" s="1"/>
  <c r="O2753" i="1"/>
  <c r="N2753" i="1"/>
  <c r="L2753" i="1"/>
  <c r="I2753" i="1"/>
  <c r="J2753" i="1" s="1"/>
  <c r="N2752" i="1"/>
  <c r="O2752" i="1" s="1"/>
  <c r="L2752" i="1"/>
  <c r="I2752" i="1"/>
  <c r="J2752" i="1" s="1"/>
  <c r="N2751" i="1"/>
  <c r="O2751" i="1" s="1"/>
  <c r="L2751" i="1"/>
  <c r="I2751" i="1"/>
  <c r="J2751" i="1" s="1"/>
  <c r="N2750" i="1"/>
  <c r="O2750" i="1" s="1"/>
  <c r="L2750" i="1"/>
  <c r="I2750" i="1"/>
  <c r="J2750" i="1" s="1"/>
  <c r="O2749" i="1"/>
  <c r="N2749" i="1"/>
  <c r="L2749" i="1"/>
  <c r="I2749" i="1"/>
  <c r="J2749" i="1" s="1"/>
  <c r="N2748" i="1"/>
  <c r="O2748" i="1" s="1"/>
  <c r="L2748" i="1"/>
  <c r="I2748" i="1"/>
  <c r="J2748" i="1" s="1"/>
  <c r="O2747" i="1"/>
  <c r="N2747" i="1"/>
  <c r="L2747" i="1"/>
  <c r="I2747" i="1"/>
  <c r="J2747" i="1" s="1"/>
  <c r="N2746" i="1"/>
  <c r="O2746" i="1" s="1"/>
  <c r="L2746" i="1"/>
  <c r="I2746" i="1"/>
  <c r="J2746" i="1" s="1"/>
  <c r="O2745" i="1"/>
  <c r="N2745" i="1"/>
  <c r="L2745" i="1"/>
  <c r="I2745" i="1"/>
  <c r="J2745" i="1" s="1"/>
  <c r="N2744" i="1"/>
  <c r="O2744" i="1" s="1"/>
  <c r="L2744" i="1"/>
  <c r="I2744" i="1"/>
  <c r="J2744" i="1" s="1"/>
  <c r="N2743" i="1"/>
  <c r="O2743" i="1" s="1"/>
  <c r="L2743" i="1"/>
  <c r="I2743" i="1"/>
  <c r="J2743" i="1" s="1"/>
  <c r="N2742" i="1"/>
  <c r="O2742" i="1" s="1"/>
  <c r="L2742" i="1"/>
  <c r="I2742" i="1"/>
  <c r="J2742" i="1" s="1"/>
  <c r="O2741" i="1"/>
  <c r="N2741" i="1"/>
  <c r="L2741" i="1"/>
  <c r="I2741" i="1"/>
  <c r="J2741" i="1" s="1"/>
  <c r="N2740" i="1"/>
  <c r="O2740" i="1" s="1"/>
  <c r="L2740" i="1"/>
  <c r="I2740" i="1"/>
  <c r="J2740" i="1" s="1"/>
  <c r="O2739" i="1"/>
  <c r="N2739" i="1"/>
  <c r="L2739" i="1"/>
  <c r="I2739" i="1"/>
  <c r="J2739" i="1" s="1"/>
  <c r="N2738" i="1"/>
  <c r="O2738" i="1" s="1"/>
  <c r="L2738" i="1"/>
  <c r="I2738" i="1"/>
  <c r="J2738" i="1" s="1"/>
  <c r="O2737" i="1"/>
  <c r="N2737" i="1"/>
  <c r="L2737" i="1"/>
  <c r="I2737" i="1"/>
  <c r="J2737" i="1" s="1"/>
  <c r="N2736" i="1"/>
  <c r="O2736" i="1" s="1"/>
  <c r="L2736" i="1"/>
  <c r="I2736" i="1"/>
  <c r="J2736" i="1" s="1"/>
  <c r="N2735" i="1"/>
  <c r="O2735" i="1" s="1"/>
  <c r="L2735" i="1"/>
  <c r="I2735" i="1"/>
  <c r="J2735" i="1" s="1"/>
  <c r="N2734" i="1"/>
  <c r="O2734" i="1" s="1"/>
  <c r="L2734" i="1"/>
  <c r="I2734" i="1"/>
  <c r="J2734" i="1" s="1"/>
  <c r="O2733" i="1"/>
  <c r="N2733" i="1"/>
  <c r="L2733" i="1"/>
  <c r="I2733" i="1"/>
  <c r="J2733" i="1" s="1"/>
  <c r="N2732" i="1"/>
  <c r="O2732" i="1" s="1"/>
  <c r="L2732" i="1"/>
  <c r="I2732" i="1"/>
  <c r="J2732" i="1" s="1"/>
  <c r="O2731" i="1"/>
  <c r="N2731" i="1"/>
  <c r="L2731" i="1"/>
  <c r="I2731" i="1"/>
  <c r="J2731" i="1" s="1"/>
  <c r="N2730" i="1"/>
  <c r="O2730" i="1" s="1"/>
  <c r="L2730" i="1"/>
  <c r="I2730" i="1"/>
  <c r="J2730" i="1" s="1"/>
  <c r="O2729" i="1"/>
  <c r="N2729" i="1"/>
  <c r="L2729" i="1"/>
  <c r="I2729" i="1"/>
  <c r="J2729" i="1" s="1"/>
  <c r="N2728" i="1"/>
  <c r="O2728" i="1" s="1"/>
  <c r="L2728" i="1"/>
  <c r="I2728" i="1"/>
  <c r="J2728" i="1" s="1"/>
  <c r="N2727" i="1"/>
  <c r="O2727" i="1" s="1"/>
  <c r="L2727" i="1"/>
  <c r="I2727" i="1"/>
  <c r="J2727" i="1" s="1"/>
  <c r="N2726" i="1"/>
  <c r="O2726" i="1" s="1"/>
  <c r="L2726" i="1"/>
  <c r="I2726" i="1"/>
  <c r="J2726" i="1" s="1"/>
  <c r="O2725" i="1"/>
  <c r="N2725" i="1"/>
  <c r="L2725" i="1"/>
  <c r="I2725" i="1"/>
  <c r="J2725" i="1" s="1"/>
  <c r="N2724" i="1"/>
  <c r="O2724" i="1" s="1"/>
  <c r="L2724" i="1"/>
  <c r="I2724" i="1"/>
  <c r="J2724" i="1" s="1"/>
  <c r="O2723" i="1"/>
  <c r="N2723" i="1"/>
  <c r="L2723" i="1"/>
  <c r="I2723" i="1"/>
  <c r="J2723" i="1" s="1"/>
  <c r="N2722" i="1"/>
  <c r="O2722" i="1" s="1"/>
  <c r="L2722" i="1"/>
  <c r="I2722" i="1"/>
  <c r="J2722" i="1" s="1"/>
  <c r="O2721" i="1"/>
  <c r="N2721" i="1"/>
  <c r="L2721" i="1"/>
  <c r="I2721" i="1"/>
  <c r="J2721" i="1" s="1"/>
  <c r="N2720" i="1"/>
  <c r="O2720" i="1" s="1"/>
  <c r="L2720" i="1"/>
  <c r="I2720" i="1"/>
  <c r="J2720" i="1" s="1"/>
  <c r="N2719" i="1"/>
  <c r="O2719" i="1" s="1"/>
  <c r="L2719" i="1"/>
  <c r="I2719" i="1"/>
  <c r="J2719" i="1" s="1"/>
  <c r="N2718" i="1"/>
  <c r="O2718" i="1" s="1"/>
  <c r="L2718" i="1"/>
  <c r="I2718" i="1"/>
  <c r="J2718" i="1" s="1"/>
  <c r="O2717" i="1"/>
  <c r="N2717" i="1"/>
  <c r="L2717" i="1"/>
  <c r="I2717" i="1"/>
  <c r="J2717" i="1" s="1"/>
  <c r="N2716" i="1"/>
  <c r="O2716" i="1" s="1"/>
  <c r="L2716" i="1"/>
  <c r="I2716" i="1"/>
  <c r="J2716" i="1" s="1"/>
  <c r="O2715" i="1"/>
  <c r="N2715" i="1"/>
  <c r="L2715" i="1"/>
  <c r="I2715" i="1"/>
  <c r="J2715" i="1" s="1"/>
  <c r="N2714" i="1"/>
  <c r="O2714" i="1" s="1"/>
  <c r="L2714" i="1"/>
  <c r="I2714" i="1"/>
  <c r="J2714" i="1" s="1"/>
  <c r="O2713" i="1"/>
  <c r="N2713" i="1"/>
  <c r="L2713" i="1"/>
  <c r="I2713" i="1"/>
  <c r="J2713" i="1" s="1"/>
  <c r="N2712" i="1"/>
  <c r="O2712" i="1" s="1"/>
  <c r="L2712" i="1"/>
  <c r="I2712" i="1"/>
  <c r="J2712" i="1" s="1"/>
  <c r="N2711" i="1"/>
  <c r="O2711" i="1" s="1"/>
  <c r="L2711" i="1"/>
  <c r="I2711" i="1"/>
  <c r="J2711" i="1" s="1"/>
  <c r="N2710" i="1"/>
  <c r="O2710" i="1" s="1"/>
  <c r="L2710" i="1"/>
  <c r="I2710" i="1"/>
  <c r="J2710" i="1" s="1"/>
  <c r="O2709" i="1"/>
  <c r="N2709" i="1"/>
  <c r="L2709" i="1"/>
  <c r="I2709" i="1"/>
  <c r="J2709" i="1" s="1"/>
  <c r="N2708" i="1"/>
  <c r="O2708" i="1" s="1"/>
  <c r="L2708" i="1"/>
  <c r="I2708" i="1"/>
  <c r="J2708" i="1" s="1"/>
  <c r="O2707" i="1"/>
  <c r="N2707" i="1"/>
  <c r="L2707" i="1"/>
  <c r="I2707" i="1"/>
  <c r="J2707" i="1" s="1"/>
  <c r="N2706" i="1"/>
  <c r="O2706" i="1" s="1"/>
  <c r="L2706" i="1"/>
  <c r="I2706" i="1"/>
  <c r="J2706" i="1" s="1"/>
  <c r="O2705" i="1"/>
  <c r="N2705" i="1"/>
  <c r="L2705" i="1"/>
  <c r="I2705" i="1"/>
  <c r="J2705" i="1" s="1"/>
  <c r="N2704" i="1"/>
  <c r="O2704" i="1" s="1"/>
  <c r="L2704" i="1"/>
  <c r="I2704" i="1"/>
  <c r="J2704" i="1" s="1"/>
  <c r="N2703" i="1"/>
  <c r="O2703" i="1" s="1"/>
  <c r="L2703" i="1"/>
  <c r="I2703" i="1"/>
  <c r="J2703" i="1" s="1"/>
  <c r="N2702" i="1"/>
  <c r="O2702" i="1" s="1"/>
  <c r="L2702" i="1"/>
  <c r="I2702" i="1"/>
  <c r="J2702" i="1" s="1"/>
  <c r="O2701" i="1"/>
  <c r="N2701" i="1"/>
  <c r="L2701" i="1"/>
  <c r="I2701" i="1"/>
  <c r="J2701" i="1" s="1"/>
  <c r="N2700" i="1"/>
  <c r="O2700" i="1" s="1"/>
  <c r="L2700" i="1"/>
  <c r="I2700" i="1"/>
  <c r="J2700" i="1" s="1"/>
  <c r="O2699" i="1"/>
  <c r="N2699" i="1"/>
  <c r="L2699" i="1"/>
  <c r="I2699" i="1"/>
  <c r="J2699" i="1" s="1"/>
  <c r="N2698" i="1"/>
  <c r="O2698" i="1" s="1"/>
  <c r="L2698" i="1"/>
  <c r="I2698" i="1"/>
  <c r="J2698" i="1" s="1"/>
  <c r="O2697" i="1"/>
  <c r="N2697" i="1"/>
  <c r="L2697" i="1"/>
  <c r="I2697" i="1"/>
  <c r="J2697" i="1" s="1"/>
  <c r="N2696" i="1"/>
  <c r="O2696" i="1" s="1"/>
  <c r="L2696" i="1"/>
  <c r="I2696" i="1"/>
  <c r="J2696" i="1" s="1"/>
  <c r="N2695" i="1"/>
  <c r="O2695" i="1" s="1"/>
  <c r="L2695" i="1"/>
  <c r="I2695" i="1"/>
  <c r="J2695" i="1" s="1"/>
  <c r="N2694" i="1"/>
  <c r="O2694" i="1" s="1"/>
  <c r="L2694" i="1"/>
  <c r="I2694" i="1"/>
  <c r="J2694" i="1" s="1"/>
  <c r="O2693" i="1"/>
  <c r="N2693" i="1"/>
  <c r="L2693" i="1"/>
  <c r="I2693" i="1"/>
  <c r="J2693" i="1" s="1"/>
  <c r="N2692" i="1"/>
  <c r="O2692" i="1" s="1"/>
  <c r="L2692" i="1"/>
  <c r="I2692" i="1"/>
  <c r="J2692" i="1" s="1"/>
  <c r="O2691" i="1"/>
  <c r="N2691" i="1"/>
  <c r="L2691" i="1"/>
  <c r="I2691" i="1"/>
  <c r="J2691" i="1" s="1"/>
  <c r="N2690" i="1"/>
  <c r="O2690" i="1" s="1"/>
  <c r="L2690" i="1"/>
  <c r="I2690" i="1"/>
  <c r="J2690" i="1" s="1"/>
  <c r="O2689" i="1"/>
  <c r="N2689" i="1"/>
  <c r="L2689" i="1"/>
  <c r="I2689" i="1"/>
  <c r="J2689" i="1" s="1"/>
  <c r="N2688" i="1"/>
  <c r="O2688" i="1" s="1"/>
  <c r="L2688" i="1"/>
  <c r="I2688" i="1"/>
  <c r="J2688" i="1" s="1"/>
  <c r="N2687" i="1"/>
  <c r="O2687" i="1" s="1"/>
  <c r="L2687" i="1"/>
  <c r="I2687" i="1"/>
  <c r="J2687" i="1" s="1"/>
  <c r="N2686" i="1"/>
  <c r="O2686" i="1" s="1"/>
  <c r="L2686" i="1"/>
  <c r="I2686" i="1"/>
  <c r="J2686" i="1" s="1"/>
  <c r="N2685" i="1"/>
  <c r="O2685" i="1" s="1"/>
  <c r="L2685" i="1"/>
  <c r="I2685" i="1"/>
  <c r="J2685" i="1" s="1"/>
  <c r="N2684" i="1"/>
  <c r="O2684" i="1" s="1"/>
  <c r="L2684" i="1"/>
  <c r="J2684" i="1"/>
  <c r="I2684" i="1"/>
  <c r="N2683" i="1"/>
  <c r="O2683" i="1" s="1"/>
  <c r="L2683" i="1"/>
  <c r="I2683" i="1"/>
  <c r="J2683" i="1" s="1"/>
  <c r="N2682" i="1"/>
  <c r="O2682" i="1" s="1"/>
  <c r="L2682" i="1"/>
  <c r="I2682" i="1"/>
  <c r="J2682" i="1" s="1"/>
  <c r="O2681" i="1"/>
  <c r="N2681" i="1"/>
  <c r="L2681" i="1"/>
  <c r="I2681" i="1"/>
  <c r="J2681" i="1" s="1"/>
  <c r="N2680" i="1"/>
  <c r="O2680" i="1" s="1"/>
  <c r="L2680" i="1"/>
  <c r="I2680" i="1"/>
  <c r="J2680" i="1" s="1"/>
  <c r="N2679" i="1"/>
  <c r="O2679" i="1" s="1"/>
  <c r="L2679" i="1"/>
  <c r="I2679" i="1"/>
  <c r="J2679" i="1" s="1"/>
  <c r="N2678" i="1"/>
  <c r="O2678" i="1" s="1"/>
  <c r="L2678" i="1"/>
  <c r="I2678" i="1"/>
  <c r="J2678" i="1" s="1"/>
  <c r="N2677" i="1"/>
  <c r="O2677" i="1" s="1"/>
  <c r="L2677" i="1"/>
  <c r="I2677" i="1"/>
  <c r="J2677" i="1" s="1"/>
  <c r="N2676" i="1"/>
  <c r="O2676" i="1" s="1"/>
  <c r="L2676" i="1"/>
  <c r="J2676" i="1"/>
  <c r="I2676" i="1"/>
  <c r="N2675" i="1"/>
  <c r="O2675" i="1" s="1"/>
  <c r="L2675" i="1"/>
  <c r="I2675" i="1"/>
  <c r="J2675" i="1" s="1"/>
  <c r="N2674" i="1"/>
  <c r="O2674" i="1" s="1"/>
  <c r="L2674" i="1"/>
  <c r="I2674" i="1"/>
  <c r="J2674" i="1" s="1"/>
  <c r="O2673" i="1"/>
  <c r="N2673" i="1"/>
  <c r="L2673" i="1"/>
  <c r="I2673" i="1"/>
  <c r="J2673" i="1" s="1"/>
  <c r="N2672" i="1"/>
  <c r="O2672" i="1" s="1"/>
  <c r="L2672" i="1"/>
  <c r="I2672" i="1"/>
  <c r="J2672" i="1" s="1"/>
  <c r="N2671" i="1"/>
  <c r="O2671" i="1" s="1"/>
  <c r="L2671" i="1"/>
  <c r="I2671" i="1"/>
  <c r="J2671" i="1" s="1"/>
  <c r="N2670" i="1"/>
  <c r="O2670" i="1" s="1"/>
  <c r="L2670" i="1"/>
  <c r="I2670" i="1"/>
  <c r="J2670" i="1" s="1"/>
  <c r="O2669" i="1"/>
  <c r="N2669" i="1"/>
  <c r="L2669" i="1"/>
  <c r="I2669" i="1"/>
  <c r="J2669" i="1" s="1"/>
  <c r="N2668" i="1"/>
  <c r="O2668" i="1" s="1"/>
  <c r="L2668" i="1"/>
  <c r="I2668" i="1"/>
  <c r="J2668" i="1" s="1"/>
  <c r="N2667" i="1"/>
  <c r="O2667" i="1" s="1"/>
  <c r="L2667" i="1"/>
  <c r="I2667" i="1"/>
  <c r="J2667" i="1" s="1"/>
  <c r="N2666" i="1"/>
  <c r="O2666" i="1" s="1"/>
  <c r="L2666" i="1"/>
  <c r="I2666" i="1"/>
  <c r="J2666" i="1" s="1"/>
  <c r="N2665" i="1"/>
  <c r="O2665" i="1" s="1"/>
  <c r="L2665" i="1"/>
  <c r="I2665" i="1"/>
  <c r="J2665" i="1" s="1"/>
  <c r="N2664" i="1"/>
  <c r="O2664" i="1" s="1"/>
  <c r="L2664" i="1"/>
  <c r="J2664" i="1"/>
  <c r="I2664" i="1"/>
  <c r="N2663" i="1"/>
  <c r="O2663" i="1" s="1"/>
  <c r="L2663" i="1"/>
  <c r="I2663" i="1"/>
  <c r="J2663" i="1" s="1"/>
  <c r="N2662" i="1"/>
  <c r="O2662" i="1" s="1"/>
  <c r="L2662" i="1"/>
  <c r="I2662" i="1"/>
  <c r="J2662" i="1" s="1"/>
  <c r="O2661" i="1"/>
  <c r="N2661" i="1"/>
  <c r="L2661" i="1"/>
  <c r="I2661" i="1"/>
  <c r="J2661" i="1" s="1"/>
  <c r="N2660" i="1"/>
  <c r="O2660" i="1" s="1"/>
  <c r="L2660" i="1"/>
  <c r="I2660" i="1"/>
  <c r="J2660" i="1" s="1"/>
  <c r="N2659" i="1"/>
  <c r="O2659" i="1" s="1"/>
  <c r="L2659" i="1"/>
  <c r="I2659" i="1"/>
  <c r="J2659" i="1" s="1"/>
  <c r="N2658" i="1"/>
  <c r="O2658" i="1" s="1"/>
  <c r="L2658" i="1"/>
  <c r="I2658" i="1"/>
  <c r="J2658" i="1" s="1"/>
  <c r="N2657" i="1"/>
  <c r="O2657" i="1" s="1"/>
  <c r="L2657" i="1"/>
  <c r="I2657" i="1"/>
  <c r="J2657" i="1" s="1"/>
  <c r="N2656" i="1"/>
  <c r="O2656" i="1" s="1"/>
  <c r="L2656" i="1"/>
  <c r="J2656" i="1"/>
  <c r="I2656" i="1"/>
  <c r="N2655" i="1"/>
  <c r="O2655" i="1" s="1"/>
  <c r="L2655" i="1"/>
  <c r="I2655" i="1"/>
  <c r="J2655" i="1" s="1"/>
  <c r="N2654" i="1"/>
  <c r="O2654" i="1" s="1"/>
  <c r="L2654" i="1"/>
  <c r="I2654" i="1"/>
  <c r="J2654" i="1" s="1"/>
  <c r="O2653" i="1"/>
  <c r="N2653" i="1"/>
  <c r="L2653" i="1"/>
  <c r="I2653" i="1"/>
  <c r="J2653" i="1" s="1"/>
  <c r="N2652" i="1"/>
  <c r="O2652" i="1" s="1"/>
  <c r="L2652" i="1"/>
  <c r="I2652" i="1"/>
  <c r="J2652" i="1" s="1"/>
  <c r="N2651" i="1"/>
  <c r="O2651" i="1" s="1"/>
  <c r="L2651" i="1"/>
  <c r="I2651" i="1"/>
  <c r="J2651" i="1" s="1"/>
  <c r="N2650" i="1"/>
  <c r="O2650" i="1" s="1"/>
  <c r="L2650" i="1"/>
  <c r="I2650" i="1"/>
  <c r="J2650" i="1" s="1"/>
  <c r="N2649" i="1"/>
  <c r="O2649" i="1" s="1"/>
  <c r="L2649" i="1"/>
  <c r="I2649" i="1"/>
  <c r="J2649" i="1" s="1"/>
  <c r="N2648" i="1"/>
  <c r="O2648" i="1" s="1"/>
  <c r="L2648" i="1"/>
  <c r="J2648" i="1"/>
  <c r="I2648" i="1"/>
  <c r="N2647" i="1"/>
  <c r="O2647" i="1" s="1"/>
  <c r="L2647" i="1"/>
  <c r="I2647" i="1"/>
  <c r="J2647" i="1" s="1"/>
  <c r="N2646" i="1"/>
  <c r="O2646" i="1" s="1"/>
  <c r="L2646" i="1"/>
  <c r="I2646" i="1"/>
  <c r="J2646" i="1" s="1"/>
  <c r="O2645" i="1"/>
  <c r="N2645" i="1"/>
  <c r="L2645" i="1"/>
  <c r="I2645" i="1"/>
  <c r="J2645" i="1" s="1"/>
  <c r="N2644" i="1"/>
  <c r="O2644" i="1" s="1"/>
  <c r="L2644" i="1"/>
  <c r="I2644" i="1"/>
  <c r="J2644" i="1" s="1"/>
  <c r="N2643" i="1"/>
  <c r="O2643" i="1" s="1"/>
  <c r="L2643" i="1"/>
  <c r="I2643" i="1"/>
  <c r="J2643" i="1" s="1"/>
  <c r="N2642" i="1"/>
  <c r="O2642" i="1" s="1"/>
  <c r="L2642" i="1"/>
  <c r="I2642" i="1"/>
  <c r="J2642" i="1" s="1"/>
  <c r="N2641" i="1"/>
  <c r="O2641" i="1" s="1"/>
  <c r="L2641" i="1"/>
  <c r="I2641" i="1"/>
  <c r="J2641" i="1" s="1"/>
  <c r="N2640" i="1"/>
  <c r="O2640" i="1" s="1"/>
  <c r="L2640" i="1"/>
  <c r="J2640" i="1"/>
  <c r="I2640" i="1"/>
  <c r="N2639" i="1"/>
  <c r="O2639" i="1" s="1"/>
  <c r="L2639" i="1"/>
  <c r="I2639" i="1"/>
  <c r="J2639" i="1" s="1"/>
  <c r="N2638" i="1"/>
  <c r="O2638" i="1" s="1"/>
  <c r="L2638" i="1"/>
  <c r="I2638" i="1"/>
  <c r="J2638" i="1" s="1"/>
  <c r="O2637" i="1"/>
  <c r="N2637" i="1"/>
  <c r="L2637" i="1"/>
  <c r="I2637" i="1"/>
  <c r="J2637" i="1" s="1"/>
  <c r="N2636" i="1"/>
  <c r="O2636" i="1" s="1"/>
  <c r="L2636" i="1"/>
  <c r="I2636" i="1"/>
  <c r="J2636" i="1" s="1"/>
  <c r="N2635" i="1"/>
  <c r="O2635" i="1" s="1"/>
  <c r="L2635" i="1"/>
  <c r="I2635" i="1"/>
  <c r="J2635" i="1" s="1"/>
  <c r="N2634" i="1"/>
  <c r="O2634" i="1" s="1"/>
  <c r="L2634" i="1"/>
  <c r="I2634" i="1"/>
  <c r="J2634" i="1" s="1"/>
  <c r="N2633" i="1"/>
  <c r="O2633" i="1" s="1"/>
  <c r="L2633" i="1"/>
  <c r="I2633" i="1"/>
  <c r="J2633" i="1" s="1"/>
  <c r="N2632" i="1"/>
  <c r="O2632" i="1" s="1"/>
  <c r="L2632" i="1"/>
  <c r="J2632" i="1"/>
  <c r="I2632" i="1"/>
  <c r="N2631" i="1"/>
  <c r="O2631" i="1" s="1"/>
  <c r="L2631" i="1"/>
  <c r="I2631" i="1"/>
  <c r="J2631" i="1" s="1"/>
  <c r="N2630" i="1"/>
  <c r="O2630" i="1" s="1"/>
  <c r="L2630" i="1"/>
  <c r="I2630" i="1"/>
  <c r="J2630" i="1" s="1"/>
  <c r="O2629" i="1"/>
  <c r="N2629" i="1"/>
  <c r="L2629" i="1"/>
  <c r="I2629" i="1"/>
  <c r="J2629" i="1" s="1"/>
  <c r="N2628" i="1"/>
  <c r="O2628" i="1" s="1"/>
  <c r="L2628" i="1"/>
  <c r="I2628" i="1"/>
  <c r="J2628" i="1" s="1"/>
  <c r="N2627" i="1"/>
  <c r="O2627" i="1" s="1"/>
  <c r="L2627" i="1"/>
  <c r="I2627" i="1"/>
  <c r="J2627" i="1" s="1"/>
  <c r="N2626" i="1"/>
  <c r="O2626" i="1" s="1"/>
  <c r="L2626" i="1"/>
  <c r="I2626" i="1"/>
  <c r="J2626" i="1" s="1"/>
  <c r="N2625" i="1"/>
  <c r="O2625" i="1" s="1"/>
  <c r="L2625" i="1"/>
  <c r="I2625" i="1"/>
  <c r="J2625" i="1" s="1"/>
  <c r="N2624" i="1"/>
  <c r="O2624" i="1" s="1"/>
  <c r="L2624" i="1"/>
  <c r="J2624" i="1"/>
  <c r="I2624" i="1"/>
  <c r="N2623" i="1"/>
  <c r="O2623" i="1" s="1"/>
  <c r="L2623" i="1"/>
  <c r="I2623" i="1"/>
  <c r="J2623" i="1" s="1"/>
  <c r="N2622" i="1"/>
  <c r="O2622" i="1" s="1"/>
  <c r="L2622" i="1"/>
  <c r="I2622" i="1"/>
  <c r="J2622" i="1" s="1"/>
  <c r="N2621" i="1"/>
  <c r="O2621" i="1" s="1"/>
  <c r="L2621" i="1"/>
  <c r="I2621" i="1"/>
  <c r="J2621" i="1" s="1"/>
  <c r="N2620" i="1"/>
  <c r="O2620" i="1" s="1"/>
  <c r="L2620" i="1"/>
  <c r="I2620" i="1"/>
  <c r="J2620" i="1" s="1"/>
  <c r="N2619" i="1"/>
  <c r="O2619" i="1" s="1"/>
  <c r="L2619" i="1"/>
  <c r="I2619" i="1"/>
  <c r="J2619" i="1" s="1"/>
  <c r="N2618" i="1"/>
  <c r="O2618" i="1" s="1"/>
  <c r="L2618" i="1"/>
  <c r="I2618" i="1"/>
  <c r="J2618" i="1" s="1"/>
  <c r="N2617" i="1"/>
  <c r="O2617" i="1" s="1"/>
  <c r="L2617" i="1"/>
  <c r="I2617" i="1"/>
  <c r="J2617" i="1" s="1"/>
  <c r="N2616" i="1"/>
  <c r="O2616" i="1" s="1"/>
  <c r="L2616" i="1"/>
  <c r="I2616" i="1"/>
  <c r="J2616" i="1" s="1"/>
  <c r="N2615" i="1"/>
  <c r="O2615" i="1" s="1"/>
  <c r="L2615" i="1"/>
  <c r="I2615" i="1"/>
  <c r="J2615" i="1" s="1"/>
  <c r="N2614" i="1"/>
  <c r="O2614" i="1" s="1"/>
  <c r="L2614" i="1"/>
  <c r="I2614" i="1"/>
  <c r="J2614" i="1" s="1"/>
  <c r="N2613" i="1"/>
  <c r="O2613" i="1" s="1"/>
  <c r="L2613" i="1"/>
  <c r="I2613" i="1"/>
  <c r="J2613" i="1" s="1"/>
  <c r="N2612" i="1"/>
  <c r="O2612" i="1" s="1"/>
  <c r="L2612" i="1"/>
  <c r="I2612" i="1"/>
  <c r="J2612" i="1" s="1"/>
  <c r="N2611" i="1"/>
  <c r="O2611" i="1" s="1"/>
  <c r="L2611" i="1"/>
  <c r="I2611" i="1"/>
  <c r="J2611" i="1" s="1"/>
  <c r="N2610" i="1"/>
  <c r="O2610" i="1" s="1"/>
  <c r="L2610" i="1"/>
  <c r="I2610" i="1"/>
  <c r="J2610" i="1" s="1"/>
  <c r="N2609" i="1"/>
  <c r="O2609" i="1" s="1"/>
  <c r="L2609" i="1"/>
  <c r="I2609" i="1"/>
  <c r="J2609" i="1" s="1"/>
  <c r="N2608" i="1"/>
  <c r="O2608" i="1" s="1"/>
  <c r="L2608" i="1"/>
  <c r="I2608" i="1"/>
  <c r="J2608" i="1" s="1"/>
  <c r="N2607" i="1"/>
  <c r="O2607" i="1" s="1"/>
  <c r="L2607" i="1"/>
  <c r="I2607" i="1"/>
  <c r="J2607" i="1" s="1"/>
  <c r="N2606" i="1"/>
  <c r="O2606" i="1" s="1"/>
  <c r="L2606" i="1"/>
  <c r="I2606" i="1"/>
  <c r="J2606" i="1" s="1"/>
  <c r="N2605" i="1"/>
  <c r="O2605" i="1" s="1"/>
  <c r="L2605" i="1"/>
  <c r="I2605" i="1"/>
  <c r="J2605" i="1" s="1"/>
  <c r="N2604" i="1"/>
  <c r="O2604" i="1" s="1"/>
  <c r="L2604" i="1"/>
  <c r="I2604" i="1"/>
  <c r="J2604" i="1" s="1"/>
  <c r="N2603" i="1"/>
  <c r="O2603" i="1" s="1"/>
  <c r="L2603" i="1"/>
  <c r="I2603" i="1"/>
  <c r="J2603" i="1" s="1"/>
  <c r="N2602" i="1"/>
  <c r="O2602" i="1" s="1"/>
  <c r="L2602" i="1"/>
  <c r="I2602" i="1"/>
  <c r="J2602" i="1" s="1"/>
  <c r="N2601" i="1"/>
  <c r="O2601" i="1" s="1"/>
  <c r="L2601" i="1"/>
  <c r="I2601" i="1"/>
  <c r="J2601" i="1" s="1"/>
  <c r="N2600" i="1"/>
  <c r="O2600" i="1" s="1"/>
  <c r="L2600" i="1"/>
  <c r="I2600" i="1"/>
  <c r="J2600" i="1" s="1"/>
  <c r="N2599" i="1"/>
  <c r="O2599" i="1" s="1"/>
  <c r="L2599" i="1"/>
  <c r="I2599" i="1"/>
  <c r="J2599" i="1" s="1"/>
  <c r="N2598" i="1"/>
  <c r="O2598" i="1" s="1"/>
  <c r="L2598" i="1"/>
  <c r="I2598" i="1"/>
  <c r="J2598" i="1" s="1"/>
  <c r="N2597" i="1"/>
  <c r="O2597" i="1" s="1"/>
  <c r="L2597" i="1"/>
  <c r="I2597" i="1"/>
  <c r="J2597" i="1" s="1"/>
  <c r="N2596" i="1"/>
  <c r="O2596" i="1" s="1"/>
  <c r="L2596" i="1"/>
  <c r="I2596" i="1"/>
  <c r="J2596" i="1" s="1"/>
  <c r="N2595" i="1"/>
  <c r="O2595" i="1" s="1"/>
  <c r="L2595" i="1"/>
  <c r="I2595" i="1"/>
  <c r="J2595" i="1" s="1"/>
  <c r="N2594" i="1"/>
  <c r="O2594" i="1" s="1"/>
  <c r="L2594" i="1"/>
  <c r="I2594" i="1"/>
  <c r="J2594" i="1" s="1"/>
  <c r="N2593" i="1"/>
  <c r="O2593" i="1" s="1"/>
  <c r="L2593" i="1"/>
  <c r="I2593" i="1"/>
  <c r="J2593" i="1" s="1"/>
  <c r="N2592" i="1"/>
  <c r="O2592" i="1" s="1"/>
  <c r="L2592" i="1"/>
  <c r="I2592" i="1"/>
  <c r="J2592" i="1" s="1"/>
  <c r="N2591" i="1"/>
  <c r="O2591" i="1" s="1"/>
  <c r="L2591" i="1"/>
  <c r="I2591" i="1"/>
  <c r="J2591" i="1" s="1"/>
  <c r="N2590" i="1"/>
  <c r="O2590" i="1" s="1"/>
  <c r="L2590" i="1"/>
  <c r="I2590" i="1"/>
  <c r="J2590" i="1" s="1"/>
  <c r="N2589" i="1"/>
  <c r="O2589" i="1" s="1"/>
  <c r="L2589" i="1"/>
  <c r="I2589" i="1"/>
  <c r="J2589" i="1" s="1"/>
  <c r="N2588" i="1"/>
  <c r="O2588" i="1" s="1"/>
  <c r="L2588" i="1"/>
  <c r="I2588" i="1"/>
  <c r="J2588" i="1" s="1"/>
  <c r="N2587" i="1"/>
  <c r="O2587" i="1" s="1"/>
  <c r="L2587" i="1"/>
  <c r="I2587" i="1"/>
  <c r="J2587" i="1" s="1"/>
  <c r="N2586" i="1"/>
  <c r="O2586" i="1" s="1"/>
  <c r="L2586" i="1"/>
  <c r="I2586" i="1"/>
  <c r="J2586" i="1" s="1"/>
  <c r="N2585" i="1"/>
  <c r="O2585" i="1" s="1"/>
  <c r="L2585" i="1"/>
  <c r="I2585" i="1"/>
  <c r="J2585" i="1" s="1"/>
  <c r="N2584" i="1"/>
  <c r="O2584" i="1" s="1"/>
  <c r="L2584" i="1"/>
  <c r="I2584" i="1"/>
  <c r="J2584" i="1" s="1"/>
  <c r="N2583" i="1"/>
  <c r="O2583" i="1" s="1"/>
  <c r="L2583" i="1"/>
  <c r="I2583" i="1"/>
  <c r="J2583" i="1" s="1"/>
  <c r="N2582" i="1"/>
  <c r="O2582" i="1" s="1"/>
  <c r="L2582" i="1"/>
  <c r="I2582" i="1"/>
  <c r="J2582" i="1" s="1"/>
  <c r="N2581" i="1"/>
  <c r="O2581" i="1" s="1"/>
  <c r="L2581" i="1"/>
  <c r="I2581" i="1"/>
  <c r="J2581" i="1" s="1"/>
  <c r="N2580" i="1"/>
  <c r="O2580" i="1" s="1"/>
  <c r="L2580" i="1"/>
  <c r="I2580" i="1"/>
  <c r="J2580" i="1" s="1"/>
  <c r="N2579" i="1"/>
  <c r="O2579" i="1" s="1"/>
  <c r="L2579" i="1"/>
  <c r="I2579" i="1"/>
  <c r="J2579" i="1" s="1"/>
  <c r="N2578" i="1"/>
  <c r="O2578" i="1" s="1"/>
  <c r="L2578" i="1"/>
  <c r="I2578" i="1"/>
  <c r="J2578" i="1" s="1"/>
  <c r="N2577" i="1"/>
  <c r="O2577" i="1" s="1"/>
  <c r="L2577" i="1"/>
  <c r="I2577" i="1"/>
  <c r="J2577" i="1" s="1"/>
  <c r="N2576" i="1"/>
  <c r="O2576" i="1" s="1"/>
  <c r="L2576" i="1"/>
  <c r="I2576" i="1"/>
  <c r="J2576" i="1" s="1"/>
  <c r="N2575" i="1"/>
  <c r="O2575" i="1" s="1"/>
  <c r="L2575" i="1"/>
  <c r="I2575" i="1"/>
  <c r="J2575" i="1" s="1"/>
  <c r="N2574" i="1"/>
  <c r="O2574" i="1" s="1"/>
  <c r="L2574" i="1"/>
  <c r="I2574" i="1"/>
  <c r="J2574" i="1" s="1"/>
  <c r="N2573" i="1"/>
  <c r="O2573" i="1" s="1"/>
  <c r="L2573" i="1"/>
  <c r="I2573" i="1"/>
  <c r="J2573" i="1" s="1"/>
  <c r="N2572" i="1"/>
  <c r="O2572" i="1" s="1"/>
  <c r="L2572" i="1"/>
  <c r="I2572" i="1"/>
  <c r="J2572" i="1" s="1"/>
  <c r="N2571" i="1"/>
  <c r="O2571" i="1" s="1"/>
  <c r="L2571" i="1"/>
  <c r="I2571" i="1"/>
  <c r="J2571" i="1" s="1"/>
  <c r="N2570" i="1"/>
  <c r="O2570" i="1" s="1"/>
  <c r="L2570" i="1"/>
  <c r="I2570" i="1"/>
  <c r="J2570" i="1" s="1"/>
  <c r="N2569" i="1"/>
  <c r="O2569" i="1" s="1"/>
  <c r="L2569" i="1"/>
  <c r="I2569" i="1"/>
  <c r="J2569" i="1" s="1"/>
  <c r="N2568" i="1"/>
  <c r="O2568" i="1" s="1"/>
  <c r="L2568" i="1"/>
  <c r="I2568" i="1"/>
  <c r="J2568" i="1" s="1"/>
  <c r="N2567" i="1"/>
  <c r="O2567" i="1" s="1"/>
  <c r="L2567" i="1"/>
  <c r="I2567" i="1"/>
  <c r="J2567" i="1" s="1"/>
  <c r="N2566" i="1"/>
  <c r="O2566" i="1" s="1"/>
  <c r="L2566" i="1"/>
  <c r="I2566" i="1"/>
  <c r="J2566" i="1" s="1"/>
  <c r="N2565" i="1"/>
  <c r="O2565" i="1" s="1"/>
  <c r="L2565" i="1"/>
  <c r="J2565" i="1"/>
  <c r="I2565" i="1"/>
  <c r="N2564" i="1"/>
  <c r="O2564" i="1" s="1"/>
  <c r="L2564" i="1"/>
  <c r="J2564" i="1"/>
  <c r="I2564" i="1"/>
  <c r="N2563" i="1"/>
  <c r="O2563" i="1" s="1"/>
  <c r="L2563" i="1"/>
  <c r="I2563" i="1"/>
  <c r="J2563" i="1" s="1"/>
  <c r="N2562" i="1"/>
  <c r="O2562" i="1" s="1"/>
  <c r="L2562" i="1"/>
  <c r="I2562" i="1"/>
  <c r="J2562" i="1" s="1"/>
  <c r="O2561" i="1"/>
  <c r="N2561" i="1"/>
  <c r="L2561" i="1"/>
  <c r="I2561" i="1"/>
  <c r="J2561" i="1" s="1"/>
  <c r="N2560" i="1"/>
  <c r="O2560" i="1" s="1"/>
  <c r="L2560" i="1"/>
  <c r="I2560" i="1"/>
  <c r="J2560" i="1" s="1"/>
  <c r="N2559" i="1"/>
  <c r="O2559" i="1" s="1"/>
  <c r="L2559" i="1"/>
  <c r="I2559" i="1"/>
  <c r="J2559" i="1" s="1"/>
  <c r="N2558" i="1"/>
  <c r="O2558" i="1" s="1"/>
  <c r="L2558" i="1"/>
  <c r="I2558" i="1"/>
  <c r="J2558" i="1" s="1"/>
  <c r="N2557" i="1"/>
  <c r="O2557" i="1" s="1"/>
  <c r="L2557" i="1"/>
  <c r="J2557" i="1"/>
  <c r="I2557" i="1"/>
  <c r="N2556" i="1"/>
  <c r="O2556" i="1" s="1"/>
  <c r="L2556" i="1"/>
  <c r="J2556" i="1"/>
  <c r="I2556" i="1"/>
  <c r="N2555" i="1"/>
  <c r="O2555" i="1" s="1"/>
  <c r="L2555" i="1"/>
  <c r="I2555" i="1"/>
  <c r="J2555" i="1" s="1"/>
  <c r="N2554" i="1"/>
  <c r="O2554" i="1" s="1"/>
  <c r="L2554" i="1"/>
  <c r="I2554" i="1"/>
  <c r="J2554" i="1" s="1"/>
  <c r="O2553" i="1"/>
  <c r="N2553" i="1"/>
  <c r="L2553" i="1"/>
  <c r="I2553" i="1"/>
  <c r="J2553" i="1" s="1"/>
  <c r="N2552" i="1"/>
  <c r="O2552" i="1" s="1"/>
  <c r="L2552" i="1"/>
  <c r="I2552" i="1"/>
  <c r="J2552" i="1" s="1"/>
  <c r="N2551" i="1"/>
  <c r="O2551" i="1" s="1"/>
  <c r="L2551" i="1"/>
  <c r="I2551" i="1"/>
  <c r="J2551" i="1" s="1"/>
  <c r="N2550" i="1"/>
  <c r="O2550" i="1" s="1"/>
  <c r="L2550" i="1"/>
  <c r="I2550" i="1"/>
  <c r="J2550" i="1" s="1"/>
  <c r="N2549" i="1"/>
  <c r="O2549" i="1" s="1"/>
  <c r="L2549" i="1"/>
  <c r="J2549" i="1"/>
  <c r="I2549" i="1"/>
  <c r="N2548" i="1"/>
  <c r="O2548" i="1" s="1"/>
  <c r="L2548" i="1"/>
  <c r="J2548" i="1"/>
  <c r="I2548" i="1"/>
  <c r="N2547" i="1"/>
  <c r="O2547" i="1" s="1"/>
  <c r="L2547" i="1"/>
  <c r="I2547" i="1"/>
  <c r="J2547" i="1" s="1"/>
  <c r="N2546" i="1"/>
  <c r="O2546" i="1" s="1"/>
  <c r="L2546" i="1"/>
  <c r="I2546" i="1"/>
  <c r="J2546" i="1" s="1"/>
  <c r="O2545" i="1"/>
  <c r="N2545" i="1"/>
  <c r="L2545" i="1"/>
  <c r="I2545" i="1"/>
  <c r="J2545" i="1" s="1"/>
  <c r="N2544" i="1"/>
  <c r="O2544" i="1" s="1"/>
  <c r="L2544" i="1"/>
  <c r="I2544" i="1"/>
  <c r="J2544" i="1" s="1"/>
  <c r="N2543" i="1"/>
  <c r="O2543" i="1" s="1"/>
  <c r="L2543" i="1"/>
  <c r="I2543" i="1"/>
  <c r="J2543" i="1" s="1"/>
  <c r="N2542" i="1"/>
  <c r="O2542" i="1" s="1"/>
  <c r="L2542" i="1"/>
  <c r="I2542" i="1"/>
  <c r="J2542" i="1" s="1"/>
  <c r="N2541" i="1"/>
  <c r="O2541" i="1" s="1"/>
  <c r="L2541" i="1"/>
  <c r="J2541" i="1"/>
  <c r="I2541" i="1"/>
  <c r="N2540" i="1"/>
  <c r="O2540" i="1" s="1"/>
  <c r="L2540" i="1"/>
  <c r="J2540" i="1"/>
  <c r="I2540" i="1"/>
  <c r="N2539" i="1"/>
  <c r="O2539" i="1" s="1"/>
  <c r="L2539" i="1"/>
  <c r="I2539" i="1"/>
  <c r="J2539" i="1" s="1"/>
  <c r="N2538" i="1"/>
  <c r="O2538" i="1" s="1"/>
  <c r="L2538" i="1"/>
  <c r="I2538" i="1"/>
  <c r="J2538" i="1" s="1"/>
  <c r="O2537" i="1"/>
  <c r="N2537" i="1"/>
  <c r="L2537" i="1"/>
  <c r="I2537" i="1"/>
  <c r="J2537" i="1" s="1"/>
  <c r="N2536" i="1"/>
  <c r="O2536" i="1" s="1"/>
  <c r="L2536" i="1"/>
  <c r="I2536" i="1"/>
  <c r="J2536" i="1" s="1"/>
  <c r="N2535" i="1"/>
  <c r="O2535" i="1" s="1"/>
  <c r="L2535" i="1"/>
  <c r="I2535" i="1"/>
  <c r="J2535" i="1" s="1"/>
  <c r="N2534" i="1"/>
  <c r="O2534" i="1" s="1"/>
  <c r="L2534" i="1"/>
  <c r="I2534" i="1"/>
  <c r="J2534" i="1" s="1"/>
  <c r="N2533" i="1"/>
  <c r="O2533" i="1" s="1"/>
  <c r="L2533" i="1"/>
  <c r="J2533" i="1"/>
  <c r="I2533" i="1"/>
  <c r="N2532" i="1"/>
  <c r="O2532" i="1" s="1"/>
  <c r="L2532" i="1"/>
  <c r="J2532" i="1"/>
  <c r="I2532" i="1"/>
  <c r="N2531" i="1"/>
  <c r="O2531" i="1" s="1"/>
  <c r="L2531" i="1"/>
  <c r="I2531" i="1"/>
  <c r="J2531" i="1" s="1"/>
  <c r="N2530" i="1"/>
  <c r="O2530" i="1" s="1"/>
  <c r="L2530" i="1"/>
  <c r="I2530" i="1"/>
  <c r="J2530" i="1" s="1"/>
  <c r="O2529" i="1"/>
  <c r="N2529" i="1"/>
  <c r="L2529" i="1"/>
  <c r="I2529" i="1"/>
  <c r="J2529" i="1" s="1"/>
  <c r="N2528" i="1"/>
  <c r="O2528" i="1" s="1"/>
  <c r="L2528" i="1"/>
  <c r="I2528" i="1"/>
  <c r="J2528" i="1" s="1"/>
  <c r="N2527" i="1"/>
  <c r="O2527" i="1" s="1"/>
  <c r="L2527" i="1"/>
  <c r="I2527" i="1"/>
  <c r="J2527" i="1" s="1"/>
  <c r="N2526" i="1"/>
  <c r="O2526" i="1" s="1"/>
  <c r="L2526" i="1"/>
  <c r="I2526" i="1"/>
  <c r="J2526" i="1" s="1"/>
  <c r="N2525" i="1"/>
  <c r="O2525" i="1" s="1"/>
  <c r="L2525" i="1"/>
  <c r="J2525" i="1"/>
  <c r="I2525" i="1"/>
  <c r="N2524" i="1"/>
  <c r="O2524" i="1" s="1"/>
  <c r="L2524" i="1"/>
  <c r="J2524" i="1"/>
  <c r="I2524" i="1"/>
  <c r="N2523" i="1"/>
  <c r="O2523" i="1" s="1"/>
  <c r="L2523" i="1"/>
  <c r="I2523" i="1"/>
  <c r="J2523" i="1" s="1"/>
  <c r="N2522" i="1"/>
  <c r="O2522" i="1" s="1"/>
  <c r="L2522" i="1"/>
  <c r="I2522" i="1"/>
  <c r="J2522" i="1" s="1"/>
  <c r="O2521" i="1"/>
  <c r="N2521" i="1"/>
  <c r="L2521" i="1"/>
  <c r="I2521" i="1"/>
  <c r="J2521" i="1" s="1"/>
  <c r="N2520" i="1"/>
  <c r="O2520" i="1" s="1"/>
  <c r="L2520" i="1"/>
  <c r="I2520" i="1"/>
  <c r="J2520" i="1" s="1"/>
  <c r="N2519" i="1"/>
  <c r="O2519" i="1" s="1"/>
  <c r="L2519" i="1"/>
  <c r="I2519" i="1"/>
  <c r="J2519" i="1" s="1"/>
  <c r="N2518" i="1"/>
  <c r="O2518" i="1" s="1"/>
  <c r="L2518" i="1"/>
  <c r="J2518" i="1"/>
  <c r="I2518" i="1"/>
  <c r="O2517" i="1"/>
  <c r="N2517" i="1"/>
  <c r="L2517" i="1"/>
  <c r="I2517" i="1"/>
  <c r="J2517" i="1" s="1"/>
  <c r="N2516" i="1"/>
  <c r="O2516" i="1" s="1"/>
  <c r="L2516" i="1"/>
  <c r="J2516" i="1"/>
  <c r="I2516" i="1"/>
  <c r="N2515" i="1"/>
  <c r="O2515" i="1" s="1"/>
  <c r="L2515" i="1"/>
  <c r="I2515" i="1"/>
  <c r="J2515" i="1" s="1"/>
  <c r="N2514" i="1"/>
  <c r="O2514" i="1" s="1"/>
  <c r="L2514" i="1"/>
  <c r="I2514" i="1"/>
  <c r="J2514" i="1" s="1"/>
  <c r="N2513" i="1"/>
  <c r="O2513" i="1" s="1"/>
  <c r="L2513" i="1"/>
  <c r="I2513" i="1"/>
  <c r="J2513" i="1" s="1"/>
  <c r="N2512" i="1"/>
  <c r="O2512" i="1" s="1"/>
  <c r="L2512" i="1"/>
  <c r="I2512" i="1"/>
  <c r="J2512" i="1" s="1"/>
  <c r="N2511" i="1"/>
  <c r="O2511" i="1" s="1"/>
  <c r="L2511" i="1"/>
  <c r="I2511" i="1"/>
  <c r="J2511" i="1" s="1"/>
  <c r="N2510" i="1"/>
  <c r="O2510" i="1" s="1"/>
  <c r="L2510" i="1"/>
  <c r="J2510" i="1"/>
  <c r="I2510" i="1"/>
  <c r="O2509" i="1"/>
  <c r="N2509" i="1"/>
  <c r="L2509" i="1"/>
  <c r="I2509" i="1"/>
  <c r="J2509" i="1" s="1"/>
  <c r="N2508" i="1"/>
  <c r="O2508" i="1" s="1"/>
  <c r="L2508" i="1"/>
  <c r="J2508" i="1"/>
  <c r="I2508" i="1"/>
  <c r="N2507" i="1"/>
  <c r="O2507" i="1" s="1"/>
  <c r="L2507" i="1"/>
  <c r="I2507" i="1"/>
  <c r="J2507" i="1" s="1"/>
  <c r="N2506" i="1"/>
  <c r="O2506" i="1" s="1"/>
  <c r="L2506" i="1"/>
  <c r="I2506" i="1"/>
  <c r="J2506" i="1" s="1"/>
  <c r="N2505" i="1"/>
  <c r="O2505" i="1" s="1"/>
  <c r="L2505" i="1"/>
  <c r="I2505" i="1"/>
  <c r="J2505" i="1" s="1"/>
  <c r="N2504" i="1"/>
  <c r="O2504" i="1" s="1"/>
  <c r="L2504" i="1"/>
  <c r="I2504" i="1"/>
  <c r="J2504" i="1" s="1"/>
  <c r="N2503" i="1"/>
  <c r="O2503" i="1" s="1"/>
  <c r="L2503" i="1"/>
  <c r="I2503" i="1"/>
  <c r="J2503" i="1" s="1"/>
  <c r="N2502" i="1"/>
  <c r="O2502" i="1" s="1"/>
  <c r="L2502" i="1"/>
  <c r="J2502" i="1"/>
  <c r="I2502" i="1"/>
  <c r="O2501" i="1"/>
  <c r="N2501" i="1"/>
  <c r="L2501" i="1"/>
  <c r="I2501" i="1"/>
  <c r="J2501" i="1" s="1"/>
  <c r="N2500" i="1"/>
  <c r="O2500" i="1" s="1"/>
  <c r="L2500" i="1"/>
  <c r="J2500" i="1"/>
  <c r="I2500" i="1"/>
  <c r="N2499" i="1"/>
  <c r="O2499" i="1" s="1"/>
  <c r="L2499" i="1"/>
  <c r="I2499" i="1"/>
  <c r="J2499" i="1" s="1"/>
  <c r="N2498" i="1"/>
  <c r="O2498" i="1" s="1"/>
  <c r="L2498" i="1"/>
  <c r="I2498" i="1"/>
  <c r="J2498" i="1" s="1"/>
  <c r="N2497" i="1"/>
  <c r="O2497" i="1" s="1"/>
  <c r="L2497" i="1"/>
  <c r="I2497" i="1"/>
  <c r="J2497" i="1" s="1"/>
  <c r="N2496" i="1"/>
  <c r="O2496" i="1" s="1"/>
  <c r="L2496" i="1"/>
  <c r="I2496" i="1"/>
  <c r="J2496" i="1" s="1"/>
  <c r="N2495" i="1"/>
  <c r="O2495" i="1" s="1"/>
  <c r="L2495" i="1"/>
  <c r="I2495" i="1"/>
  <c r="J2495" i="1" s="1"/>
  <c r="N2494" i="1"/>
  <c r="O2494" i="1" s="1"/>
  <c r="L2494" i="1"/>
  <c r="J2494" i="1"/>
  <c r="I2494" i="1"/>
  <c r="O2493" i="1"/>
  <c r="N2493" i="1"/>
  <c r="L2493" i="1"/>
  <c r="I2493" i="1"/>
  <c r="J2493" i="1" s="1"/>
  <c r="N2492" i="1"/>
  <c r="O2492" i="1" s="1"/>
  <c r="L2492" i="1"/>
  <c r="J2492" i="1"/>
  <c r="I2492" i="1"/>
  <c r="N2491" i="1"/>
  <c r="O2491" i="1" s="1"/>
  <c r="L2491" i="1"/>
  <c r="I2491" i="1"/>
  <c r="J2491" i="1" s="1"/>
  <c r="N2490" i="1"/>
  <c r="O2490" i="1" s="1"/>
  <c r="L2490" i="1"/>
  <c r="I2490" i="1"/>
  <c r="J2490" i="1" s="1"/>
  <c r="N2489" i="1"/>
  <c r="O2489" i="1" s="1"/>
  <c r="L2489" i="1"/>
  <c r="I2489" i="1"/>
  <c r="J2489" i="1" s="1"/>
  <c r="N2488" i="1"/>
  <c r="O2488" i="1" s="1"/>
  <c r="L2488" i="1"/>
  <c r="I2488" i="1"/>
  <c r="J2488" i="1" s="1"/>
  <c r="N2487" i="1"/>
  <c r="O2487" i="1" s="1"/>
  <c r="L2487" i="1"/>
  <c r="I2487" i="1"/>
  <c r="J2487" i="1" s="1"/>
  <c r="N2486" i="1"/>
  <c r="O2486" i="1" s="1"/>
  <c r="L2486" i="1"/>
  <c r="J2486" i="1"/>
  <c r="I2486" i="1"/>
  <c r="O2485" i="1"/>
  <c r="N2485" i="1"/>
  <c r="L2485" i="1"/>
  <c r="I2485" i="1"/>
  <c r="J2485" i="1" s="1"/>
  <c r="N2484" i="1"/>
  <c r="O2484" i="1" s="1"/>
  <c r="L2484" i="1"/>
  <c r="J2484" i="1"/>
  <c r="I2484" i="1"/>
  <c r="N2483" i="1"/>
  <c r="O2483" i="1" s="1"/>
  <c r="L2483" i="1"/>
  <c r="I2483" i="1"/>
  <c r="J2483" i="1" s="1"/>
  <c r="N2482" i="1"/>
  <c r="O2482" i="1" s="1"/>
  <c r="L2482" i="1"/>
  <c r="I2482" i="1"/>
  <c r="J2482" i="1" s="1"/>
  <c r="N2481" i="1"/>
  <c r="O2481" i="1" s="1"/>
  <c r="L2481" i="1"/>
  <c r="I2481" i="1"/>
  <c r="J2481" i="1" s="1"/>
  <c r="N2480" i="1"/>
  <c r="O2480" i="1" s="1"/>
  <c r="L2480" i="1"/>
  <c r="I2480" i="1"/>
  <c r="J2480" i="1" s="1"/>
  <c r="N2479" i="1"/>
  <c r="O2479" i="1" s="1"/>
  <c r="L2479" i="1"/>
  <c r="I2479" i="1"/>
  <c r="J2479" i="1" s="1"/>
  <c r="N2478" i="1"/>
  <c r="O2478" i="1" s="1"/>
  <c r="L2478" i="1"/>
  <c r="J2478" i="1"/>
  <c r="I2478" i="1"/>
  <c r="O2477" i="1"/>
  <c r="N2477" i="1"/>
  <c r="L2477" i="1"/>
  <c r="I2477" i="1"/>
  <c r="J2477" i="1" s="1"/>
  <c r="N2476" i="1"/>
  <c r="O2476" i="1" s="1"/>
  <c r="L2476" i="1"/>
  <c r="J2476" i="1"/>
  <c r="I2476" i="1"/>
  <c r="O2475" i="1"/>
  <c r="N2475" i="1"/>
  <c r="L2475" i="1"/>
  <c r="I2475" i="1"/>
  <c r="J2475" i="1" s="1"/>
  <c r="N2474" i="1"/>
  <c r="O2474" i="1" s="1"/>
  <c r="L2474" i="1"/>
  <c r="J2474" i="1"/>
  <c r="I2474" i="1"/>
  <c r="O2473" i="1"/>
  <c r="N2473" i="1"/>
  <c r="L2473" i="1"/>
  <c r="I2473" i="1"/>
  <c r="J2473" i="1" s="1"/>
  <c r="N2472" i="1"/>
  <c r="O2472" i="1" s="1"/>
  <c r="L2472" i="1"/>
  <c r="J2472" i="1"/>
  <c r="I2472" i="1"/>
  <c r="O2471" i="1"/>
  <c r="N2471" i="1"/>
  <c r="L2471" i="1"/>
  <c r="I2471" i="1"/>
  <c r="J2471" i="1" s="1"/>
  <c r="N2470" i="1"/>
  <c r="O2470" i="1" s="1"/>
  <c r="L2470" i="1"/>
  <c r="J2470" i="1"/>
  <c r="I2470" i="1"/>
  <c r="O2469" i="1"/>
  <c r="N2469" i="1"/>
  <c r="L2469" i="1"/>
  <c r="I2469" i="1"/>
  <c r="J2469" i="1" s="1"/>
  <c r="N2468" i="1"/>
  <c r="O2468" i="1" s="1"/>
  <c r="L2468" i="1"/>
  <c r="J2468" i="1"/>
  <c r="I2468" i="1"/>
  <c r="O2467" i="1"/>
  <c r="N2467" i="1"/>
  <c r="L2467" i="1"/>
  <c r="I2467" i="1"/>
  <c r="J2467" i="1" s="1"/>
  <c r="N2466" i="1"/>
  <c r="O2466" i="1" s="1"/>
  <c r="L2466" i="1"/>
  <c r="J2466" i="1"/>
  <c r="I2466" i="1"/>
  <c r="O2465" i="1"/>
  <c r="N2465" i="1"/>
  <c r="L2465" i="1"/>
  <c r="I2465" i="1"/>
  <c r="J2465" i="1" s="1"/>
  <c r="N2464" i="1"/>
  <c r="O2464" i="1" s="1"/>
  <c r="L2464" i="1"/>
  <c r="J2464" i="1"/>
  <c r="I2464" i="1"/>
  <c r="O2463" i="1"/>
  <c r="N2463" i="1"/>
  <c r="L2463" i="1"/>
  <c r="I2463" i="1"/>
  <c r="J2463" i="1" s="1"/>
  <c r="N2462" i="1"/>
  <c r="O2462" i="1" s="1"/>
  <c r="L2462" i="1"/>
  <c r="J2462" i="1"/>
  <c r="I2462" i="1"/>
  <c r="O2461" i="1"/>
  <c r="N2461" i="1"/>
  <c r="L2461" i="1"/>
  <c r="I2461" i="1"/>
  <c r="J2461" i="1" s="1"/>
  <c r="N2460" i="1"/>
  <c r="O2460" i="1" s="1"/>
  <c r="L2460" i="1"/>
  <c r="J2460" i="1"/>
  <c r="I2460" i="1"/>
  <c r="O2459" i="1"/>
  <c r="N2459" i="1"/>
  <c r="L2459" i="1"/>
  <c r="I2459" i="1"/>
  <c r="J2459" i="1" s="1"/>
  <c r="N2458" i="1"/>
  <c r="O2458" i="1" s="1"/>
  <c r="L2458" i="1"/>
  <c r="J2458" i="1"/>
  <c r="I2458" i="1"/>
  <c r="O2457" i="1"/>
  <c r="N2457" i="1"/>
  <c r="L2457" i="1"/>
  <c r="I2457" i="1"/>
  <c r="J2457" i="1" s="1"/>
  <c r="N2456" i="1"/>
  <c r="O2456" i="1" s="1"/>
  <c r="L2456" i="1"/>
  <c r="J2456" i="1"/>
  <c r="I2456" i="1"/>
  <c r="O2455" i="1"/>
  <c r="N2455" i="1"/>
  <c r="L2455" i="1"/>
  <c r="I2455" i="1"/>
  <c r="J2455" i="1" s="1"/>
  <c r="N2454" i="1"/>
  <c r="O2454" i="1" s="1"/>
  <c r="L2454" i="1"/>
  <c r="J2454" i="1"/>
  <c r="I2454" i="1"/>
  <c r="O2453" i="1"/>
  <c r="N2453" i="1"/>
  <c r="L2453" i="1"/>
  <c r="I2453" i="1"/>
  <c r="J2453" i="1" s="1"/>
  <c r="N2452" i="1"/>
  <c r="O2452" i="1" s="1"/>
  <c r="L2452" i="1"/>
  <c r="J2452" i="1"/>
  <c r="I2452" i="1"/>
  <c r="O2451" i="1"/>
  <c r="N2451" i="1"/>
  <c r="L2451" i="1"/>
  <c r="I2451" i="1"/>
  <c r="J2451" i="1" s="1"/>
  <c r="N2450" i="1"/>
  <c r="O2450" i="1" s="1"/>
  <c r="L2450" i="1"/>
  <c r="J2450" i="1"/>
  <c r="I2450" i="1"/>
  <c r="O2449" i="1"/>
  <c r="N2449" i="1"/>
  <c r="L2449" i="1"/>
  <c r="I2449" i="1"/>
  <c r="J2449" i="1" s="1"/>
  <c r="N2448" i="1"/>
  <c r="O2448" i="1" s="1"/>
  <c r="L2448" i="1"/>
  <c r="J2448" i="1"/>
  <c r="I2448" i="1"/>
  <c r="O2447" i="1"/>
  <c r="N2447" i="1"/>
  <c r="L2447" i="1"/>
  <c r="I2447" i="1"/>
  <c r="J2447" i="1" s="1"/>
  <c r="N2446" i="1"/>
  <c r="O2446" i="1" s="1"/>
  <c r="L2446" i="1"/>
  <c r="J2446" i="1"/>
  <c r="I2446" i="1"/>
  <c r="O2445" i="1"/>
  <c r="N2445" i="1"/>
  <c r="L2445" i="1"/>
  <c r="I2445" i="1"/>
  <c r="J2445" i="1" s="1"/>
  <c r="N2444" i="1"/>
  <c r="O2444" i="1" s="1"/>
  <c r="L2444" i="1"/>
  <c r="J2444" i="1"/>
  <c r="I2444" i="1"/>
  <c r="O2443" i="1"/>
  <c r="N2443" i="1"/>
  <c r="L2443" i="1"/>
  <c r="I2443" i="1"/>
  <c r="J2443" i="1" s="1"/>
  <c r="N2442" i="1"/>
  <c r="O2442" i="1" s="1"/>
  <c r="L2442" i="1"/>
  <c r="J2442" i="1"/>
  <c r="I2442" i="1"/>
  <c r="O2441" i="1"/>
  <c r="N2441" i="1"/>
  <c r="L2441" i="1"/>
  <c r="I2441" i="1"/>
  <c r="J2441" i="1" s="1"/>
  <c r="N2440" i="1"/>
  <c r="O2440" i="1" s="1"/>
  <c r="L2440" i="1"/>
  <c r="J2440" i="1"/>
  <c r="I2440" i="1"/>
  <c r="O2439" i="1"/>
  <c r="N2439" i="1"/>
  <c r="L2439" i="1"/>
  <c r="I2439" i="1"/>
  <c r="J2439" i="1" s="1"/>
  <c r="N2438" i="1"/>
  <c r="O2438" i="1" s="1"/>
  <c r="L2438" i="1"/>
  <c r="J2438" i="1"/>
  <c r="I2438" i="1"/>
  <c r="O2437" i="1"/>
  <c r="N2437" i="1"/>
  <c r="L2437" i="1"/>
  <c r="I2437" i="1"/>
  <c r="J2437" i="1" s="1"/>
  <c r="N2436" i="1"/>
  <c r="O2436" i="1" s="1"/>
  <c r="L2436" i="1"/>
  <c r="J2436" i="1"/>
  <c r="I2436" i="1"/>
  <c r="O2435" i="1"/>
  <c r="N2435" i="1"/>
  <c r="L2435" i="1"/>
  <c r="I2435" i="1"/>
  <c r="J2435" i="1" s="1"/>
  <c r="N2434" i="1"/>
  <c r="O2434" i="1" s="1"/>
  <c r="L2434" i="1"/>
  <c r="J2434" i="1"/>
  <c r="I2434" i="1"/>
  <c r="O2433" i="1"/>
  <c r="N2433" i="1"/>
  <c r="L2433" i="1"/>
  <c r="I2433" i="1"/>
  <c r="J2433" i="1" s="1"/>
  <c r="N2432" i="1"/>
  <c r="O2432" i="1" s="1"/>
  <c r="L2432" i="1"/>
  <c r="J2432" i="1"/>
  <c r="I2432" i="1"/>
  <c r="O2431" i="1"/>
  <c r="N2431" i="1"/>
  <c r="L2431" i="1"/>
  <c r="I2431" i="1"/>
  <c r="J2431" i="1" s="1"/>
  <c r="N2430" i="1"/>
  <c r="O2430" i="1" s="1"/>
  <c r="L2430" i="1"/>
  <c r="J2430" i="1"/>
  <c r="I2430" i="1"/>
  <c r="O2429" i="1"/>
  <c r="N2429" i="1"/>
  <c r="L2429" i="1"/>
  <c r="I2429" i="1"/>
  <c r="J2429" i="1" s="1"/>
  <c r="N2428" i="1"/>
  <c r="O2428" i="1" s="1"/>
  <c r="L2428" i="1"/>
  <c r="J2428" i="1"/>
  <c r="I2428" i="1"/>
  <c r="O2427" i="1"/>
  <c r="N2427" i="1"/>
  <c r="L2427" i="1"/>
  <c r="I2427" i="1"/>
  <c r="J2427" i="1" s="1"/>
  <c r="N2426" i="1"/>
  <c r="O2426" i="1" s="1"/>
  <c r="L2426" i="1"/>
  <c r="J2426" i="1"/>
  <c r="I2426" i="1"/>
  <c r="O2425" i="1"/>
  <c r="N2425" i="1"/>
  <c r="L2425" i="1"/>
  <c r="I2425" i="1"/>
  <c r="J2425" i="1" s="1"/>
  <c r="N2424" i="1"/>
  <c r="O2424" i="1" s="1"/>
  <c r="L2424" i="1"/>
  <c r="J2424" i="1"/>
  <c r="I2424" i="1"/>
  <c r="O2423" i="1"/>
  <c r="N2423" i="1"/>
  <c r="L2423" i="1"/>
  <c r="I2423" i="1"/>
  <c r="J2423" i="1" s="1"/>
  <c r="N2422" i="1"/>
  <c r="O2422" i="1" s="1"/>
  <c r="L2422" i="1"/>
  <c r="J2422" i="1"/>
  <c r="I2422" i="1"/>
  <c r="O2421" i="1"/>
  <c r="N2421" i="1"/>
  <c r="L2421" i="1"/>
  <c r="I2421" i="1"/>
  <c r="J2421" i="1" s="1"/>
  <c r="N2420" i="1"/>
  <c r="O2420" i="1" s="1"/>
  <c r="L2420" i="1"/>
  <c r="J2420" i="1"/>
  <c r="I2420" i="1"/>
  <c r="O2419" i="1"/>
  <c r="N2419" i="1"/>
  <c r="L2419" i="1"/>
  <c r="I2419" i="1"/>
  <c r="J2419" i="1" s="1"/>
  <c r="N2418" i="1"/>
  <c r="O2418" i="1" s="1"/>
  <c r="L2418" i="1"/>
  <c r="J2418" i="1"/>
  <c r="I2418" i="1"/>
  <c r="O2417" i="1"/>
  <c r="N2417" i="1"/>
  <c r="L2417" i="1"/>
  <c r="I2417" i="1"/>
  <c r="J2417" i="1" s="1"/>
  <c r="N2416" i="1"/>
  <c r="O2416" i="1" s="1"/>
  <c r="L2416" i="1"/>
  <c r="J2416" i="1"/>
  <c r="I2416" i="1"/>
  <c r="O2415" i="1"/>
  <c r="N2415" i="1"/>
  <c r="L2415" i="1"/>
  <c r="I2415" i="1"/>
  <c r="J2415" i="1" s="1"/>
  <c r="N2414" i="1"/>
  <c r="O2414" i="1" s="1"/>
  <c r="L2414" i="1"/>
  <c r="J2414" i="1"/>
  <c r="I2414" i="1"/>
  <c r="O2413" i="1"/>
  <c r="N2413" i="1"/>
  <c r="L2413" i="1"/>
  <c r="I2413" i="1"/>
  <c r="J2413" i="1" s="1"/>
  <c r="N2412" i="1"/>
  <c r="O2412" i="1" s="1"/>
  <c r="L2412" i="1"/>
  <c r="J2412" i="1"/>
  <c r="I2412" i="1"/>
  <c r="O2411" i="1"/>
  <c r="N2411" i="1"/>
  <c r="L2411" i="1"/>
  <c r="I2411" i="1"/>
  <c r="J2411" i="1" s="1"/>
  <c r="N2410" i="1"/>
  <c r="O2410" i="1" s="1"/>
  <c r="L2410" i="1"/>
  <c r="I2410" i="1"/>
  <c r="J2410" i="1" s="1"/>
  <c r="O2409" i="1"/>
  <c r="N2409" i="1"/>
  <c r="L2409" i="1"/>
  <c r="I2409" i="1"/>
  <c r="J2409" i="1" s="1"/>
  <c r="N2408" i="1"/>
  <c r="O2408" i="1" s="1"/>
  <c r="L2408" i="1"/>
  <c r="I2408" i="1"/>
  <c r="J2408" i="1" s="1"/>
  <c r="O2407" i="1"/>
  <c r="N2407" i="1"/>
  <c r="L2407" i="1"/>
  <c r="I2407" i="1"/>
  <c r="J2407" i="1" s="1"/>
  <c r="N2406" i="1"/>
  <c r="O2406" i="1" s="1"/>
  <c r="L2406" i="1"/>
  <c r="I2406" i="1"/>
  <c r="J2406" i="1" s="1"/>
  <c r="O2405" i="1"/>
  <c r="N2405" i="1"/>
  <c r="L2405" i="1"/>
  <c r="I2405" i="1"/>
  <c r="J2405" i="1" s="1"/>
  <c r="N2404" i="1"/>
  <c r="O2404" i="1" s="1"/>
  <c r="L2404" i="1"/>
  <c r="I2404" i="1"/>
  <c r="J2404" i="1" s="1"/>
  <c r="O2403" i="1"/>
  <c r="N2403" i="1"/>
  <c r="L2403" i="1"/>
  <c r="I2403" i="1"/>
  <c r="J2403" i="1" s="1"/>
  <c r="N2402" i="1"/>
  <c r="O2402" i="1" s="1"/>
  <c r="L2402" i="1"/>
  <c r="I2402" i="1"/>
  <c r="J2402" i="1" s="1"/>
  <c r="O2401" i="1"/>
  <c r="N2401" i="1"/>
  <c r="L2401" i="1"/>
  <c r="I2401" i="1"/>
  <c r="J2401" i="1" s="1"/>
  <c r="N2400" i="1"/>
  <c r="O2400" i="1" s="1"/>
  <c r="L2400" i="1"/>
  <c r="I2400" i="1"/>
  <c r="J2400" i="1" s="1"/>
  <c r="O2399" i="1"/>
  <c r="N2399" i="1"/>
  <c r="L2399" i="1"/>
  <c r="I2399" i="1"/>
  <c r="J2399" i="1" s="1"/>
  <c r="N2398" i="1"/>
  <c r="O2398" i="1" s="1"/>
  <c r="L2398" i="1"/>
  <c r="I2398" i="1"/>
  <c r="J2398" i="1" s="1"/>
  <c r="O2397" i="1"/>
  <c r="N2397" i="1"/>
  <c r="L2397" i="1"/>
  <c r="I2397" i="1"/>
  <c r="J2397" i="1" s="1"/>
  <c r="N2396" i="1"/>
  <c r="O2396" i="1" s="1"/>
  <c r="L2396" i="1"/>
  <c r="I2396" i="1"/>
  <c r="J2396" i="1" s="1"/>
  <c r="O2395" i="1"/>
  <c r="N2395" i="1"/>
  <c r="L2395" i="1"/>
  <c r="I2395" i="1"/>
  <c r="J2395" i="1" s="1"/>
  <c r="N2394" i="1"/>
  <c r="O2394" i="1" s="1"/>
  <c r="L2394" i="1"/>
  <c r="I2394" i="1"/>
  <c r="J2394" i="1" s="1"/>
  <c r="O2393" i="1"/>
  <c r="N2393" i="1"/>
  <c r="L2393" i="1"/>
  <c r="I2393" i="1"/>
  <c r="J2393" i="1" s="1"/>
  <c r="N2392" i="1"/>
  <c r="O2392" i="1" s="1"/>
  <c r="L2392" i="1"/>
  <c r="I2392" i="1"/>
  <c r="J2392" i="1" s="1"/>
  <c r="O2391" i="1"/>
  <c r="N2391" i="1"/>
  <c r="L2391" i="1"/>
  <c r="I2391" i="1"/>
  <c r="J2391" i="1" s="1"/>
  <c r="N2390" i="1"/>
  <c r="O2390" i="1" s="1"/>
  <c r="L2390" i="1"/>
  <c r="I2390" i="1"/>
  <c r="J2390" i="1" s="1"/>
  <c r="O2389" i="1"/>
  <c r="N2389" i="1"/>
  <c r="L2389" i="1"/>
  <c r="I2389" i="1"/>
  <c r="J2389" i="1" s="1"/>
  <c r="N2388" i="1"/>
  <c r="O2388" i="1" s="1"/>
  <c r="L2388" i="1"/>
  <c r="I2388" i="1"/>
  <c r="J2388" i="1" s="1"/>
  <c r="O2387" i="1"/>
  <c r="N2387" i="1"/>
  <c r="L2387" i="1"/>
  <c r="I2387" i="1"/>
  <c r="J2387" i="1" s="1"/>
  <c r="N2386" i="1"/>
  <c r="O2386" i="1" s="1"/>
  <c r="L2386" i="1"/>
  <c r="I2386" i="1"/>
  <c r="J2386" i="1" s="1"/>
  <c r="O2385" i="1"/>
  <c r="N2385" i="1"/>
  <c r="L2385" i="1"/>
  <c r="I2385" i="1"/>
  <c r="J2385" i="1" s="1"/>
  <c r="N2384" i="1"/>
  <c r="O2384" i="1" s="1"/>
  <c r="L2384" i="1"/>
  <c r="I2384" i="1"/>
  <c r="J2384" i="1" s="1"/>
  <c r="O2383" i="1"/>
  <c r="N2383" i="1"/>
  <c r="L2383" i="1"/>
  <c r="I2383" i="1"/>
  <c r="J2383" i="1" s="1"/>
  <c r="N2382" i="1"/>
  <c r="O2382" i="1" s="1"/>
  <c r="L2382" i="1"/>
  <c r="I2382" i="1"/>
  <c r="J2382" i="1" s="1"/>
  <c r="O2381" i="1"/>
  <c r="N2381" i="1"/>
  <c r="L2381" i="1"/>
  <c r="I2381" i="1"/>
  <c r="J2381" i="1" s="1"/>
  <c r="N2380" i="1"/>
  <c r="O2380" i="1" s="1"/>
  <c r="L2380" i="1"/>
  <c r="I2380" i="1"/>
  <c r="J2380" i="1" s="1"/>
  <c r="O2379" i="1"/>
  <c r="N2379" i="1"/>
  <c r="L2379" i="1"/>
  <c r="I2379" i="1"/>
  <c r="J2379" i="1" s="1"/>
  <c r="N2378" i="1"/>
  <c r="O2378" i="1" s="1"/>
  <c r="L2378" i="1"/>
  <c r="I2378" i="1"/>
  <c r="J2378" i="1" s="1"/>
  <c r="O2377" i="1"/>
  <c r="N2377" i="1"/>
  <c r="L2377" i="1"/>
  <c r="I2377" i="1"/>
  <c r="J2377" i="1" s="1"/>
  <c r="N2376" i="1"/>
  <c r="O2376" i="1" s="1"/>
  <c r="L2376" i="1"/>
  <c r="I2376" i="1"/>
  <c r="J2376" i="1" s="1"/>
  <c r="O2375" i="1"/>
  <c r="N2375" i="1"/>
  <c r="L2375" i="1"/>
  <c r="I2375" i="1"/>
  <c r="J2375" i="1" s="1"/>
  <c r="N2374" i="1"/>
  <c r="O2374" i="1" s="1"/>
  <c r="L2374" i="1"/>
  <c r="I2374" i="1"/>
  <c r="J2374" i="1" s="1"/>
  <c r="O2373" i="1"/>
  <c r="N2373" i="1"/>
  <c r="L2373" i="1"/>
  <c r="I2373" i="1"/>
  <c r="J2373" i="1" s="1"/>
  <c r="N2372" i="1"/>
  <c r="O2372" i="1" s="1"/>
  <c r="L2372" i="1"/>
  <c r="I2372" i="1"/>
  <c r="J2372" i="1" s="1"/>
  <c r="O2371" i="1"/>
  <c r="N2371" i="1"/>
  <c r="L2371" i="1"/>
  <c r="I2371" i="1"/>
  <c r="J2371" i="1" s="1"/>
  <c r="N2370" i="1"/>
  <c r="O2370" i="1" s="1"/>
  <c r="L2370" i="1"/>
  <c r="I2370" i="1"/>
  <c r="J2370" i="1" s="1"/>
  <c r="N2369" i="1"/>
  <c r="O2369" i="1" s="1"/>
  <c r="L2369" i="1"/>
  <c r="I2369" i="1"/>
  <c r="J2369" i="1" s="1"/>
  <c r="N2368" i="1"/>
  <c r="O2368" i="1" s="1"/>
  <c r="L2368" i="1"/>
  <c r="I2368" i="1"/>
  <c r="J2368" i="1" s="1"/>
  <c r="O2367" i="1"/>
  <c r="N2367" i="1"/>
  <c r="L2367" i="1"/>
  <c r="I2367" i="1"/>
  <c r="J2367" i="1" s="1"/>
  <c r="N2366" i="1"/>
  <c r="O2366" i="1" s="1"/>
  <c r="L2366" i="1"/>
  <c r="I2366" i="1"/>
  <c r="J2366" i="1" s="1"/>
  <c r="N2365" i="1"/>
  <c r="O2365" i="1" s="1"/>
  <c r="L2365" i="1"/>
  <c r="I2365" i="1"/>
  <c r="J2365" i="1" s="1"/>
  <c r="N2364" i="1"/>
  <c r="O2364" i="1" s="1"/>
  <c r="L2364" i="1"/>
  <c r="I2364" i="1"/>
  <c r="J2364" i="1" s="1"/>
  <c r="O2363" i="1"/>
  <c r="N2363" i="1"/>
  <c r="L2363" i="1"/>
  <c r="I2363" i="1"/>
  <c r="J2363" i="1" s="1"/>
  <c r="N2362" i="1"/>
  <c r="O2362" i="1" s="1"/>
  <c r="L2362" i="1"/>
  <c r="I2362" i="1"/>
  <c r="J2362" i="1" s="1"/>
  <c r="N2361" i="1"/>
  <c r="O2361" i="1" s="1"/>
  <c r="L2361" i="1"/>
  <c r="I2361" i="1"/>
  <c r="J2361" i="1" s="1"/>
  <c r="N2360" i="1"/>
  <c r="O2360" i="1" s="1"/>
  <c r="L2360" i="1"/>
  <c r="I2360" i="1"/>
  <c r="J2360" i="1" s="1"/>
  <c r="O2359" i="1"/>
  <c r="N2359" i="1"/>
  <c r="L2359" i="1"/>
  <c r="I2359" i="1"/>
  <c r="J2359" i="1" s="1"/>
  <c r="N2358" i="1"/>
  <c r="O2358" i="1" s="1"/>
  <c r="L2358" i="1"/>
  <c r="I2358" i="1"/>
  <c r="J2358" i="1" s="1"/>
  <c r="N2357" i="1"/>
  <c r="O2357" i="1" s="1"/>
  <c r="L2357" i="1"/>
  <c r="I2357" i="1"/>
  <c r="J2357" i="1" s="1"/>
  <c r="N2356" i="1"/>
  <c r="O2356" i="1" s="1"/>
  <c r="L2356" i="1"/>
  <c r="I2356" i="1"/>
  <c r="J2356" i="1" s="1"/>
  <c r="O2355" i="1"/>
  <c r="N2355" i="1"/>
  <c r="L2355" i="1"/>
  <c r="I2355" i="1"/>
  <c r="J2355" i="1" s="1"/>
  <c r="N2354" i="1"/>
  <c r="O2354" i="1" s="1"/>
  <c r="L2354" i="1"/>
  <c r="I2354" i="1"/>
  <c r="J2354" i="1" s="1"/>
  <c r="N2353" i="1"/>
  <c r="O2353" i="1" s="1"/>
  <c r="L2353" i="1"/>
  <c r="I2353" i="1"/>
  <c r="J2353" i="1" s="1"/>
  <c r="N2352" i="1"/>
  <c r="O2352" i="1" s="1"/>
  <c r="L2352" i="1"/>
  <c r="I2352" i="1"/>
  <c r="J2352" i="1" s="1"/>
  <c r="O2351" i="1"/>
  <c r="N2351" i="1"/>
  <c r="L2351" i="1"/>
  <c r="I2351" i="1"/>
  <c r="J2351" i="1" s="1"/>
  <c r="N2350" i="1"/>
  <c r="O2350" i="1" s="1"/>
  <c r="L2350" i="1"/>
  <c r="I2350" i="1"/>
  <c r="J2350" i="1" s="1"/>
  <c r="N2349" i="1"/>
  <c r="O2349" i="1" s="1"/>
  <c r="L2349" i="1"/>
  <c r="I2349" i="1"/>
  <c r="J2349" i="1" s="1"/>
  <c r="N2348" i="1"/>
  <c r="O2348" i="1" s="1"/>
  <c r="L2348" i="1"/>
  <c r="I2348" i="1"/>
  <c r="J2348" i="1" s="1"/>
  <c r="O2347" i="1"/>
  <c r="N2347" i="1"/>
  <c r="L2347" i="1"/>
  <c r="I2347" i="1"/>
  <c r="J2347" i="1" s="1"/>
  <c r="N2346" i="1"/>
  <c r="O2346" i="1" s="1"/>
  <c r="L2346" i="1"/>
  <c r="I2346" i="1"/>
  <c r="J2346" i="1" s="1"/>
  <c r="N2345" i="1"/>
  <c r="O2345" i="1" s="1"/>
  <c r="L2345" i="1"/>
  <c r="I2345" i="1"/>
  <c r="J2345" i="1" s="1"/>
  <c r="N2344" i="1"/>
  <c r="O2344" i="1" s="1"/>
  <c r="L2344" i="1"/>
  <c r="I2344" i="1"/>
  <c r="J2344" i="1" s="1"/>
  <c r="O2343" i="1"/>
  <c r="N2343" i="1"/>
  <c r="L2343" i="1"/>
  <c r="I2343" i="1"/>
  <c r="J2343" i="1" s="1"/>
  <c r="N2342" i="1"/>
  <c r="O2342" i="1" s="1"/>
  <c r="L2342" i="1"/>
  <c r="I2342" i="1"/>
  <c r="J2342" i="1" s="1"/>
  <c r="N2341" i="1"/>
  <c r="O2341" i="1" s="1"/>
  <c r="L2341" i="1"/>
  <c r="I2341" i="1"/>
  <c r="J2341" i="1" s="1"/>
  <c r="N2340" i="1"/>
  <c r="O2340" i="1" s="1"/>
  <c r="L2340" i="1"/>
  <c r="I2340" i="1"/>
  <c r="J2340" i="1" s="1"/>
  <c r="O2339" i="1"/>
  <c r="N2339" i="1"/>
  <c r="L2339" i="1"/>
  <c r="I2339" i="1"/>
  <c r="J2339" i="1" s="1"/>
  <c r="N2338" i="1"/>
  <c r="O2338" i="1" s="1"/>
  <c r="L2338" i="1"/>
  <c r="I2338" i="1"/>
  <c r="J2338" i="1" s="1"/>
  <c r="N2337" i="1"/>
  <c r="O2337" i="1" s="1"/>
  <c r="L2337" i="1"/>
  <c r="I2337" i="1"/>
  <c r="J2337" i="1" s="1"/>
  <c r="N2336" i="1"/>
  <c r="O2336" i="1" s="1"/>
  <c r="L2336" i="1"/>
  <c r="I2336" i="1"/>
  <c r="J2336" i="1" s="1"/>
  <c r="O2335" i="1"/>
  <c r="N2335" i="1"/>
  <c r="L2335" i="1"/>
  <c r="I2335" i="1"/>
  <c r="J2335" i="1" s="1"/>
  <c r="N2334" i="1"/>
  <c r="O2334" i="1" s="1"/>
  <c r="L2334" i="1"/>
  <c r="I2334" i="1"/>
  <c r="J2334" i="1" s="1"/>
  <c r="N2333" i="1"/>
  <c r="O2333" i="1" s="1"/>
  <c r="L2333" i="1"/>
  <c r="I2333" i="1"/>
  <c r="J2333" i="1" s="1"/>
  <c r="N2332" i="1"/>
  <c r="O2332" i="1" s="1"/>
  <c r="L2332" i="1"/>
  <c r="I2332" i="1"/>
  <c r="J2332" i="1" s="1"/>
  <c r="O2331" i="1"/>
  <c r="N2331" i="1"/>
  <c r="L2331" i="1"/>
  <c r="I2331" i="1"/>
  <c r="J2331" i="1" s="1"/>
  <c r="N2330" i="1"/>
  <c r="O2330" i="1" s="1"/>
  <c r="L2330" i="1"/>
  <c r="I2330" i="1"/>
  <c r="J2330" i="1" s="1"/>
  <c r="N2329" i="1"/>
  <c r="O2329" i="1" s="1"/>
  <c r="L2329" i="1"/>
  <c r="I2329" i="1"/>
  <c r="J2329" i="1" s="1"/>
  <c r="N2328" i="1"/>
  <c r="O2328" i="1" s="1"/>
  <c r="L2328" i="1"/>
  <c r="I2328" i="1"/>
  <c r="J2328" i="1" s="1"/>
  <c r="O2327" i="1"/>
  <c r="N2327" i="1"/>
  <c r="L2327" i="1"/>
  <c r="I2327" i="1"/>
  <c r="J2327" i="1" s="1"/>
  <c r="N2326" i="1"/>
  <c r="O2326" i="1" s="1"/>
  <c r="L2326" i="1"/>
  <c r="I2326" i="1"/>
  <c r="J2326" i="1" s="1"/>
  <c r="N2325" i="1"/>
  <c r="O2325" i="1" s="1"/>
  <c r="L2325" i="1"/>
  <c r="I2325" i="1"/>
  <c r="J2325" i="1" s="1"/>
  <c r="N2324" i="1"/>
  <c r="O2324" i="1" s="1"/>
  <c r="L2324" i="1"/>
  <c r="I2324" i="1"/>
  <c r="J2324" i="1" s="1"/>
  <c r="O2323" i="1"/>
  <c r="N2323" i="1"/>
  <c r="L2323" i="1"/>
  <c r="I2323" i="1"/>
  <c r="J2323" i="1" s="1"/>
  <c r="N2322" i="1"/>
  <c r="O2322" i="1" s="1"/>
  <c r="L2322" i="1"/>
  <c r="I2322" i="1"/>
  <c r="J2322" i="1" s="1"/>
  <c r="N2321" i="1"/>
  <c r="O2321" i="1" s="1"/>
  <c r="L2321" i="1"/>
  <c r="I2321" i="1"/>
  <c r="J2321" i="1" s="1"/>
  <c r="N2320" i="1"/>
  <c r="O2320" i="1" s="1"/>
  <c r="L2320" i="1"/>
  <c r="I2320" i="1"/>
  <c r="J2320" i="1" s="1"/>
  <c r="O2319" i="1"/>
  <c r="N2319" i="1"/>
  <c r="L2319" i="1"/>
  <c r="I2319" i="1"/>
  <c r="J2319" i="1" s="1"/>
  <c r="N2318" i="1"/>
  <c r="O2318" i="1" s="1"/>
  <c r="L2318" i="1"/>
  <c r="I2318" i="1"/>
  <c r="J2318" i="1" s="1"/>
  <c r="N2317" i="1"/>
  <c r="O2317" i="1" s="1"/>
  <c r="L2317" i="1"/>
  <c r="I2317" i="1"/>
  <c r="J2317" i="1" s="1"/>
  <c r="N2316" i="1"/>
  <c r="O2316" i="1" s="1"/>
  <c r="L2316" i="1"/>
  <c r="I2316" i="1"/>
  <c r="J2316" i="1" s="1"/>
  <c r="O2315" i="1"/>
  <c r="N2315" i="1"/>
  <c r="L2315" i="1"/>
  <c r="I2315" i="1"/>
  <c r="J2315" i="1" s="1"/>
  <c r="N2314" i="1"/>
  <c r="O2314" i="1" s="1"/>
  <c r="L2314" i="1"/>
  <c r="I2314" i="1"/>
  <c r="J2314" i="1" s="1"/>
  <c r="N2313" i="1"/>
  <c r="O2313" i="1" s="1"/>
  <c r="L2313" i="1"/>
  <c r="I2313" i="1"/>
  <c r="J2313" i="1" s="1"/>
  <c r="N2312" i="1"/>
  <c r="O2312" i="1" s="1"/>
  <c r="L2312" i="1"/>
  <c r="I2312" i="1"/>
  <c r="J2312" i="1" s="1"/>
  <c r="O2311" i="1"/>
  <c r="N2311" i="1"/>
  <c r="L2311" i="1"/>
  <c r="I2311" i="1"/>
  <c r="J2311" i="1" s="1"/>
  <c r="N2310" i="1"/>
  <c r="O2310" i="1" s="1"/>
  <c r="L2310" i="1"/>
  <c r="I2310" i="1"/>
  <c r="J2310" i="1" s="1"/>
  <c r="N2309" i="1"/>
  <c r="O2309" i="1" s="1"/>
  <c r="L2309" i="1"/>
  <c r="I2309" i="1"/>
  <c r="J2309" i="1" s="1"/>
  <c r="N2308" i="1"/>
  <c r="O2308" i="1" s="1"/>
  <c r="L2308" i="1"/>
  <c r="I2308" i="1"/>
  <c r="J2308" i="1" s="1"/>
  <c r="O2307" i="1"/>
  <c r="N2307" i="1"/>
  <c r="L2307" i="1"/>
  <c r="I2307" i="1"/>
  <c r="J2307" i="1" s="1"/>
  <c r="N2306" i="1"/>
  <c r="O2306" i="1" s="1"/>
  <c r="L2306" i="1"/>
  <c r="I2306" i="1"/>
  <c r="J2306" i="1" s="1"/>
  <c r="N2305" i="1"/>
  <c r="O2305" i="1" s="1"/>
  <c r="L2305" i="1"/>
  <c r="I2305" i="1"/>
  <c r="J2305" i="1" s="1"/>
  <c r="N2304" i="1"/>
  <c r="O2304" i="1" s="1"/>
  <c r="L2304" i="1"/>
  <c r="I2304" i="1"/>
  <c r="J2304" i="1" s="1"/>
  <c r="O2303" i="1"/>
  <c r="N2303" i="1"/>
  <c r="L2303" i="1"/>
  <c r="I2303" i="1"/>
  <c r="J2303" i="1" s="1"/>
  <c r="N2302" i="1"/>
  <c r="O2302" i="1" s="1"/>
  <c r="L2302" i="1"/>
  <c r="I2302" i="1"/>
  <c r="J2302" i="1" s="1"/>
  <c r="N2301" i="1"/>
  <c r="O2301" i="1" s="1"/>
  <c r="L2301" i="1"/>
  <c r="I2301" i="1"/>
  <c r="J2301" i="1" s="1"/>
  <c r="N2300" i="1"/>
  <c r="O2300" i="1" s="1"/>
  <c r="L2300" i="1"/>
  <c r="I2300" i="1"/>
  <c r="J2300" i="1" s="1"/>
  <c r="O2299" i="1"/>
  <c r="N2299" i="1"/>
  <c r="L2299" i="1"/>
  <c r="I2299" i="1"/>
  <c r="J2299" i="1" s="1"/>
  <c r="N2298" i="1"/>
  <c r="O2298" i="1" s="1"/>
  <c r="L2298" i="1"/>
  <c r="I2298" i="1"/>
  <c r="J2298" i="1" s="1"/>
  <c r="N2297" i="1"/>
  <c r="O2297" i="1" s="1"/>
  <c r="L2297" i="1"/>
  <c r="I2297" i="1"/>
  <c r="J2297" i="1" s="1"/>
  <c r="N2296" i="1"/>
  <c r="O2296" i="1" s="1"/>
  <c r="L2296" i="1"/>
  <c r="I2296" i="1"/>
  <c r="J2296" i="1" s="1"/>
  <c r="O2295" i="1"/>
  <c r="N2295" i="1"/>
  <c r="L2295" i="1"/>
  <c r="I2295" i="1"/>
  <c r="J2295" i="1" s="1"/>
  <c r="N2294" i="1"/>
  <c r="O2294" i="1" s="1"/>
  <c r="L2294" i="1"/>
  <c r="I2294" i="1"/>
  <c r="J2294" i="1" s="1"/>
  <c r="N2293" i="1"/>
  <c r="O2293" i="1" s="1"/>
  <c r="L2293" i="1"/>
  <c r="I2293" i="1"/>
  <c r="J2293" i="1" s="1"/>
  <c r="N2292" i="1"/>
  <c r="O2292" i="1" s="1"/>
  <c r="L2292" i="1"/>
  <c r="I2292" i="1"/>
  <c r="J2292" i="1" s="1"/>
  <c r="O2291" i="1"/>
  <c r="N2291" i="1"/>
  <c r="L2291" i="1"/>
  <c r="I2291" i="1"/>
  <c r="J2291" i="1" s="1"/>
  <c r="N2290" i="1"/>
  <c r="O2290" i="1" s="1"/>
  <c r="L2290" i="1"/>
  <c r="I2290" i="1"/>
  <c r="J2290" i="1" s="1"/>
  <c r="N2289" i="1"/>
  <c r="O2289" i="1" s="1"/>
  <c r="L2289" i="1"/>
  <c r="I2289" i="1"/>
  <c r="J2289" i="1" s="1"/>
  <c r="N2288" i="1"/>
  <c r="O2288" i="1" s="1"/>
  <c r="L2288" i="1"/>
  <c r="I2288" i="1"/>
  <c r="J2288" i="1" s="1"/>
  <c r="O2287" i="1"/>
  <c r="N2287" i="1"/>
  <c r="L2287" i="1"/>
  <c r="I2287" i="1"/>
  <c r="J2287" i="1" s="1"/>
  <c r="N2286" i="1"/>
  <c r="O2286" i="1" s="1"/>
  <c r="L2286" i="1"/>
  <c r="I2286" i="1"/>
  <c r="J2286" i="1" s="1"/>
  <c r="N2285" i="1"/>
  <c r="O2285" i="1" s="1"/>
  <c r="L2285" i="1"/>
  <c r="I2285" i="1"/>
  <c r="J2285" i="1" s="1"/>
  <c r="N2284" i="1"/>
  <c r="O2284" i="1" s="1"/>
  <c r="L2284" i="1"/>
  <c r="I2284" i="1"/>
  <c r="J2284" i="1" s="1"/>
  <c r="O2283" i="1"/>
  <c r="N2283" i="1"/>
  <c r="L2283" i="1"/>
  <c r="I2283" i="1"/>
  <c r="J2283" i="1" s="1"/>
  <c r="N2282" i="1"/>
  <c r="O2282" i="1" s="1"/>
  <c r="L2282" i="1"/>
  <c r="I2282" i="1"/>
  <c r="J2282" i="1" s="1"/>
  <c r="N2281" i="1"/>
  <c r="O2281" i="1" s="1"/>
  <c r="L2281" i="1"/>
  <c r="I2281" i="1"/>
  <c r="J2281" i="1" s="1"/>
  <c r="N2280" i="1"/>
  <c r="O2280" i="1" s="1"/>
  <c r="L2280" i="1"/>
  <c r="I2280" i="1"/>
  <c r="J2280" i="1" s="1"/>
  <c r="O2279" i="1"/>
  <c r="N2279" i="1"/>
  <c r="L2279" i="1"/>
  <c r="I2279" i="1"/>
  <c r="J2279" i="1" s="1"/>
  <c r="N2278" i="1"/>
  <c r="O2278" i="1" s="1"/>
  <c r="L2278" i="1"/>
  <c r="I2278" i="1"/>
  <c r="J2278" i="1" s="1"/>
  <c r="N2277" i="1"/>
  <c r="O2277" i="1" s="1"/>
  <c r="L2277" i="1"/>
  <c r="I2277" i="1"/>
  <c r="J2277" i="1" s="1"/>
  <c r="N2276" i="1"/>
  <c r="O2276" i="1" s="1"/>
  <c r="L2276" i="1"/>
  <c r="I2276" i="1"/>
  <c r="J2276" i="1" s="1"/>
  <c r="O2275" i="1"/>
  <c r="N2275" i="1"/>
  <c r="L2275" i="1"/>
  <c r="I2275" i="1"/>
  <c r="J2275" i="1" s="1"/>
  <c r="N2274" i="1"/>
  <c r="O2274" i="1" s="1"/>
  <c r="L2274" i="1"/>
  <c r="I2274" i="1"/>
  <c r="J2274" i="1" s="1"/>
  <c r="N2273" i="1"/>
  <c r="O2273" i="1" s="1"/>
  <c r="L2273" i="1"/>
  <c r="I2273" i="1"/>
  <c r="J2273" i="1" s="1"/>
  <c r="N2272" i="1"/>
  <c r="O2272" i="1" s="1"/>
  <c r="L2272" i="1"/>
  <c r="I2272" i="1"/>
  <c r="J2272" i="1" s="1"/>
  <c r="N2271" i="1"/>
  <c r="O2271" i="1" s="1"/>
  <c r="L2271" i="1"/>
  <c r="J2271" i="1"/>
  <c r="I2271" i="1"/>
  <c r="N2270" i="1"/>
  <c r="O2270" i="1" s="1"/>
  <c r="L2270" i="1"/>
  <c r="J2270" i="1"/>
  <c r="I2270" i="1"/>
  <c r="N2269" i="1"/>
  <c r="O2269" i="1" s="1"/>
  <c r="L2269" i="1"/>
  <c r="I2269" i="1"/>
  <c r="J2269" i="1" s="1"/>
  <c r="N2268" i="1"/>
  <c r="O2268" i="1" s="1"/>
  <c r="L2268" i="1"/>
  <c r="I2268" i="1"/>
  <c r="J2268" i="1" s="1"/>
  <c r="O2267" i="1"/>
  <c r="N2267" i="1"/>
  <c r="L2267" i="1"/>
  <c r="I2267" i="1"/>
  <c r="J2267" i="1" s="1"/>
  <c r="N2266" i="1"/>
  <c r="O2266" i="1" s="1"/>
  <c r="L2266" i="1"/>
  <c r="I2266" i="1"/>
  <c r="J2266" i="1" s="1"/>
  <c r="N2265" i="1"/>
  <c r="O2265" i="1" s="1"/>
  <c r="L2265" i="1"/>
  <c r="I2265" i="1"/>
  <c r="J2265" i="1" s="1"/>
  <c r="N2264" i="1"/>
  <c r="O2264" i="1" s="1"/>
  <c r="L2264" i="1"/>
  <c r="I2264" i="1"/>
  <c r="J2264" i="1" s="1"/>
  <c r="N2263" i="1"/>
  <c r="O2263" i="1" s="1"/>
  <c r="L2263" i="1"/>
  <c r="J2263" i="1"/>
  <c r="I2263" i="1"/>
  <c r="N2262" i="1"/>
  <c r="O2262" i="1" s="1"/>
  <c r="L2262" i="1"/>
  <c r="J2262" i="1"/>
  <c r="I2262" i="1"/>
  <c r="N2261" i="1"/>
  <c r="O2261" i="1" s="1"/>
  <c r="L2261" i="1"/>
  <c r="I2261" i="1"/>
  <c r="J2261" i="1" s="1"/>
  <c r="N2260" i="1"/>
  <c r="O2260" i="1" s="1"/>
  <c r="L2260" i="1"/>
  <c r="I2260" i="1"/>
  <c r="J2260" i="1" s="1"/>
  <c r="O2259" i="1"/>
  <c r="N2259" i="1"/>
  <c r="L2259" i="1"/>
  <c r="I2259" i="1"/>
  <c r="J2259" i="1" s="1"/>
  <c r="N2258" i="1"/>
  <c r="O2258" i="1" s="1"/>
  <c r="L2258" i="1"/>
  <c r="I2258" i="1"/>
  <c r="J2258" i="1" s="1"/>
  <c r="N2257" i="1"/>
  <c r="O2257" i="1" s="1"/>
  <c r="L2257" i="1"/>
  <c r="I2257" i="1"/>
  <c r="J2257" i="1" s="1"/>
  <c r="N2256" i="1"/>
  <c r="O2256" i="1" s="1"/>
  <c r="L2256" i="1"/>
  <c r="I2256" i="1"/>
  <c r="J2256" i="1" s="1"/>
  <c r="N2255" i="1"/>
  <c r="O2255" i="1" s="1"/>
  <c r="L2255" i="1"/>
  <c r="J2255" i="1"/>
  <c r="I2255" i="1"/>
  <c r="N2254" i="1"/>
  <c r="O2254" i="1" s="1"/>
  <c r="L2254" i="1"/>
  <c r="J2254" i="1"/>
  <c r="I2254" i="1"/>
  <c r="N2253" i="1"/>
  <c r="O2253" i="1" s="1"/>
  <c r="L2253" i="1"/>
  <c r="I2253" i="1"/>
  <c r="J2253" i="1" s="1"/>
  <c r="N2252" i="1"/>
  <c r="O2252" i="1" s="1"/>
  <c r="L2252" i="1"/>
  <c r="I2252" i="1"/>
  <c r="J2252" i="1" s="1"/>
  <c r="O2251" i="1"/>
  <c r="N2251" i="1"/>
  <c r="L2251" i="1"/>
  <c r="I2251" i="1"/>
  <c r="J2251" i="1" s="1"/>
  <c r="N2250" i="1"/>
  <c r="O2250" i="1" s="1"/>
  <c r="L2250" i="1"/>
  <c r="I2250" i="1"/>
  <c r="J2250" i="1" s="1"/>
  <c r="N2249" i="1"/>
  <c r="O2249" i="1" s="1"/>
  <c r="L2249" i="1"/>
  <c r="I2249" i="1"/>
  <c r="J2249" i="1" s="1"/>
  <c r="N2248" i="1"/>
  <c r="O2248" i="1" s="1"/>
  <c r="L2248" i="1"/>
  <c r="I2248" i="1"/>
  <c r="J2248" i="1" s="1"/>
  <c r="N2247" i="1"/>
  <c r="O2247" i="1" s="1"/>
  <c r="L2247" i="1"/>
  <c r="J2247" i="1"/>
  <c r="I2247" i="1"/>
  <c r="N2246" i="1"/>
  <c r="O2246" i="1" s="1"/>
  <c r="L2246" i="1"/>
  <c r="J2246" i="1"/>
  <c r="I2246" i="1"/>
  <c r="N2245" i="1"/>
  <c r="O2245" i="1" s="1"/>
  <c r="L2245" i="1"/>
  <c r="I2245" i="1"/>
  <c r="J2245" i="1" s="1"/>
  <c r="N2244" i="1"/>
  <c r="O2244" i="1" s="1"/>
  <c r="L2244" i="1"/>
  <c r="I2244" i="1"/>
  <c r="J2244" i="1" s="1"/>
  <c r="O2243" i="1"/>
  <c r="N2243" i="1"/>
  <c r="L2243" i="1"/>
  <c r="I2243" i="1"/>
  <c r="J2243" i="1" s="1"/>
  <c r="N2242" i="1"/>
  <c r="O2242" i="1" s="1"/>
  <c r="L2242" i="1"/>
  <c r="I2242" i="1"/>
  <c r="J2242" i="1" s="1"/>
  <c r="N2241" i="1"/>
  <c r="O2241" i="1" s="1"/>
  <c r="L2241" i="1"/>
  <c r="I2241" i="1"/>
  <c r="J2241" i="1" s="1"/>
  <c r="N2240" i="1"/>
  <c r="O2240" i="1" s="1"/>
  <c r="L2240" i="1"/>
  <c r="I2240" i="1"/>
  <c r="J2240" i="1" s="1"/>
  <c r="N2239" i="1"/>
  <c r="O2239" i="1" s="1"/>
  <c r="L2239" i="1"/>
  <c r="J2239" i="1"/>
  <c r="I2239" i="1"/>
  <c r="N2238" i="1"/>
  <c r="O2238" i="1" s="1"/>
  <c r="L2238" i="1"/>
  <c r="J2238" i="1"/>
  <c r="I2238" i="1"/>
  <c r="N2237" i="1"/>
  <c r="O2237" i="1" s="1"/>
  <c r="L2237" i="1"/>
  <c r="I2237" i="1"/>
  <c r="J2237" i="1" s="1"/>
  <c r="N2236" i="1"/>
  <c r="O2236" i="1" s="1"/>
  <c r="L2236" i="1"/>
  <c r="I2236" i="1"/>
  <c r="J2236" i="1" s="1"/>
  <c r="O2235" i="1"/>
  <c r="N2235" i="1"/>
  <c r="L2235" i="1"/>
  <c r="I2235" i="1"/>
  <c r="J2235" i="1" s="1"/>
  <c r="N2234" i="1"/>
  <c r="O2234" i="1" s="1"/>
  <c r="L2234" i="1"/>
  <c r="I2234" i="1"/>
  <c r="J2234" i="1" s="1"/>
  <c r="N2233" i="1"/>
  <c r="O2233" i="1" s="1"/>
  <c r="L2233" i="1"/>
  <c r="I2233" i="1"/>
  <c r="J2233" i="1" s="1"/>
  <c r="N2232" i="1"/>
  <c r="O2232" i="1" s="1"/>
  <c r="L2232" i="1"/>
  <c r="I2232" i="1"/>
  <c r="J2232" i="1" s="1"/>
  <c r="N2231" i="1"/>
  <c r="O2231" i="1" s="1"/>
  <c r="L2231" i="1"/>
  <c r="J2231" i="1"/>
  <c r="I2231" i="1"/>
  <c r="N2230" i="1"/>
  <c r="O2230" i="1" s="1"/>
  <c r="L2230" i="1"/>
  <c r="J2230" i="1"/>
  <c r="I2230" i="1"/>
  <c r="N2229" i="1"/>
  <c r="O2229" i="1" s="1"/>
  <c r="L2229" i="1"/>
  <c r="I2229" i="1"/>
  <c r="J2229" i="1" s="1"/>
  <c r="N2228" i="1"/>
  <c r="O2228" i="1" s="1"/>
  <c r="L2228" i="1"/>
  <c r="I2228" i="1"/>
  <c r="J2228" i="1" s="1"/>
  <c r="O2227" i="1"/>
  <c r="N2227" i="1"/>
  <c r="L2227" i="1"/>
  <c r="I2227" i="1"/>
  <c r="J2227" i="1" s="1"/>
  <c r="N2226" i="1"/>
  <c r="O2226" i="1" s="1"/>
  <c r="L2226" i="1"/>
  <c r="I2226" i="1"/>
  <c r="J2226" i="1" s="1"/>
  <c r="N2225" i="1"/>
  <c r="O2225" i="1" s="1"/>
  <c r="L2225" i="1"/>
  <c r="I2225" i="1"/>
  <c r="J2225" i="1" s="1"/>
  <c r="N2224" i="1"/>
  <c r="O2224" i="1" s="1"/>
  <c r="L2224" i="1"/>
  <c r="I2224" i="1"/>
  <c r="J2224" i="1" s="1"/>
  <c r="N2223" i="1"/>
  <c r="O2223" i="1" s="1"/>
  <c r="L2223" i="1"/>
  <c r="J2223" i="1"/>
  <c r="I2223" i="1"/>
  <c r="N2222" i="1"/>
  <c r="O2222" i="1" s="1"/>
  <c r="L2222" i="1"/>
  <c r="J2222" i="1"/>
  <c r="I2222" i="1"/>
  <c r="N2221" i="1"/>
  <c r="O2221" i="1" s="1"/>
  <c r="L2221" i="1"/>
  <c r="I2221" i="1"/>
  <c r="J2221" i="1" s="1"/>
  <c r="N2220" i="1"/>
  <c r="O2220" i="1" s="1"/>
  <c r="L2220" i="1"/>
  <c r="I2220" i="1"/>
  <c r="J2220" i="1" s="1"/>
  <c r="O2219" i="1"/>
  <c r="N2219" i="1"/>
  <c r="L2219" i="1"/>
  <c r="I2219" i="1"/>
  <c r="J2219" i="1" s="1"/>
  <c r="N2218" i="1"/>
  <c r="O2218" i="1" s="1"/>
  <c r="L2218" i="1"/>
  <c r="I2218" i="1"/>
  <c r="J2218" i="1" s="1"/>
  <c r="N2217" i="1"/>
  <c r="O2217" i="1" s="1"/>
  <c r="L2217" i="1"/>
  <c r="I2217" i="1"/>
  <c r="J2217" i="1" s="1"/>
  <c r="N2216" i="1"/>
  <c r="O2216" i="1" s="1"/>
  <c r="L2216" i="1"/>
  <c r="I2216" i="1"/>
  <c r="J2216" i="1" s="1"/>
  <c r="N2215" i="1"/>
  <c r="O2215" i="1" s="1"/>
  <c r="L2215" i="1"/>
  <c r="J2215" i="1"/>
  <c r="I2215" i="1"/>
  <c r="N2214" i="1"/>
  <c r="O2214" i="1" s="1"/>
  <c r="L2214" i="1"/>
  <c r="J2214" i="1"/>
  <c r="I2214" i="1"/>
  <c r="N2213" i="1"/>
  <c r="O2213" i="1" s="1"/>
  <c r="L2213" i="1"/>
  <c r="I2213" i="1"/>
  <c r="J2213" i="1" s="1"/>
  <c r="N2212" i="1"/>
  <c r="O2212" i="1" s="1"/>
  <c r="L2212" i="1"/>
  <c r="I2212" i="1"/>
  <c r="J2212" i="1" s="1"/>
  <c r="O2211" i="1"/>
  <c r="N2211" i="1"/>
  <c r="L2211" i="1"/>
  <c r="I2211" i="1"/>
  <c r="J2211" i="1" s="1"/>
  <c r="N2210" i="1"/>
  <c r="O2210" i="1" s="1"/>
  <c r="L2210" i="1"/>
  <c r="I2210" i="1"/>
  <c r="J2210" i="1" s="1"/>
  <c r="N2209" i="1"/>
  <c r="O2209" i="1" s="1"/>
  <c r="L2209" i="1"/>
  <c r="I2209" i="1"/>
  <c r="J2209" i="1" s="1"/>
  <c r="N2208" i="1"/>
  <c r="O2208" i="1" s="1"/>
  <c r="L2208" i="1"/>
  <c r="I2208" i="1"/>
  <c r="J2208" i="1" s="1"/>
  <c r="N2207" i="1"/>
  <c r="O2207" i="1" s="1"/>
  <c r="L2207" i="1"/>
  <c r="J2207" i="1"/>
  <c r="I2207" i="1"/>
  <c r="N2206" i="1"/>
  <c r="O2206" i="1" s="1"/>
  <c r="L2206" i="1"/>
  <c r="J2206" i="1"/>
  <c r="I2206" i="1"/>
  <c r="N2205" i="1"/>
  <c r="O2205" i="1" s="1"/>
  <c r="L2205" i="1"/>
  <c r="I2205" i="1"/>
  <c r="J2205" i="1" s="1"/>
  <c r="N2204" i="1"/>
  <c r="O2204" i="1" s="1"/>
  <c r="L2204" i="1"/>
  <c r="I2204" i="1"/>
  <c r="J2204" i="1" s="1"/>
  <c r="N2203" i="1"/>
  <c r="O2203" i="1" s="1"/>
  <c r="L2203" i="1"/>
  <c r="I2203" i="1"/>
  <c r="J2203" i="1" s="1"/>
  <c r="N2202" i="1"/>
  <c r="O2202" i="1" s="1"/>
  <c r="L2202" i="1"/>
  <c r="I2202" i="1"/>
  <c r="J2202" i="1" s="1"/>
  <c r="N2201" i="1"/>
  <c r="O2201" i="1" s="1"/>
  <c r="L2201" i="1"/>
  <c r="I2201" i="1"/>
  <c r="J2201" i="1" s="1"/>
  <c r="N2200" i="1"/>
  <c r="O2200" i="1" s="1"/>
  <c r="L2200" i="1"/>
  <c r="I2200" i="1"/>
  <c r="J2200" i="1" s="1"/>
  <c r="N2199" i="1"/>
  <c r="O2199" i="1" s="1"/>
  <c r="L2199" i="1"/>
  <c r="J2199" i="1"/>
  <c r="I2199" i="1"/>
  <c r="N2198" i="1"/>
  <c r="O2198" i="1" s="1"/>
  <c r="L2198" i="1"/>
  <c r="J2198" i="1"/>
  <c r="I2198" i="1"/>
  <c r="N2197" i="1"/>
  <c r="O2197" i="1" s="1"/>
  <c r="L2197" i="1"/>
  <c r="I2197" i="1"/>
  <c r="J2197" i="1" s="1"/>
  <c r="N2196" i="1"/>
  <c r="O2196" i="1" s="1"/>
  <c r="L2196" i="1"/>
  <c r="I2196" i="1"/>
  <c r="J2196" i="1" s="1"/>
  <c r="N2195" i="1"/>
  <c r="O2195" i="1" s="1"/>
  <c r="L2195" i="1"/>
  <c r="I2195" i="1"/>
  <c r="J2195" i="1" s="1"/>
  <c r="N2194" i="1"/>
  <c r="O2194" i="1" s="1"/>
  <c r="L2194" i="1"/>
  <c r="I2194" i="1"/>
  <c r="J2194" i="1" s="1"/>
  <c r="N2193" i="1"/>
  <c r="O2193" i="1" s="1"/>
  <c r="L2193" i="1"/>
  <c r="I2193" i="1"/>
  <c r="J2193" i="1" s="1"/>
  <c r="N2192" i="1"/>
  <c r="O2192" i="1" s="1"/>
  <c r="L2192" i="1"/>
  <c r="I2192" i="1"/>
  <c r="J2192" i="1" s="1"/>
  <c r="N2191" i="1"/>
  <c r="O2191" i="1" s="1"/>
  <c r="L2191" i="1"/>
  <c r="J2191" i="1"/>
  <c r="I2191" i="1"/>
  <c r="N2190" i="1"/>
  <c r="O2190" i="1" s="1"/>
  <c r="L2190" i="1"/>
  <c r="J2190" i="1"/>
  <c r="I2190" i="1"/>
  <c r="N2189" i="1"/>
  <c r="O2189" i="1" s="1"/>
  <c r="L2189" i="1"/>
  <c r="I2189" i="1"/>
  <c r="J2189" i="1" s="1"/>
  <c r="N2188" i="1"/>
  <c r="O2188" i="1" s="1"/>
  <c r="L2188" i="1"/>
  <c r="I2188" i="1"/>
  <c r="J2188" i="1" s="1"/>
  <c r="N2187" i="1"/>
  <c r="O2187" i="1" s="1"/>
  <c r="L2187" i="1"/>
  <c r="J2187" i="1"/>
  <c r="I2187" i="1"/>
  <c r="N2186" i="1"/>
  <c r="O2186" i="1" s="1"/>
  <c r="L2186" i="1"/>
  <c r="J2186" i="1"/>
  <c r="I2186" i="1"/>
  <c r="N2185" i="1"/>
  <c r="O2185" i="1" s="1"/>
  <c r="L2185" i="1"/>
  <c r="I2185" i="1"/>
  <c r="J2185" i="1" s="1"/>
  <c r="N2184" i="1"/>
  <c r="O2184" i="1" s="1"/>
  <c r="L2184" i="1"/>
  <c r="I2184" i="1"/>
  <c r="J2184" i="1" s="1"/>
  <c r="N2183" i="1"/>
  <c r="O2183" i="1" s="1"/>
  <c r="L2183" i="1"/>
  <c r="J2183" i="1"/>
  <c r="I2183" i="1"/>
  <c r="N2182" i="1"/>
  <c r="O2182" i="1" s="1"/>
  <c r="L2182" i="1"/>
  <c r="J2182" i="1"/>
  <c r="I2182" i="1"/>
  <c r="N2181" i="1"/>
  <c r="O2181" i="1" s="1"/>
  <c r="L2181" i="1"/>
  <c r="I2181" i="1"/>
  <c r="J2181" i="1" s="1"/>
  <c r="N2180" i="1"/>
  <c r="O2180" i="1" s="1"/>
  <c r="L2180" i="1"/>
  <c r="I2180" i="1"/>
  <c r="J2180" i="1" s="1"/>
  <c r="N2179" i="1"/>
  <c r="O2179" i="1" s="1"/>
  <c r="L2179" i="1"/>
  <c r="J2179" i="1"/>
  <c r="I2179" i="1"/>
  <c r="N2178" i="1"/>
  <c r="O2178" i="1" s="1"/>
  <c r="L2178" i="1"/>
  <c r="J2178" i="1"/>
  <c r="I2178" i="1"/>
  <c r="N2177" i="1"/>
  <c r="O2177" i="1" s="1"/>
  <c r="L2177" i="1"/>
  <c r="I2177" i="1"/>
  <c r="J2177" i="1" s="1"/>
  <c r="N2176" i="1"/>
  <c r="O2176" i="1" s="1"/>
  <c r="L2176" i="1"/>
  <c r="I2176" i="1"/>
  <c r="J2176" i="1" s="1"/>
  <c r="N2175" i="1"/>
  <c r="O2175" i="1" s="1"/>
  <c r="L2175" i="1"/>
  <c r="J2175" i="1"/>
  <c r="I2175" i="1"/>
  <c r="N2174" i="1"/>
  <c r="O2174" i="1" s="1"/>
  <c r="L2174" i="1"/>
  <c r="J2174" i="1"/>
  <c r="I2174" i="1"/>
  <c r="N2173" i="1"/>
  <c r="O2173" i="1" s="1"/>
  <c r="L2173" i="1"/>
  <c r="I2173" i="1"/>
  <c r="J2173" i="1" s="1"/>
  <c r="N2172" i="1"/>
  <c r="O2172" i="1" s="1"/>
  <c r="L2172" i="1"/>
  <c r="I2172" i="1"/>
  <c r="J2172" i="1" s="1"/>
  <c r="N2171" i="1"/>
  <c r="O2171" i="1" s="1"/>
  <c r="L2171" i="1"/>
  <c r="J2171" i="1"/>
  <c r="I2171" i="1"/>
  <c r="N2170" i="1"/>
  <c r="O2170" i="1" s="1"/>
  <c r="L2170" i="1"/>
  <c r="J2170" i="1"/>
  <c r="I2170" i="1"/>
  <c r="N2169" i="1"/>
  <c r="O2169" i="1" s="1"/>
  <c r="L2169" i="1"/>
  <c r="I2169" i="1"/>
  <c r="J2169" i="1" s="1"/>
  <c r="N2168" i="1"/>
  <c r="O2168" i="1" s="1"/>
  <c r="L2168" i="1"/>
  <c r="I2168" i="1"/>
  <c r="J2168" i="1" s="1"/>
  <c r="N2167" i="1"/>
  <c r="O2167" i="1" s="1"/>
  <c r="L2167" i="1"/>
  <c r="J2167" i="1"/>
  <c r="I2167" i="1"/>
  <c r="N2166" i="1"/>
  <c r="O2166" i="1" s="1"/>
  <c r="L2166" i="1"/>
  <c r="J2166" i="1"/>
  <c r="I2166" i="1"/>
  <c r="N2165" i="1"/>
  <c r="O2165" i="1" s="1"/>
  <c r="L2165" i="1"/>
  <c r="I2165" i="1"/>
  <c r="J2165" i="1" s="1"/>
  <c r="N2164" i="1"/>
  <c r="O2164" i="1" s="1"/>
  <c r="L2164" i="1"/>
  <c r="I2164" i="1"/>
  <c r="J2164" i="1" s="1"/>
  <c r="N2163" i="1"/>
  <c r="O2163" i="1" s="1"/>
  <c r="L2163" i="1"/>
  <c r="J2163" i="1"/>
  <c r="I2163" i="1"/>
  <c r="N2162" i="1"/>
  <c r="O2162" i="1" s="1"/>
  <c r="L2162" i="1"/>
  <c r="J2162" i="1"/>
  <c r="I2162" i="1"/>
  <c r="N2161" i="1"/>
  <c r="O2161" i="1" s="1"/>
  <c r="L2161" i="1"/>
  <c r="I2161" i="1"/>
  <c r="J2161" i="1" s="1"/>
  <c r="N2160" i="1"/>
  <c r="O2160" i="1" s="1"/>
  <c r="L2160" i="1"/>
  <c r="I2160" i="1"/>
  <c r="J2160" i="1" s="1"/>
  <c r="N2159" i="1"/>
  <c r="O2159" i="1" s="1"/>
  <c r="L2159" i="1"/>
  <c r="J2159" i="1"/>
  <c r="I2159" i="1"/>
  <c r="N2158" i="1"/>
  <c r="O2158" i="1" s="1"/>
  <c r="L2158" i="1"/>
  <c r="J2158" i="1"/>
  <c r="I2158" i="1"/>
  <c r="N2157" i="1"/>
  <c r="O2157" i="1" s="1"/>
  <c r="L2157" i="1"/>
  <c r="I2157" i="1"/>
  <c r="J2157" i="1" s="1"/>
  <c r="N2156" i="1"/>
  <c r="O2156" i="1" s="1"/>
  <c r="L2156" i="1"/>
  <c r="I2156" i="1"/>
  <c r="J2156" i="1" s="1"/>
  <c r="N2155" i="1"/>
  <c r="O2155" i="1" s="1"/>
  <c r="L2155" i="1"/>
  <c r="J2155" i="1"/>
  <c r="I2155" i="1"/>
  <c r="N2154" i="1"/>
  <c r="O2154" i="1" s="1"/>
  <c r="L2154" i="1"/>
  <c r="J2154" i="1"/>
  <c r="I2154" i="1"/>
  <c r="N2153" i="1"/>
  <c r="O2153" i="1" s="1"/>
  <c r="L2153" i="1"/>
  <c r="I2153" i="1"/>
  <c r="J2153" i="1" s="1"/>
  <c r="N2152" i="1"/>
  <c r="O2152" i="1" s="1"/>
  <c r="L2152" i="1"/>
  <c r="J2152" i="1"/>
  <c r="I2152" i="1"/>
  <c r="O2151" i="1"/>
  <c r="N2151" i="1"/>
  <c r="L2151" i="1"/>
  <c r="I2151" i="1"/>
  <c r="J2151" i="1" s="1"/>
  <c r="N2150" i="1"/>
  <c r="O2150" i="1" s="1"/>
  <c r="L2150" i="1"/>
  <c r="I2150" i="1"/>
  <c r="J2150" i="1" s="1"/>
  <c r="N2149" i="1"/>
  <c r="O2149" i="1" s="1"/>
  <c r="L2149" i="1"/>
  <c r="I2149" i="1"/>
  <c r="J2149" i="1" s="1"/>
  <c r="N2148" i="1"/>
  <c r="O2148" i="1" s="1"/>
  <c r="L2148" i="1"/>
  <c r="I2148" i="1"/>
  <c r="J2148" i="1" s="1"/>
  <c r="N2147" i="1"/>
  <c r="O2147" i="1" s="1"/>
  <c r="L2147" i="1"/>
  <c r="J2147" i="1"/>
  <c r="I2147" i="1"/>
  <c r="N2146" i="1"/>
  <c r="O2146" i="1" s="1"/>
  <c r="L2146" i="1"/>
  <c r="J2146" i="1"/>
  <c r="I2146" i="1"/>
  <c r="N2145" i="1"/>
  <c r="O2145" i="1" s="1"/>
  <c r="L2145" i="1"/>
  <c r="I2145" i="1"/>
  <c r="J2145" i="1" s="1"/>
  <c r="N2144" i="1"/>
  <c r="O2144" i="1" s="1"/>
  <c r="L2144" i="1"/>
  <c r="J2144" i="1"/>
  <c r="I2144" i="1"/>
  <c r="O2143" i="1"/>
  <c r="N2143" i="1"/>
  <c r="L2143" i="1"/>
  <c r="I2143" i="1"/>
  <c r="J2143" i="1" s="1"/>
  <c r="N2142" i="1"/>
  <c r="O2142" i="1" s="1"/>
  <c r="L2142" i="1"/>
  <c r="I2142" i="1"/>
  <c r="J2142" i="1" s="1"/>
  <c r="N2141" i="1"/>
  <c r="O2141" i="1" s="1"/>
  <c r="L2141" i="1"/>
  <c r="I2141" i="1"/>
  <c r="J2141" i="1" s="1"/>
  <c r="N2140" i="1"/>
  <c r="O2140" i="1" s="1"/>
  <c r="L2140" i="1"/>
  <c r="I2140" i="1"/>
  <c r="J2140" i="1" s="1"/>
  <c r="N2139" i="1"/>
  <c r="O2139" i="1" s="1"/>
  <c r="L2139" i="1"/>
  <c r="J2139" i="1"/>
  <c r="I2139" i="1"/>
  <c r="N2138" i="1"/>
  <c r="O2138" i="1" s="1"/>
  <c r="L2138" i="1"/>
  <c r="J2138" i="1"/>
  <c r="I2138" i="1"/>
  <c r="N2137" i="1"/>
  <c r="O2137" i="1" s="1"/>
  <c r="L2137" i="1"/>
  <c r="I2137" i="1"/>
  <c r="J2137" i="1" s="1"/>
  <c r="N2136" i="1"/>
  <c r="O2136" i="1" s="1"/>
  <c r="L2136" i="1"/>
  <c r="I2136" i="1"/>
  <c r="J2136" i="1" s="1"/>
  <c r="N2135" i="1"/>
  <c r="O2135" i="1" s="1"/>
  <c r="L2135" i="1"/>
  <c r="I2135" i="1"/>
  <c r="J2135" i="1" s="1"/>
  <c r="N2134" i="1"/>
  <c r="O2134" i="1" s="1"/>
  <c r="L2134" i="1"/>
  <c r="I2134" i="1"/>
  <c r="J2134" i="1" s="1"/>
  <c r="N2133" i="1"/>
  <c r="O2133" i="1" s="1"/>
  <c r="L2133" i="1"/>
  <c r="I2133" i="1"/>
  <c r="J2133" i="1" s="1"/>
  <c r="N2132" i="1"/>
  <c r="O2132" i="1" s="1"/>
  <c r="L2132" i="1"/>
  <c r="I2132" i="1"/>
  <c r="J2132" i="1" s="1"/>
  <c r="N2131" i="1"/>
  <c r="O2131" i="1" s="1"/>
  <c r="L2131" i="1"/>
  <c r="J2131" i="1"/>
  <c r="I2131" i="1"/>
  <c r="N2130" i="1"/>
  <c r="O2130" i="1" s="1"/>
  <c r="L2130" i="1"/>
  <c r="J2130" i="1"/>
  <c r="I2130" i="1"/>
  <c r="N2129" i="1"/>
  <c r="O2129" i="1" s="1"/>
  <c r="L2129" i="1"/>
  <c r="I2129" i="1"/>
  <c r="J2129" i="1" s="1"/>
  <c r="N2128" i="1"/>
  <c r="O2128" i="1" s="1"/>
  <c r="L2128" i="1"/>
  <c r="I2128" i="1"/>
  <c r="J2128" i="1" s="1"/>
  <c r="N2127" i="1"/>
  <c r="O2127" i="1" s="1"/>
  <c r="L2127" i="1"/>
  <c r="I2127" i="1"/>
  <c r="J2127" i="1" s="1"/>
  <c r="N2126" i="1"/>
  <c r="O2126" i="1" s="1"/>
  <c r="L2126" i="1"/>
  <c r="I2126" i="1"/>
  <c r="J2126" i="1" s="1"/>
  <c r="N2125" i="1"/>
  <c r="O2125" i="1" s="1"/>
  <c r="L2125" i="1"/>
  <c r="I2125" i="1"/>
  <c r="J2125" i="1" s="1"/>
  <c r="N2124" i="1"/>
  <c r="O2124" i="1" s="1"/>
  <c r="L2124" i="1"/>
  <c r="I2124" i="1"/>
  <c r="J2124" i="1" s="1"/>
  <c r="N2123" i="1"/>
  <c r="O2123" i="1" s="1"/>
  <c r="L2123" i="1"/>
  <c r="J2123" i="1"/>
  <c r="I2123" i="1"/>
  <c r="N2122" i="1"/>
  <c r="O2122" i="1" s="1"/>
  <c r="L2122" i="1"/>
  <c r="J2122" i="1"/>
  <c r="I2122" i="1"/>
  <c r="N2121" i="1"/>
  <c r="O2121" i="1" s="1"/>
  <c r="L2121" i="1"/>
  <c r="I2121" i="1"/>
  <c r="J2121" i="1" s="1"/>
  <c r="N2120" i="1"/>
  <c r="O2120" i="1" s="1"/>
  <c r="L2120" i="1"/>
  <c r="I2120" i="1"/>
  <c r="J2120" i="1" s="1"/>
  <c r="N2119" i="1"/>
  <c r="O2119" i="1" s="1"/>
  <c r="L2119" i="1"/>
  <c r="I2119" i="1"/>
  <c r="J2119" i="1" s="1"/>
  <c r="N2118" i="1"/>
  <c r="O2118" i="1" s="1"/>
  <c r="L2118" i="1"/>
  <c r="I2118" i="1"/>
  <c r="J2118" i="1" s="1"/>
  <c r="N2117" i="1"/>
  <c r="O2117" i="1" s="1"/>
  <c r="L2117" i="1"/>
  <c r="I2117" i="1"/>
  <c r="J2117" i="1" s="1"/>
  <c r="N2116" i="1"/>
  <c r="O2116" i="1" s="1"/>
  <c r="L2116" i="1"/>
  <c r="I2116" i="1"/>
  <c r="J2116" i="1" s="1"/>
  <c r="N2115" i="1"/>
  <c r="O2115" i="1" s="1"/>
  <c r="L2115" i="1"/>
  <c r="J2115" i="1"/>
  <c r="I2115" i="1"/>
  <c r="N2114" i="1"/>
  <c r="O2114" i="1" s="1"/>
  <c r="L2114" i="1"/>
  <c r="J2114" i="1"/>
  <c r="I2114" i="1"/>
  <c r="N2113" i="1"/>
  <c r="O2113" i="1" s="1"/>
  <c r="L2113" i="1"/>
  <c r="I2113" i="1"/>
  <c r="J2113" i="1" s="1"/>
  <c r="N2112" i="1"/>
  <c r="O2112" i="1" s="1"/>
  <c r="L2112" i="1"/>
  <c r="I2112" i="1"/>
  <c r="J2112" i="1" s="1"/>
  <c r="N2111" i="1"/>
  <c r="O2111" i="1" s="1"/>
  <c r="L2111" i="1"/>
  <c r="I2111" i="1"/>
  <c r="J2111" i="1" s="1"/>
  <c r="N2110" i="1"/>
  <c r="O2110" i="1" s="1"/>
  <c r="L2110" i="1"/>
  <c r="I2110" i="1"/>
  <c r="J2110" i="1" s="1"/>
  <c r="N2109" i="1"/>
  <c r="O2109" i="1" s="1"/>
  <c r="L2109" i="1"/>
  <c r="I2109" i="1"/>
  <c r="J2109" i="1" s="1"/>
  <c r="N2108" i="1"/>
  <c r="O2108" i="1" s="1"/>
  <c r="L2108" i="1"/>
  <c r="I2108" i="1"/>
  <c r="J2108" i="1" s="1"/>
  <c r="N2107" i="1"/>
  <c r="O2107" i="1" s="1"/>
  <c r="L2107" i="1"/>
  <c r="J2107" i="1"/>
  <c r="I2107" i="1"/>
  <c r="N2106" i="1"/>
  <c r="O2106" i="1" s="1"/>
  <c r="L2106" i="1"/>
  <c r="J2106" i="1"/>
  <c r="I2106" i="1"/>
  <c r="N2105" i="1"/>
  <c r="O2105" i="1" s="1"/>
  <c r="L2105" i="1"/>
  <c r="I2105" i="1"/>
  <c r="J2105" i="1" s="1"/>
  <c r="N2104" i="1"/>
  <c r="O2104" i="1" s="1"/>
  <c r="L2104" i="1"/>
  <c r="I2104" i="1"/>
  <c r="J2104" i="1" s="1"/>
  <c r="N2103" i="1"/>
  <c r="O2103" i="1" s="1"/>
  <c r="L2103" i="1"/>
  <c r="I2103" i="1"/>
  <c r="J2103" i="1" s="1"/>
  <c r="N2102" i="1"/>
  <c r="O2102" i="1" s="1"/>
  <c r="L2102" i="1"/>
  <c r="I2102" i="1"/>
  <c r="J2102" i="1" s="1"/>
  <c r="N2101" i="1"/>
  <c r="O2101" i="1" s="1"/>
  <c r="L2101" i="1"/>
  <c r="I2101" i="1"/>
  <c r="J2101" i="1" s="1"/>
  <c r="N2100" i="1"/>
  <c r="O2100" i="1" s="1"/>
  <c r="L2100" i="1"/>
  <c r="I2100" i="1"/>
  <c r="J2100" i="1" s="1"/>
  <c r="N2099" i="1"/>
  <c r="O2099" i="1" s="1"/>
  <c r="L2099" i="1"/>
  <c r="J2099" i="1"/>
  <c r="I2099" i="1"/>
  <c r="N2098" i="1"/>
  <c r="O2098" i="1" s="1"/>
  <c r="L2098" i="1"/>
  <c r="J2098" i="1"/>
  <c r="I2098" i="1"/>
  <c r="N2097" i="1"/>
  <c r="O2097" i="1" s="1"/>
  <c r="L2097" i="1"/>
  <c r="I2097" i="1"/>
  <c r="J2097" i="1" s="1"/>
  <c r="N2096" i="1"/>
  <c r="O2096" i="1" s="1"/>
  <c r="L2096" i="1"/>
  <c r="I2096" i="1"/>
  <c r="J2096" i="1" s="1"/>
  <c r="N2095" i="1"/>
  <c r="O2095" i="1" s="1"/>
  <c r="L2095" i="1"/>
  <c r="I2095" i="1"/>
  <c r="J2095" i="1" s="1"/>
  <c r="N2094" i="1"/>
  <c r="O2094" i="1" s="1"/>
  <c r="L2094" i="1"/>
  <c r="I2094" i="1"/>
  <c r="J2094" i="1" s="1"/>
  <c r="N2093" i="1"/>
  <c r="O2093" i="1" s="1"/>
  <c r="L2093" i="1"/>
  <c r="I2093" i="1"/>
  <c r="J2093" i="1" s="1"/>
  <c r="N2092" i="1"/>
  <c r="O2092" i="1" s="1"/>
  <c r="L2092" i="1"/>
  <c r="I2092" i="1"/>
  <c r="J2092" i="1" s="1"/>
  <c r="N2091" i="1"/>
  <c r="O2091" i="1" s="1"/>
  <c r="L2091" i="1"/>
  <c r="J2091" i="1"/>
  <c r="I2091" i="1"/>
  <c r="N2090" i="1"/>
  <c r="O2090" i="1" s="1"/>
  <c r="L2090" i="1"/>
  <c r="J2090" i="1"/>
  <c r="I2090" i="1"/>
  <c r="N2089" i="1"/>
  <c r="O2089" i="1" s="1"/>
  <c r="L2089" i="1"/>
  <c r="I2089" i="1"/>
  <c r="J2089" i="1" s="1"/>
  <c r="N2088" i="1"/>
  <c r="O2088" i="1" s="1"/>
  <c r="L2088" i="1"/>
  <c r="I2088" i="1"/>
  <c r="J2088" i="1" s="1"/>
  <c r="N2087" i="1"/>
  <c r="O2087" i="1" s="1"/>
  <c r="L2087" i="1"/>
  <c r="I2087" i="1"/>
  <c r="J2087" i="1" s="1"/>
  <c r="N2086" i="1"/>
  <c r="O2086" i="1" s="1"/>
  <c r="L2086" i="1"/>
  <c r="I2086" i="1"/>
  <c r="J2086" i="1" s="1"/>
  <c r="N2085" i="1"/>
  <c r="O2085" i="1" s="1"/>
  <c r="L2085" i="1"/>
  <c r="I2085" i="1"/>
  <c r="J2085" i="1" s="1"/>
  <c r="N2084" i="1"/>
  <c r="O2084" i="1" s="1"/>
  <c r="L2084" i="1"/>
  <c r="I2084" i="1"/>
  <c r="J2084" i="1" s="1"/>
  <c r="N2083" i="1"/>
  <c r="O2083" i="1" s="1"/>
  <c r="L2083" i="1"/>
  <c r="J2083" i="1"/>
  <c r="I2083" i="1"/>
  <c r="N2082" i="1"/>
  <c r="O2082" i="1" s="1"/>
  <c r="L2082" i="1"/>
  <c r="J2082" i="1"/>
  <c r="I2082" i="1"/>
  <c r="N2081" i="1"/>
  <c r="O2081" i="1" s="1"/>
  <c r="L2081" i="1"/>
  <c r="J2081" i="1"/>
  <c r="I2081" i="1"/>
  <c r="N2080" i="1"/>
  <c r="O2080" i="1" s="1"/>
  <c r="L2080" i="1"/>
  <c r="I2080" i="1"/>
  <c r="J2080" i="1" s="1"/>
  <c r="N2079" i="1"/>
  <c r="O2079" i="1" s="1"/>
  <c r="L2079" i="1"/>
  <c r="I2079" i="1"/>
  <c r="J2079" i="1" s="1"/>
  <c r="N2078" i="1"/>
  <c r="O2078" i="1" s="1"/>
  <c r="L2078" i="1"/>
  <c r="J2078" i="1"/>
  <c r="I2078" i="1"/>
  <c r="N2077" i="1"/>
  <c r="O2077" i="1" s="1"/>
  <c r="L2077" i="1"/>
  <c r="J2077" i="1"/>
  <c r="I2077" i="1"/>
  <c r="N2076" i="1"/>
  <c r="O2076" i="1" s="1"/>
  <c r="L2076" i="1"/>
  <c r="I2076" i="1"/>
  <c r="J2076" i="1" s="1"/>
  <c r="N2075" i="1"/>
  <c r="O2075" i="1" s="1"/>
  <c r="L2075" i="1"/>
  <c r="I2075" i="1"/>
  <c r="J2075" i="1" s="1"/>
  <c r="N2074" i="1"/>
  <c r="O2074" i="1" s="1"/>
  <c r="L2074" i="1"/>
  <c r="J2074" i="1"/>
  <c r="I2074" i="1"/>
  <c r="N2073" i="1"/>
  <c r="O2073" i="1" s="1"/>
  <c r="L2073" i="1"/>
  <c r="J2073" i="1"/>
  <c r="I2073" i="1"/>
  <c r="N2072" i="1"/>
  <c r="O2072" i="1" s="1"/>
  <c r="L2072" i="1"/>
  <c r="I2072" i="1"/>
  <c r="J2072" i="1" s="1"/>
  <c r="N2071" i="1"/>
  <c r="O2071" i="1" s="1"/>
  <c r="L2071" i="1"/>
  <c r="I2071" i="1"/>
  <c r="J2071" i="1" s="1"/>
  <c r="N2070" i="1"/>
  <c r="O2070" i="1" s="1"/>
  <c r="L2070" i="1"/>
  <c r="J2070" i="1"/>
  <c r="I2070" i="1"/>
  <c r="N2069" i="1"/>
  <c r="O2069" i="1" s="1"/>
  <c r="L2069" i="1"/>
  <c r="J2069" i="1"/>
  <c r="I2069" i="1"/>
  <c r="N2068" i="1"/>
  <c r="O2068" i="1" s="1"/>
  <c r="L2068" i="1"/>
  <c r="I2068" i="1"/>
  <c r="J2068" i="1" s="1"/>
  <c r="N2067" i="1"/>
  <c r="O2067" i="1" s="1"/>
  <c r="L2067" i="1"/>
  <c r="I2067" i="1"/>
  <c r="J2067" i="1" s="1"/>
  <c r="N2066" i="1"/>
  <c r="O2066" i="1" s="1"/>
  <c r="L2066" i="1"/>
  <c r="J2066" i="1"/>
  <c r="I2066" i="1"/>
  <c r="N2065" i="1"/>
  <c r="O2065" i="1" s="1"/>
  <c r="L2065" i="1"/>
  <c r="J2065" i="1"/>
  <c r="I2065" i="1"/>
  <c r="N2064" i="1"/>
  <c r="O2064" i="1" s="1"/>
  <c r="L2064" i="1"/>
  <c r="I2064" i="1"/>
  <c r="J2064" i="1" s="1"/>
  <c r="N2063" i="1"/>
  <c r="O2063" i="1" s="1"/>
  <c r="L2063" i="1"/>
  <c r="I2063" i="1"/>
  <c r="J2063" i="1" s="1"/>
  <c r="N2062" i="1"/>
  <c r="O2062" i="1" s="1"/>
  <c r="L2062" i="1"/>
  <c r="J2062" i="1"/>
  <c r="I2062" i="1"/>
  <c r="N2061" i="1"/>
  <c r="O2061" i="1" s="1"/>
  <c r="L2061" i="1"/>
  <c r="J2061" i="1"/>
  <c r="I2061" i="1"/>
  <c r="N2060" i="1"/>
  <c r="O2060" i="1" s="1"/>
  <c r="L2060" i="1"/>
  <c r="I2060" i="1"/>
  <c r="J2060" i="1" s="1"/>
  <c r="N2059" i="1"/>
  <c r="O2059" i="1" s="1"/>
  <c r="L2059" i="1"/>
  <c r="I2059" i="1"/>
  <c r="J2059" i="1" s="1"/>
  <c r="N2058" i="1"/>
  <c r="O2058" i="1" s="1"/>
  <c r="L2058" i="1"/>
  <c r="J2058" i="1"/>
  <c r="I2058" i="1"/>
  <c r="N2057" i="1"/>
  <c r="O2057" i="1" s="1"/>
  <c r="L2057" i="1"/>
  <c r="J2057" i="1"/>
  <c r="I2057" i="1"/>
  <c r="N2056" i="1"/>
  <c r="O2056" i="1" s="1"/>
  <c r="L2056" i="1"/>
  <c r="I2056" i="1"/>
  <c r="J2056" i="1" s="1"/>
  <c r="N2055" i="1"/>
  <c r="O2055" i="1" s="1"/>
  <c r="L2055" i="1"/>
  <c r="I2055" i="1"/>
  <c r="J2055" i="1" s="1"/>
  <c r="N2054" i="1"/>
  <c r="O2054" i="1" s="1"/>
  <c r="L2054" i="1"/>
  <c r="J2054" i="1"/>
  <c r="I2054" i="1"/>
  <c r="N2053" i="1"/>
  <c r="O2053" i="1" s="1"/>
  <c r="L2053" i="1"/>
  <c r="J2053" i="1"/>
  <c r="I2053" i="1"/>
  <c r="N2052" i="1"/>
  <c r="O2052" i="1" s="1"/>
  <c r="L2052" i="1"/>
  <c r="I2052" i="1"/>
  <c r="J2052" i="1" s="1"/>
  <c r="N2051" i="1"/>
  <c r="O2051" i="1" s="1"/>
  <c r="L2051" i="1"/>
  <c r="I2051" i="1"/>
  <c r="J2051" i="1" s="1"/>
  <c r="N2050" i="1"/>
  <c r="O2050" i="1" s="1"/>
  <c r="L2050" i="1"/>
  <c r="J2050" i="1"/>
  <c r="I2050" i="1"/>
  <c r="N2049" i="1"/>
  <c r="O2049" i="1" s="1"/>
  <c r="L2049" i="1"/>
  <c r="J2049" i="1"/>
  <c r="I2049" i="1"/>
  <c r="N2048" i="1"/>
  <c r="O2048" i="1" s="1"/>
  <c r="L2048" i="1"/>
  <c r="I2048" i="1"/>
  <c r="J2048" i="1" s="1"/>
  <c r="N2047" i="1"/>
  <c r="O2047" i="1" s="1"/>
  <c r="L2047" i="1"/>
  <c r="I2047" i="1"/>
  <c r="J2047" i="1" s="1"/>
  <c r="N2046" i="1"/>
  <c r="O2046" i="1" s="1"/>
  <c r="L2046" i="1"/>
  <c r="J2046" i="1"/>
  <c r="I2046" i="1"/>
  <c r="N2045" i="1"/>
  <c r="O2045" i="1" s="1"/>
  <c r="L2045" i="1"/>
  <c r="J2045" i="1"/>
  <c r="I2045" i="1"/>
  <c r="N2044" i="1"/>
  <c r="O2044" i="1" s="1"/>
  <c r="L2044" i="1"/>
  <c r="I2044" i="1"/>
  <c r="J2044" i="1" s="1"/>
  <c r="N2043" i="1"/>
  <c r="O2043" i="1" s="1"/>
  <c r="L2043" i="1"/>
  <c r="I2043" i="1"/>
  <c r="J2043" i="1" s="1"/>
  <c r="N2042" i="1"/>
  <c r="O2042" i="1" s="1"/>
  <c r="L2042" i="1"/>
  <c r="J2042" i="1"/>
  <c r="I2042" i="1"/>
  <c r="N2041" i="1"/>
  <c r="O2041" i="1" s="1"/>
  <c r="L2041" i="1"/>
  <c r="J2041" i="1"/>
  <c r="I2041" i="1"/>
  <c r="N2040" i="1"/>
  <c r="O2040" i="1" s="1"/>
  <c r="L2040" i="1"/>
  <c r="I2040" i="1"/>
  <c r="J2040" i="1" s="1"/>
  <c r="N2039" i="1"/>
  <c r="O2039" i="1" s="1"/>
  <c r="L2039" i="1"/>
  <c r="I2039" i="1"/>
  <c r="J2039" i="1" s="1"/>
  <c r="N2038" i="1"/>
  <c r="O2038" i="1" s="1"/>
  <c r="L2038" i="1"/>
  <c r="J2038" i="1"/>
  <c r="I2038" i="1"/>
  <c r="N2037" i="1"/>
  <c r="O2037" i="1" s="1"/>
  <c r="L2037" i="1"/>
  <c r="J2037" i="1"/>
  <c r="I2037" i="1"/>
  <c r="N2036" i="1"/>
  <c r="O2036" i="1" s="1"/>
  <c r="L2036" i="1"/>
  <c r="I2036" i="1"/>
  <c r="J2036" i="1" s="1"/>
  <c r="N2035" i="1"/>
  <c r="O2035" i="1" s="1"/>
  <c r="L2035" i="1"/>
  <c r="I2035" i="1"/>
  <c r="J2035" i="1" s="1"/>
  <c r="N2034" i="1"/>
  <c r="O2034" i="1" s="1"/>
  <c r="L2034" i="1"/>
  <c r="J2034" i="1"/>
  <c r="I2034" i="1"/>
  <c r="N2033" i="1"/>
  <c r="O2033" i="1" s="1"/>
  <c r="L2033" i="1"/>
  <c r="J2033" i="1"/>
  <c r="I2033" i="1"/>
  <c r="N2032" i="1"/>
  <c r="O2032" i="1" s="1"/>
  <c r="L2032" i="1"/>
  <c r="I2032" i="1"/>
  <c r="J2032" i="1" s="1"/>
  <c r="N2031" i="1"/>
  <c r="O2031" i="1" s="1"/>
  <c r="L2031" i="1"/>
  <c r="I2031" i="1"/>
  <c r="J2031" i="1" s="1"/>
  <c r="N2030" i="1"/>
  <c r="O2030" i="1" s="1"/>
  <c r="L2030" i="1"/>
  <c r="J2030" i="1"/>
  <c r="I2030" i="1"/>
  <c r="N2029" i="1"/>
  <c r="O2029" i="1" s="1"/>
  <c r="L2029" i="1"/>
  <c r="J2029" i="1"/>
  <c r="I2029" i="1"/>
  <c r="N2028" i="1"/>
  <c r="O2028" i="1" s="1"/>
  <c r="L2028" i="1"/>
  <c r="I2028" i="1"/>
  <c r="J2028" i="1" s="1"/>
  <c r="N2027" i="1"/>
  <c r="O2027" i="1" s="1"/>
  <c r="L2027" i="1"/>
  <c r="I2027" i="1"/>
  <c r="J2027" i="1" s="1"/>
  <c r="N2026" i="1"/>
  <c r="O2026" i="1" s="1"/>
  <c r="L2026" i="1"/>
  <c r="J2026" i="1"/>
  <c r="I2026" i="1"/>
  <c r="N2025" i="1"/>
  <c r="O2025" i="1" s="1"/>
  <c r="L2025" i="1"/>
  <c r="J2025" i="1"/>
  <c r="I2025" i="1"/>
  <c r="N2024" i="1"/>
  <c r="O2024" i="1" s="1"/>
  <c r="L2024" i="1"/>
  <c r="I2024" i="1"/>
  <c r="J2024" i="1" s="1"/>
  <c r="N2023" i="1"/>
  <c r="O2023" i="1" s="1"/>
  <c r="L2023" i="1"/>
  <c r="I2023" i="1"/>
  <c r="J2023" i="1" s="1"/>
  <c r="N2022" i="1"/>
  <c r="O2022" i="1" s="1"/>
  <c r="L2022" i="1"/>
  <c r="J2022" i="1"/>
  <c r="I2022" i="1"/>
  <c r="N2021" i="1"/>
  <c r="O2021" i="1" s="1"/>
  <c r="L2021" i="1"/>
  <c r="J2021" i="1"/>
  <c r="I2021" i="1"/>
  <c r="N2020" i="1"/>
  <c r="O2020" i="1" s="1"/>
  <c r="L2020" i="1"/>
  <c r="I2020" i="1"/>
  <c r="J2020" i="1" s="1"/>
  <c r="N2019" i="1"/>
  <c r="O2019" i="1" s="1"/>
  <c r="L2019" i="1"/>
  <c r="I2019" i="1"/>
  <c r="J2019" i="1" s="1"/>
  <c r="N2018" i="1"/>
  <c r="O2018" i="1" s="1"/>
  <c r="L2018" i="1"/>
  <c r="J2018" i="1"/>
  <c r="I2018" i="1"/>
  <c r="N2017" i="1"/>
  <c r="O2017" i="1" s="1"/>
  <c r="L2017" i="1"/>
  <c r="J2017" i="1"/>
  <c r="I2017" i="1"/>
  <c r="N2016" i="1"/>
  <c r="O2016" i="1" s="1"/>
  <c r="L2016" i="1"/>
  <c r="I2016" i="1"/>
  <c r="J2016" i="1" s="1"/>
  <c r="N2015" i="1"/>
  <c r="O2015" i="1" s="1"/>
  <c r="L2015" i="1"/>
  <c r="I2015" i="1"/>
  <c r="J2015" i="1" s="1"/>
  <c r="N2014" i="1"/>
  <c r="O2014" i="1" s="1"/>
  <c r="L2014" i="1"/>
  <c r="J2014" i="1"/>
  <c r="I2014" i="1"/>
  <c r="N2013" i="1"/>
  <c r="O2013" i="1" s="1"/>
  <c r="L2013" i="1"/>
  <c r="J2013" i="1"/>
  <c r="I2013" i="1"/>
  <c r="N2012" i="1"/>
  <c r="O2012" i="1" s="1"/>
  <c r="L2012" i="1"/>
  <c r="I2012" i="1"/>
  <c r="J2012" i="1" s="1"/>
  <c r="N2011" i="1"/>
  <c r="O2011" i="1" s="1"/>
  <c r="L2011" i="1"/>
  <c r="I2011" i="1"/>
  <c r="J2011" i="1" s="1"/>
  <c r="N2010" i="1"/>
  <c r="O2010" i="1" s="1"/>
  <c r="L2010" i="1"/>
  <c r="J2010" i="1"/>
  <c r="I2010" i="1"/>
  <c r="N2009" i="1"/>
  <c r="O2009" i="1" s="1"/>
  <c r="L2009" i="1"/>
  <c r="J2009" i="1"/>
  <c r="I2009" i="1"/>
  <c r="N2008" i="1"/>
  <c r="O2008" i="1" s="1"/>
  <c r="L2008" i="1"/>
  <c r="I2008" i="1"/>
  <c r="J2008" i="1" s="1"/>
  <c r="N2007" i="1"/>
  <c r="O2007" i="1" s="1"/>
  <c r="L2007" i="1"/>
  <c r="I2007" i="1"/>
  <c r="J2007" i="1" s="1"/>
  <c r="N2006" i="1"/>
  <c r="O2006" i="1" s="1"/>
  <c r="L2006" i="1"/>
  <c r="J2006" i="1"/>
  <c r="I2006" i="1"/>
  <c r="N2005" i="1"/>
  <c r="O2005" i="1" s="1"/>
  <c r="L2005" i="1"/>
  <c r="J2005" i="1"/>
  <c r="I2005" i="1"/>
  <c r="N2004" i="1"/>
  <c r="O2004" i="1" s="1"/>
  <c r="L2004" i="1"/>
  <c r="I2004" i="1"/>
  <c r="J2004" i="1" s="1"/>
  <c r="N2003" i="1"/>
  <c r="O2003" i="1" s="1"/>
  <c r="L2003" i="1"/>
  <c r="I2003" i="1"/>
  <c r="J2003" i="1" s="1"/>
  <c r="N2002" i="1"/>
  <c r="O2002" i="1" s="1"/>
  <c r="L2002" i="1"/>
  <c r="J2002" i="1"/>
  <c r="I2002" i="1"/>
  <c r="N2001" i="1"/>
  <c r="O2001" i="1" s="1"/>
  <c r="L2001" i="1"/>
  <c r="J2001" i="1"/>
  <c r="I2001" i="1"/>
  <c r="N2000" i="1"/>
  <c r="O2000" i="1" s="1"/>
  <c r="L2000" i="1"/>
  <c r="I2000" i="1"/>
  <c r="J2000" i="1" s="1"/>
  <c r="N1999" i="1"/>
  <c r="O1999" i="1" s="1"/>
  <c r="L1999" i="1"/>
  <c r="I1999" i="1"/>
  <c r="J1999" i="1" s="1"/>
  <c r="N1998" i="1"/>
  <c r="O1998" i="1" s="1"/>
  <c r="L1998" i="1"/>
  <c r="J1998" i="1"/>
  <c r="I1998" i="1"/>
  <c r="N1997" i="1"/>
  <c r="O1997" i="1" s="1"/>
  <c r="L1997" i="1"/>
  <c r="J1997" i="1"/>
  <c r="I1997" i="1"/>
  <c r="N1996" i="1"/>
  <c r="O1996" i="1" s="1"/>
  <c r="L1996" i="1"/>
  <c r="I1996" i="1"/>
  <c r="J1996" i="1" s="1"/>
  <c r="N1995" i="1"/>
  <c r="O1995" i="1" s="1"/>
  <c r="L1995" i="1"/>
  <c r="I1995" i="1"/>
  <c r="J1995" i="1" s="1"/>
  <c r="N1994" i="1"/>
  <c r="O1994" i="1" s="1"/>
  <c r="L1994" i="1"/>
  <c r="J1994" i="1"/>
  <c r="I1994" i="1"/>
  <c r="N1993" i="1"/>
  <c r="O1993" i="1" s="1"/>
  <c r="L1993" i="1"/>
  <c r="J1993" i="1"/>
  <c r="I1993" i="1"/>
  <c r="N1992" i="1"/>
  <c r="O1992" i="1" s="1"/>
  <c r="L1992" i="1"/>
  <c r="I1992" i="1"/>
  <c r="J1992" i="1" s="1"/>
  <c r="N1991" i="1"/>
  <c r="O1991" i="1" s="1"/>
  <c r="L1991" i="1"/>
  <c r="I1991" i="1"/>
  <c r="J1991" i="1" s="1"/>
  <c r="N1990" i="1"/>
  <c r="O1990" i="1" s="1"/>
  <c r="L1990" i="1"/>
  <c r="J1990" i="1"/>
  <c r="I1990" i="1"/>
  <c r="N1989" i="1"/>
  <c r="O1989" i="1" s="1"/>
  <c r="L1989" i="1"/>
  <c r="J1989" i="1"/>
  <c r="I1989" i="1"/>
  <c r="N1988" i="1"/>
  <c r="O1988" i="1" s="1"/>
  <c r="L1988" i="1"/>
  <c r="I1988" i="1"/>
  <c r="J1988" i="1" s="1"/>
  <c r="N1987" i="1"/>
  <c r="O1987" i="1" s="1"/>
  <c r="L1987" i="1"/>
  <c r="I1987" i="1"/>
  <c r="J1987" i="1" s="1"/>
  <c r="N1986" i="1"/>
  <c r="O1986" i="1" s="1"/>
  <c r="L1986" i="1"/>
  <c r="J1986" i="1"/>
  <c r="I1986" i="1"/>
  <c r="N1985" i="1"/>
  <c r="O1985" i="1" s="1"/>
  <c r="L1985" i="1"/>
  <c r="J1985" i="1"/>
  <c r="I1985" i="1"/>
  <c r="N1984" i="1"/>
  <c r="O1984" i="1" s="1"/>
  <c r="L1984" i="1"/>
  <c r="I1984" i="1"/>
  <c r="J1984" i="1" s="1"/>
  <c r="N1983" i="1"/>
  <c r="O1983" i="1" s="1"/>
  <c r="L1983" i="1"/>
  <c r="I1983" i="1"/>
  <c r="J1983" i="1" s="1"/>
  <c r="N1982" i="1"/>
  <c r="O1982" i="1" s="1"/>
  <c r="L1982" i="1"/>
  <c r="J1982" i="1"/>
  <c r="I1982" i="1"/>
  <c r="N1981" i="1"/>
  <c r="O1981" i="1" s="1"/>
  <c r="L1981" i="1"/>
  <c r="J1981" i="1"/>
  <c r="I1981" i="1"/>
  <c r="N1980" i="1"/>
  <c r="O1980" i="1" s="1"/>
  <c r="L1980" i="1"/>
  <c r="I1980" i="1"/>
  <c r="J1980" i="1" s="1"/>
  <c r="N1979" i="1"/>
  <c r="O1979" i="1" s="1"/>
  <c r="L1979" i="1"/>
  <c r="I1979" i="1"/>
  <c r="J1979" i="1" s="1"/>
  <c r="N1978" i="1"/>
  <c r="O1978" i="1" s="1"/>
  <c r="L1978" i="1"/>
  <c r="J1978" i="1"/>
  <c r="I1978" i="1"/>
  <c r="N1977" i="1"/>
  <c r="O1977" i="1" s="1"/>
  <c r="L1977" i="1"/>
  <c r="J1977" i="1"/>
  <c r="I1977" i="1"/>
  <c r="N1976" i="1"/>
  <c r="O1976" i="1" s="1"/>
  <c r="L1976" i="1"/>
  <c r="I1976" i="1"/>
  <c r="J1976" i="1" s="1"/>
  <c r="N1975" i="1"/>
  <c r="O1975" i="1" s="1"/>
  <c r="L1975" i="1"/>
  <c r="I1975" i="1"/>
  <c r="J1975" i="1" s="1"/>
  <c r="N1974" i="1"/>
  <c r="O1974" i="1" s="1"/>
  <c r="L1974" i="1"/>
  <c r="J1974" i="1"/>
  <c r="I1974" i="1"/>
  <c r="N1973" i="1"/>
  <c r="O1973" i="1" s="1"/>
  <c r="L1973" i="1"/>
  <c r="J1973" i="1"/>
  <c r="I1973" i="1"/>
  <c r="N1972" i="1"/>
  <c r="O1972" i="1" s="1"/>
  <c r="L1972" i="1"/>
  <c r="I1972" i="1"/>
  <c r="J1972" i="1" s="1"/>
  <c r="N1971" i="1"/>
  <c r="O1971" i="1" s="1"/>
  <c r="L1971" i="1"/>
  <c r="I1971" i="1"/>
  <c r="J1971" i="1" s="1"/>
  <c r="N1970" i="1"/>
  <c r="O1970" i="1" s="1"/>
  <c r="L1970" i="1"/>
  <c r="J1970" i="1"/>
  <c r="I1970" i="1"/>
  <c r="N1969" i="1"/>
  <c r="O1969" i="1" s="1"/>
  <c r="L1969" i="1"/>
  <c r="J1969" i="1"/>
  <c r="I1969" i="1"/>
  <c r="N1968" i="1"/>
  <c r="O1968" i="1" s="1"/>
  <c r="L1968" i="1"/>
  <c r="I1968" i="1"/>
  <c r="J1968" i="1" s="1"/>
  <c r="N1967" i="1"/>
  <c r="O1967" i="1" s="1"/>
  <c r="L1967" i="1"/>
  <c r="I1967" i="1"/>
  <c r="J1967" i="1" s="1"/>
  <c r="N1966" i="1"/>
  <c r="O1966" i="1" s="1"/>
  <c r="L1966" i="1"/>
  <c r="J1966" i="1"/>
  <c r="I1966" i="1"/>
  <c r="N1965" i="1"/>
  <c r="O1965" i="1" s="1"/>
  <c r="L1965" i="1"/>
  <c r="J1965" i="1"/>
  <c r="I1965" i="1"/>
  <c r="N1964" i="1"/>
  <c r="O1964" i="1" s="1"/>
  <c r="L1964" i="1"/>
  <c r="I1964" i="1"/>
  <c r="J1964" i="1" s="1"/>
  <c r="N1963" i="1"/>
  <c r="O1963" i="1" s="1"/>
  <c r="L1963" i="1"/>
  <c r="I1963" i="1"/>
  <c r="J1963" i="1" s="1"/>
  <c r="N1962" i="1"/>
  <c r="O1962" i="1" s="1"/>
  <c r="L1962" i="1"/>
  <c r="J1962" i="1"/>
  <c r="I1962" i="1"/>
  <c r="N1961" i="1"/>
  <c r="O1961" i="1" s="1"/>
  <c r="L1961" i="1"/>
  <c r="J1961" i="1"/>
  <c r="I1961" i="1"/>
  <c r="N1960" i="1"/>
  <c r="O1960" i="1" s="1"/>
  <c r="L1960" i="1"/>
  <c r="I1960" i="1"/>
  <c r="J1960" i="1" s="1"/>
  <c r="N1959" i="1"/>
  <c r="O1959" i="1" s="1"/>
  <c r="L1959" i="1"/>
  <c r="I1959" i="1"/>
  <c r="J1959" i="1" s="1"/>
  <c r="N1958" i="1"/>
  <c r="O1958" i="1" s="1"/>
  <c r="L1958" i="1"/>
  <c r="J1958" i="1"/>
  <c r="I1958" i="1"/>
  <c r="N1957" i="1"/>
  <c r="O1957" i="1" s="1"/>
  <c r="L1957" i="1"/>
  <c r="J1957" i="1"/>
  <c r="I1957" i="1"/>
  <c r="N1956" i="1"/>
  <c r="O1956" i="1" s="1"/>
  <c r="L1956" i="1"/>
  <c r="I1956" i="1"/>
  <c r="J1956" i="1" s="1"/>
  <c r="N1955" i="1"/>
  <c r="O1955" i="1" s="1"/>
  <c r="L1955" i="1"/>
  <c r="I1955" i="1"/>
  <c r="J1955" i="1" s="1"/>
  <c r="N1954" i="1"/>
  <c r="O1954" i="1" s="1"/>
  <c r="L1954" i="1"/>
  <c r="J1954" i="1"/>
  <c r="I1954" i="1"/>
  <c r="N1953" i="1"/>
  <c r="O1953" i="1" s="1"/>
  <c r="L1953" i="1"/>
  <c r="J1953" i="1"/>
  <c r="I1953" i="1"/>
  <c r="N1952" i="1"/>
  <c r="O1952" i="1" s="1"/>
  <c r="L1952" i="1"/>
  <c r="I1952" i="1"/>
  <c r="J1952" i="1" s="1"/>
  <c r="N1951" i="1"/>
  <c r="O1951" i="1" s="1"/>
  <c r="L1951" i="1"/>
  <c r="I1951" i="1"/>
  <c r="J1951" i="1" s="1"/>
  <c r="N1950" i="1"/>
  <c r="O1950" i="1" s="1"/>
  <c r="L1950" i="1"/>
  <c r="J1950" i="1"/>
  <c r="I1950" i="1"/>
  <c r="N1949" i="1"/>
  <c r="O1949" i="1" s="1"/>
  <c r="L1949" i="1"/>
  <c r="J1949" i="1"/>
  <c r="I1949" i="1"/>
  <c r="N1948" i="1"/>
  <c r="O1948" i="1" s="1"/>
  <c r="L1948" i="1"/>
  <c r="I1948" i="1"/>
  <c r="J1948" i="1" s="1"/>
  <c r="N1947" i="1"/>
  <c r="O1947" i="1" s="1"/>
  <c r="L1947" i="1"/>
  <c r="I1947" i="1"/>
  <c r="J1947" i="1" s="1"/>
  <c r="N1946" i="1"/>
  <c r="O1946" i="1" s="1"/>
  <c r="L1946" i="1"/>
  <c r="J1946" i="1"/>
  <c r="I1946" i="1"/>
  <c r="N1945" i="1"/>
  <c r="O1945" i="1" s="1"/>
  <c r="L1945" i="1"/>
  <c r="J1945" i="1"/>
  <c r="I1945" i="1"/>
  <c r="N1944" i="1"/>
  <c r="O1944" i="1" s="1"/>
  <c r="L1944" i="1"/>
  <c r="I1944" i="1"/>
  <c r="J1944" i="1" s="1"/>
  <c r="N1943" i="1"/>
  <c r="O1943" i="1" s="1"/>
  <c r="L1943" i="1"/>
  <c r="I1943" i="1"/>
  <c r="J1943" i="1" s="1"/>
  <c r="N1942" i="1"/>
  <c r="O1942" i="1" s="1"/>
  <c r="L1942" i="1"/>
  <c r="J1942" i="1"/>
  <c r="I1942" i="1"/>
  <c r="N1941" i="1"/>
  <c r="O1941" i="1" s="1"/>
  <c r="L1941" i="1"/>
  <c r="J1941" i="1"/>
  <c r="I1941" i="1"/>
  <c r="N1940" i="1"/>
  <c r="O1940" i="1" s="1"/>
  <c r="L1940" i="1"/>
  <c r="I1940" i="1"/>
  <c r="J1940" i="1" s="1"/>
  <c r="N1939" i="1"/>
  <c r="O1939" i="1" s="1"/>
  <c r="L1939" i="1"/>
  <c r="I1939" i="1"/>
  <c r="J1939" i="1" s="1"/>
  <c r="N1938" i="1"/>
  <c r="O1938" i="1" s="1"/>
  <c r="L1938" i="1"/>
  <c r="J1938" i="1"/>
  <c r="I1938" i="1"/>
  <c r="N1937" i="1"/>
  <c r="O1937" i="1" s="1"/>
  <c r="L1937" i="1"/>
  <c r="J1937" i="1"/>
  <c r="I1937" i="1"/>
  <c r="N1936" i="1"/>
  <c r="O1936" i="1" s="1"/>
  <c r="L1936" i="1"/>
  <c r="I1936" i="1"/>
  <c r="J1936" i="1" s="1"/>
  <c r="N1935" i="1"/>
  <c r="O1935" i="1" s="1"/>
  <c r="L1935" i="1"/>
  <c r="I1935" i="1"/>
  <c r="J1935" i="1" s="1"/>
  <c r="N1934" i="1"/>
  <c r="O1934" i="1" s="1"/>
  <c r="L1934" i="1"/>
  <c r="J1934" i="1"/>
  <c r="I1934" i="1"/>
  <c r="N1933" i="1"/>
  <c r="O1933" i="1" s="1"/>
  <c r="L1933" i="1"/>
  <c r="J1933" i="1"/>
  <c r="I1933" i="1"/>
  <c r="N1932" i="1"/>
  <c r="O1932" i="1" s="1"/>
  <c r="L1932" i="1"/>
  <c r="I1932" i="1"/>
  <c r="J1932" i="1" s="1"/>
  <c r="N1931" i="1"/>
  <c r="O1931" i="1" s="1"/>
  <c r="L1931" i="1"/>
  <c r="I1931" i="1"/>
  <c r="J1931" i="1" s="1"/>
  <c r="N1930" i="1"/>
  <c r="O1930" i="1" s="1"/>
  <c r="L1930" i="1"/>
  <c r="J1930" i="1"/>
  <c r="I1930" i="1"/>
  <c r="N1929" i="1"/>
  <c r="O1929" i="1" s="1"/>
  <c r="L1929" i="1"/>
  <c r="J1929" i="1"/>
  <c r="I1929" i="1"/>
  <c r="N1928" i="1"/>
  <c r="O1928" i="1" s="1"/>
  <c r="L1928" i="1"/>
  <c r="I1928" i="1"/>
  <c r="J1928" i="1" s="1"/>
  <c r="N1927" i="1"/>
  <c r="O1927" i="1" s="1"/>
  <c r="L1927" i="1"/>
  <c r="I1927" i="1"/>
  <c r="J1927" i="1" s="1"/>
  <c r="N1926" i="1"/>
  <c r="O1926" i="1" s="1"/>
  <c r="L1926" i="1"/>
  <c r="J1926" i="1"/>
  <c r="I1926" i="1"/>
  <c r="N1925" i="1"/>
  <c r="O1925" i="1" s="1"/>
  <c r="L1925" i="1"/>
  <c r="J1925" i="1"/>
  <c r="I1925" i="1"/>
  <c r="N1924" i="1"/>
  <c r="O1924" i="1" s="1"/>
  <c r="L1924" i="1"/>
  <c r="I1924" i="1"/>
  <c r="J1924" i="1" s="1"/>
  <c r="N1923" i="1"/>
  <c r="O1923" i="1" s="1"/>
  <c r="L1923" i="1"/>
  <c r="I1923" i="1"/>
  <c r="J1923" i="1" s="1"/>
  <c r="N1922" i="1"/>
  <c r="O1922" i="1" s="1"/>
  <c r="L1922" i="1"/>
  <c r="J1922" i="1"/>
  <c r="I1922" i="1"/>
  <c r="N1921" i="1"/>
  <c r="O1921" i="1" s="1"/>
  <c r="L1921" i="1"/>
  <c r="J1921" i="1"/>
  <c r="I1921" i="1"/>
  <c r="N1920" i="1"/>
  <c r="O1920" i="1" s="1"/>
  <c r="L1920" i="1"/>
  <c r="I1920" i="1"/>
  <c r="J1920" i="1" s="1"/>
  <c r="N1919" i="1"/>
  <c r="O1919" i="1" s="1"/>
  <c r="L1919" i="1"/>
  <c r="I1919" i="1"/>
  <c r="J1919" i="1" s="1"/>
  <c r="N1918" i="1"/>
  <c r="O1918" i="1" s="1"/>
  <c r="L1918" i="1"/>
  <c r="J1918" i="1"/>
  <c r="I1918" i="1"/>
  <c r="N1917" i="1"/>
  <c r="O1917" i="1" s="1"/>
  <c r="L1917" i="1"/>
  <c r="J1917" i="1"/>
  <c r="I1917" i="1"/>
  <c r="N1916" i="1"/>
  <c r="O1916" i="1" s="1"/>
  <c r="L1916" i="1"/>
  <c r="I1916" i="1"/>
  <c r="J1916" i="1" s="1"/>
  <c r="N1915" i="1"/>
  <c r="O1915" i="1" s="1"/>
  <c r="L1915" i="1"/>
  <c r="I1915" i="1"/>
  <c r="J1915" i="1" s="1"/>
  <c r="N1914" i="1"/>
  <c r="O1914" i="1" s="1"/>
  <c r="L1914" i="1"/>
  <c r="J1914" i="1"/>
  <c r="I1914" i="1"/>
  <c r="N1913" i="1"/>
  <c r="O1913" i="1" s="1"/>
  <c r="L1913" i="1"/>
  <c r="J1913" i="1"/>
  <c r="I1913" i="1"/>
  <c r="N1912" i="1"/>
  <c r="O1912" i="1" s="1"/>
  <c r="L1912" i="1"/>
  <c r="I1912" i="1"/>
  <c r="J1912" i="1" s="1"/>
  <c r="N1911" i="1"/>
  <c r="O1911" i="1" s="1"/>
  <c r="L1911" i="1"/>
  <c r="I1911" i="1"/>
  <c r="J1911" i="1" s="1"/>
  <c r="N1910" i="1"/>
  <c r="O1910" i="1" s="1"/>
  <c r="L1910" i="1"/>
  <c r="J1910" i="1"/>
  <c r="I1910" i="1"/>
  <c r="N1909" i="1"/>
  <c r="O1909" i="1" s="1"/>
  <c r="L1909" i="1"/>
  <c r="J1909" i="1"/>
  <c r="I1909" i="1"/>
  <c r="N1908" i="1"/>
  <c r="O1908" i="1" s="1"/>
  <c r="L1908" i="1"/>
  <c r="I1908" i="1"/>
  <c r="J1908" i="1" s="1"/>
  <c r="N1907" i="1"/>
  <c r="O1907" i="1" s="1"/>
  <c r="L1907" i="1"/>
  <c r="I1907" i="1"/>
  <c r="J1907" i="1" s="1"/>
  <c r="N1906" i="1"/>
  <c r="O1906" i="1" s="1"/>
  <c r="L1906" i="1"/>
  <c r="J1906" i="1"/>
  <c r="I1906" i="1"/>
  <c r="N1905" i="1"/>
  <c r="O1905" i="1" s="1"/>
  <c r="L1905" i="1"/>
  <c r="J1905" i="1"/>
  <c r="I1905" i="1"/>
  <c r="N1904" i="1"/>
  <c r="O1904" i="1" s="1"/>
  <c r="L1904" i="1"/>
  <c r="I1904" i="1"/>
  <c r="J1904" i="1" s="1"/>
  <c r="N1903" i="1"/>
  <c r="O1903" i="1" s="1"/>
  <c r="L1903" i="1"/>
  <c r="I1903" i="1"/>
  <c r="J1903" i="1" s="1"/>
  <c r="N1902" i="1"/>
  <c r="O1902" i="1" s="1"/>
  <c r="L1902" i="1"/>
  <c r="I1902" i="1"/>
  <c r="J1902" i="1" s="1"/>
  <c r="N1901" i="1"/>
  <c r="O1901" i="1" s="1"/>
  <c r="L1901" i="1"/>
  <c r="I1901" i="1"/>
  <c r="J1901" i="1" s="1"/>
  <c r="N1900" i="1"/>
  <c r="O1900" i="1" s="1"/>
  <c r="L1900" i="1"/>
  <c r="I1900" i="1"/>
  <c r="J1900" i="1" s="1"/>
  <c r="O1899" i="1"/>
  <c r="N1899" i="1"/>
  <c r="L1899" i="1"/>
  <c r="I1899" i="1"/>
  <c r="J1899" i="1" s="1"/>
  <c r="O1898" i="1"/>
  <c r="N1898" i="1"/>
  <c r="L1898" i="1"/>
  <c r="I1898" i="1"/>
  <c r="J1898" i="1" s="1"/>
  <c r="N1897" i="1"/>
  <c r="O1897" i="1" s="1"/>
  <c r="L1897" i="1"/>
  <c r="J1897" i="1"/>
  <c r="I1897" i="1"/>
  <c r="N1896" i="1"/>
  <c r="O1896" i="1" s="1"/>
  <c r="L1896" i="1"/>
  <c r="I1896" i="1"/>
  <c r="J1896" i="1" s="1"/>
  <c r="N1895" i="1"/>
  <c r="O1895" i="1" s="1"/>
  <c r="L1895" i="1"/>
  <c r="I1895" i="1"/>
  <c r="J1895" i="1" s="1"/>
  <c r="N1894" i="1"/>
  <c r="O1894" i="1" s="1"/>
  <c r="L1894" i="1"/>
  <c r="I1894" i="1"/>
  <c r="J1894" i="1" s="1"/>
  <c r="N1893" i="1"/>
  <c r="O1893" i="1" s="1"/>
  <c r="L1893" i="1"/>
  <c r="I1893" i="1"/>
  <c r="J1893" i="1" s="1"/>
  <c r="N1892" i="1"/>
  <c r="O1892" i="1" s="1"/>
  <c r="L1892" i="1"/>
  <c r="I1892" i="1"/>
  <c r="J1892" i="1" s="1"/>
  <c r="O1891" i="1"/>
  <c r="N1891" i="1"/>
  <c r="L1891" i="1"/>
  <c r="I1891" i="1"/>
  <c r="J1891" i="1" s="1"/>
  <c r="O1890" i="1"/>
  <c r="N1890" i="1"/>
  <c r="L1890" i="1"/>
  <c r="I1890" i="1"/>
  <c r="J1890" i="1" s="1"/>
  <c r="N1889" i="1"/>
  <c r="O1889" i="1" s="1"/>
  <c r="L1889" i="1"/>
  <c r="I1889" i="1"/>
  <c r="J1889" i="1" s="1"/>
  <c r="N1888" i="1"/>
  <c r="O1888" i="1" s="1"/>
  <c r="L1888" i="1"/>
  <c r="I1888" i="1"/>
  <c r="J1888" i="1" s="1"/>
  <c r="N1887" i="1"/>
  <c r="O1887" i="1" s="1"/>
  <c r="L1887" i="1"/>
  <c r="I1887" i="1"/>
  <c r="J1887" i="1" s="1"/>
  <c r="N1886" i="1"/>
  <c r="O1886" i="1" s="1"/>
  <c r="L1886" i="1"/>
  <c r="I1886" i="1"/>
  <c r="J1886" i="1" s="1"/>
  <c r="N1885" i="1"/>
  <c r="O1885" i="1" s="1"/>
  <c r="L1885" i="1"/>
  <c r="I1885" i="1"/>
  <c r="J1885" i="1" s="1"/>
  <c r="N1884" i="1"/>
  <c r="O1884" i="1" s="1"/>
  <c r="L1884" i="1"/>
  <c r="I1884" i="1"/>
  <c r="J1884" i="1" s="1"/>
  <c r="O1883" i="1"/>
  <c r="N1883" i="1"/>
  <c r="L1883" i="1"/>
  <c r="I1883" i="1"/>
  <c r="J1883" i="1" s="1"/>
  <c r="O1882" i="1"/>
  <c r="N1882" i="1"/>
  <c r="L1882" i="1"/>
  <c r="I1882" i="1"/>
  <c r="J1882" i="1" s="1"/>
  <c r="N1881" i="1"/>
  <c r="O1881" i="1" s="1"/>
  <c r="L1881" i="1"/>
  <c r="J1881" i="1"/>
  <c r="I1881" i="1"/>
  <c r="N1880" i="1"/>
  <c r="O1880" i="1" s="1"/>
  <c r="L1880" i="1"/>
  <c r="I1880" i="1"/>
  <c r="J1880" i="1" s="1"/>
  <c r="N1879" i="1"/>
  <c r="O1879" i="1" s="1"/>
  <c r="L1879" i="1"/>
  <c r="I1879" i="1"/>
  <c r="J1879" i="1" s="1"/>
  <c r="N1878" i="1"/>
  <c r="O1878" i="1" s="1"/>
  <c r="L1878" i="1"/>
  <c r="I1878" i="1"/>
  <c r="J1878" i="1" s="1"/>
  <c r="N1877" i="1"/>
  <c r="O1877" i="1" s="1"/>
  <c r="L1877" i="1"/>
  <c r="J1877" i="1"/>
  <c r="I1877" i="1"/>
  <c r="N1876" i="1"/>
  <c r="O1876" i="1" s="1"/>
  <c r="L1876" i="1"/>
  <c r="I1876" i="1"/>
  <c r="J1876" i="1" s="1"/>
  <c r="O1875" i="1"/>
  <c r="N1875" i="1"/>
  <c r="L1875" i="1"/>
  <c r="I1875" i="1"/>
  <c r="J1875" i="1" s="1"/>
  <c r="O1874" i="1"/>
  <c r="N1874" i="1"/>
  <c r="L1874" i="1"/>
  <c r="I1874" i="1"/>
  <c r="J1874" i="1" s="1"/>
  <c r="N1873" i="1"/>
  <c r="O1873" i="1" s="1"/>
  <c r="L1873" i="1"/>
  <c r="I1873" i="1"/>
  <c r="J1873" i="1" s="1"/>
  <c r="N1872" i="1"/>
  <c r="O1872" i="1" s="1"/>
  <c r="L1872" i="1"/>
  <c r="I1872" i="1"/>
  <c r="J1872" i="1" s="1"/>
  <c r="O1871" i="1"/>
  <c r="N1871" i="1"/>
  <c r="L1871" i="1"/>
  <c r="I1871" i="1"/>
  <c r="J1871" i="1" s="1"/>
  <c r="O1870" i="1"/>
  <c r="N1870" i="1"/>
  <c r="L1870" i="1"/>
  <c r="I1870" i="1"/>
  <c r="J1870" i="1" s="1"/>
  <c r="N1869" i="1"/>
  <c r="O1869" i="1" s="1"/>
  <c r="L1869" i="1"/>
  <c r="I1869" i="1"/>
  <c r="J1869" i="1" s="1"/>
  <c r="N1868" i="1"/>
  <c r="O1868" i="1" s="1"/>
  <c r="L1868" i="1"/>
  <c r="I1868" i="1"/>
  <c r="J1868" i="1" s="1"/>
  <c r="N1867" i="1"/>
  <c r="O1867" i="1" s="1"/>
  <c r="L1867" i="1"/>
  <c r="I1867" i="1"/>
  <c r="J1867" i="1" s="1"/>
  <c r="N1866" i="1"/>
  <c r="O1866" i="1" s="1"/>
  <c r="L1866" i="1"/>
  <c r="I1866" i="1"/>
  <c r="J1866" i="1" s="1"/>
  <c r="N1865" i="1"/>
  <c r="O1865" i="1" s="1"/>
  <c r="L1865" i="1"/>
  <c r="J1865" i="1"/>
  <c r="I1865" i="1"/>
  <c r="N1864" i="1"/>
  <c r="O1864" i="1" s="1"/>
  <c r="L1864" i="1"/>
  <c r="I1864" i="1"/>
  <c r="J1864" i="1" s="1"/>
  <c r="N1863" i="1"/>
  <c r="O1863" i="1" s="1"/>
  <c r="L1863" i="1"/>
  <c r="I1863" i="1"/>
  <c r="J1863" i="1" s="1"/>
  <c r="N1862" i="1"/>
  <c r="O1862" i="1" s="1"/>
  <c r="L1862" i="1"/>
  <c r="I1862" i="1"/>
  <c r="J1862" i="1" s="1"/>
  <c r="N1861" i="1"/>
  <c r="O1861" i="1" s="1"/>
  <c r="L1861" i="1"/>
  <c r="J1861" i="1"/>
  <c r="I1861" i="1"/>
  <c r="N1860" i="1"/>
  <c r="O1860" i="1" s="1"/>
  <c r="L1860" i="1"/>
  <c r="I1860" i="1"/>
  <c r="J1860" i="1" s="1"/>
  <c r="O1859" i="1"/>
  <c r="N1859" i="1"/>
  <c r="L1859" i="1"/>
  <c r="I1859" i="1"/>
  <c r="J1859" i="1" s="1"/>
  <c r="O1858" i="1"/>
  <c r="N1858" i="1"/>
  <c r="L1858" i="1"/>
  <c r="I1858" i="1"/>
  <c r="J1858" i="1" s="1"/>
  <c r="N1857" i="1"/>
  <c r="O1857" i="1" s="1"/>
  <c r="L1857" i="1"/>
  <c r="J1857" i="1"/>
  <c r="I1857" i="1"/>
  <c r="N1856" i="1"/>
  <c r="O1856" i="1" s="1"/>
  <c r="L1856" i="1"/>
  <c r="I1856" i="1"/>
  <c r="J1856" i="1" s="1"/>
  <c r="O1855" i="1"/>
  <c r="N1855" i="1"/>
  <c r="L1855" i="1"/>
  <c r="I1855" i="1"/>
  <c r="J1855" i="1" s="1"/>
  <c r="O1854" i="1"/>
  <c r="N1854" i="1"/>
  <c r="L1854" i="1"/>
  <c r="I1854" i="1"/>
  <c r="J1854" i="1" s="1"/>
  <c r="N1853" i="1"/>
  <c r="O1853" i="1" s="1"/>
  <c r="L1853" i="1"/>
  <c r="I1853" i="1"/>
  <c r="J1853" i="1" s="1"/>
  <c r="N1852" i="1"/>
  <c r="O1852" i="1" s="1"/>
  <c r="L1852" i="1"/>
  <c r="I1852" i="1"/>
  <c r="J1852" i="1" s="1"/>
  <c r="N1851" i="1"/>
  <c r="O1851" i="1" s="1"/>
  <c r="L1851" i="1"/>
  <c r="I1851" i="1"/>
  <c r="J1851" i="1" s="1"/>
  <c r="N1850" i="1"/>
  <c r="O1850" i="1" s="1"/>
  <c r="L1850" i="1"/>
  <c r="I1850" i="1"/>
  <c r="J1850" i="1" s="1"/>
  <c r="N1849" i="1"/>
  <c r="O1849" i="1" s="1"/>
  <c r="L1849" i="1"/>
  <c r="J1849" i="1"/>
  <c r="I1849" i="1"/>
  <c r="N1848" i="1"/>
  <c r="O1848" i="1" s="1"/>
  <c r="L1848" i="1"/>
  <c r="I1848" i="1"/>
  <c r="J1848" i="1" s="1"/>
  <c r="N1847" i="1"/>
  <c r="O1847" i="1" s="1"/>
  <c r="L1847" i="1"/>
  <c r="I1847" i="1"/>
  <c r="J1847" i="1" s="1"/>
  <c r="N1846" i="1"/>
  <c r="O1846" i="1" s="1"/>
  <c r="L1846" i="1"/>
  <c r="I1846" i="1"/>
  <c r="J1846" i="1" s="1"/>
  <c r="N1845" i="1"/>
  <c r="O1845" i="1" s="1"/>
  <c r="L1845" i="1"/>
  <c r="I1845" i="1"/>
  <c r="J1845" i="1" s="1"/>
  <c r="N1844" i="1"/>
  <c r="O1844" i="1" s="1"/>
  <c r="L1844" i="1"/>
  <c r="I1844" i="1"/>
  <c r="J1844" i="1" s="1"/>
  <c r="O1843" i="1"/>
  <c r="N1843" i="1"/>
  <c r="L1843" i="1"/>
  <c r="I1843" i="1"/>
  <c r="J1843" i="1" s="1"/>
  <c r="O1842" i="1"/>
  <c r="N1842" i="1"/>
  <c r="L1842" i="1"/>
  <c r="I1842" i="1"/>
  <c r="J1842" i="1" s="1"/>
  <c r="N1841" i="1"/>
  <c r="O1841" i="1" s="1"/>
  <c r="L1841" i="1"/>
  <c r="J1841" i="1"/>
  <c r="I1841" i="1"/>
  <c r="O1840" i="1"/>
  <c r="N1840" i="1"/>
  <c r="L1840" i="1"/>
  <c r="I1840" i="1"/>
  <c r="J1840" i="1" s="1"/>
  <c r="O1839" i="1"/>
  <c r="N1839" i="1"/>
  <c r="L1839" i="1"/>
  <c r="I1839" i="1"/>
  <c r="J1839" i="1" s="1"/>
  <c r="N1838" i="1"/>
  <c r="O1838" i="1" s="1"/>
  <c r="L1838" i="1"/>
  <c r="J1838" i="1"/>
  <c r="I1838" i="1"/>
  <c r="N1837" i="1"/>
  <c r="O1837" i="1" s="1"/>
  <c r="L1837" i="1"/>
  <c r="J1837" i="1"/>
  <c r="I1837" i="1"/>
  <c r="N1836" i="1"/>
  <c r="O1836" i="1" s="1"/>
  <c r="L1836" i="1"/>
  <c r="I1836" i="1"/>
  <c r="J1836" i="1" s="1"/>
  <c r="N1835" i="1"/>
  <c r="O1835" i="1" s="1"/>
  <c r="L1835" i="1"/>
  <c r="I1835" i="1"/>
  <c r="J1835" i="1" s="1"/>
  <c r="O1834" i="1"/>
  <c r="N1834" i="1"/>
  <c r="L1834" i="1"/>
  <c r="I1834" i="1"/>
  <c r="J1834" i="1" s="1"/>
  <c r="N1833" i="1"/>
  <c r="O1833" i="1" s="1"/>
  <c r="L1833" i="1"/>
  <c r="J1833" i="1"/>
  <c r="I1833" i="1"/>
  <c r="O1832" i="1"/>
  <c r="N1832" i="1"/>
  <c r="L1832" i="1"/>
  <c r="I1832" i="1"/>
  <c r="J1832" i="1" s="1"/>
  <c r="O1831" i="1"/>
  <c r="N1831" i="1"/>
  <c r="L1831" i="1"/>
  <c r="J1831" i="1"/>
  <c r="I1831" i="1"/>
  <c r="N1830" i="1"/>
  <c r="O1830" i="1" s="1"/>
  <c r="L1830" i="1"/>
  <c r="J1830" i="1"/>
  <c r="I1830" i="1"/>
  <c r="N1829" i="1"/>
  <c r="O1829" i="1" s="1"/>
  <c r="L1829" i="1"/>
  <c r="J1829" i="1"/>
  <c r="I1829" i="1"/>
  <c r="N1828" i="1"/>
  <c r="O1828" i="1" s="1"/>
  <c r="L1828" i="1"/>
  <c r="I1828" i="1"/>
  <c r="J1828" i="1" s="1"/>
  <c r="N1827" i="1"/>
  <c r="O1827" i="1" s="1"/>
  <c r="L1827" i="1"/>
  <c r="I1827" i="1"/>
  <c r="J1827" i="1" s="1"/>
  <c r="O1826" i="1"/>
  <c r="N1826" i="1"/>
  <c r="L1826" i="1"/>
  <c r="I1826" i="1"/>
  <c r="J1826" i="1" s="1"/>
  <c r="N1825" i="1"/>
  <c r="O1825" i="1" s="1"/>
  <c r="L1825" i="1"/>
  <c r="I1825" i="1"/>
  <c r="J1825" i="1" s="1"/>
  <c r="O1824" i="1"/>
  <c r="N1824" i="1"/>
  <c r="L1824" i="1"/>
  <c r="I1824" i="1"/>
  <c r="J1824" i="1" s="1"/>
  <c r="O1823" i="1"/>
  <c r="N1823" i="1"/>
  <c r="L1823" i="1"/>
  <c r="J1823" i="1"/>
  <c r="I1823" i="1"/>
  <c r="N1822" i="1"/>
  <c r="O1822" i="1" s="1"/>
  <c r="L1822" i="1"/>
  <c r="J1822" i="1"/>
  <c r="I1822" i="1"/>
  <c r="N1821" i="1"/>
  <c r="O1821" i="1" s="1"/>
  <c r="L1821" i="1"/>
  <c r="J1821" i="1"/>
  <c r="I1821" i="1"/>
  <c r="N1820" i="1"/>
  <c r="O1820" i="1" s="1"/>
  <c r="L1820" i="1"/>
  <c r="I1820" i="1"/>
  <c r="J1820" i="1" s="1"/>
  <c r="N1819" i="1"/>
  <c r="O1819" i="1" s="1"/>
  <c r="L1819" i="1"/>
  <c r="I1819" i="1"/>
  <c r="J1819" i="1" s="1"/>
  <c r="O1818" i="1"/>
  <c r="N1818" i="1"/>
  <c r="L1818" i="1"/>
  <c r="I1818" i="1"/>
  <c r="J1818" i="1" s="1"/>
  <c r="N1817" i="1"/>
  <c r="O1817" i="1" s="1"/>
  <c r="L1817" i="1"/>
  <c r="I1817" i="1"/>
  <c r="J1817" i="1" s="1"/>
  <c r="O1816" i="1"/>
  <c r="N1816" i="1"/>
  <c r="L1816" i="1"/>
  <c r="I1816" i="1"/>
  <c r="J1816" i="1" s="1"/>
  <c r="O1815" i="1"/>
  <c r="N1815" i="1"/>
  <c r="L1815" i="1"/>
  <c r="I1815" i="1"/>
  <c r="J1815" i="1" s="1"/>
  <c r="O1814" i="1"/>
  <c r="N1814" i="1"/>
  <c r="L1814" i="1"/>
  <c r="J1814" i="1"/>
  <c r="I1814" i="1"/>
  <c r="N1813" i="1"/>
  <c r="O1813" i="1" s="1"/>
  <c r="L1813" i="1"/>
  <c r="J1813" i="1"/>
  <c r="I1813" i="1"/>
  <c r="N1812" i="1"/>
  <c r="O1812" i="1" s="1"/>
  <c r="L1812" i="1"/>
  <c r="I1812" i="1"/>
  <c r="J1812" i="1" s="1"/>
  <c r="N1811" i="1"/>
  <c r="O1811" i="1" s="1"/>
  <c r="L1811" i="1"/>
  <c r="I1811" i="1"/>
  <c r="J1811" i="1" s="1"/>
  <c r="O1810" i="1"/>
  <c r="N1810" i="1"/>
  <c r="L1810" i="1"/>
  <c r="I1810" i="1"/>
  <c r="J1810" i="1" s="1"/>
  <c r="N1809" i="1"/>
  <c r="O1809" i="1" s="1"/>
  <c r="L1809" i="1"/>
  <c r="I1809" i="1"/>
  <c r="J1809" i="1" s="1"/>
  <c r="O1808" i="1"/>
  <c r="N1808" i="1"/>
  <c r="L1808" i="1"/>
  <c r="I1808" i="1"/>
  <c r="J1808" i="1" s="1"/>
  <c r="O1807" i="1"/>
  <c r="N1807" i="1"/>
  <c r="L1807" i="1"/>
  <c r="I1807" i="1"/>
  <c r="J1807" i="1" s="1"/>
  <c r="O1806" i="1"/>
  <c r="N1806" i="1"/>
  <c r="L1806" i="1"/>
  <c r="J1806" i="1"/>
  <c r="I1806" i="1"/>
  <c r="N1805" i="1"/>
  <c r="O1805" i="1" s="1"/>
  <c r="L1805" i="1"/>
  <c r="J1805" i="1"/>
  <c r="I1805" i="1"/>
  <c r="N1804" i="1"/>
  <c r="O1804" i="1" s="1"/>
  <c r="L1804" i="1"/>
  <c r="I1804" i="1"/>
  <c r="J1804" i="1" s="1"/>
  <c r="N1803" i="1"/>
  <c r="O1803" i="1" s="1"/>
  <c r="L1803" i="1"/>
  <c r="I1803" i="1"/>
  <c r="J1803" i="1" s="1"/>
  <c r="O1802" i="1"/>
  <c r="N1802" i="1"/>
  <c r="L1802" i="1"/>
  <c r="I1802" i="1"/>
  <c r="J1802" i="1" s="1"/>
  <c r="N1801" i="1"/>
  <c r="O1801" i="1" s="1"/>
  <c r="L1801" i="1"/>
  <c r="I1801" i="1"/>
  <c r="J1801" i="1" s="1"/>
  <c r="O1800" i="1"/>
  <c r="N1800" i="1"/>
  <c r="L1800" i="1"/>
  <c r="I1800" i="1"/>
  <c r="J1800" i="1" s="1"/>
  <c r="O1799" i="1"/>
  <c r="N1799" i="1"/>
  <c r="L1799" i="1"/>
  <c r="I1799" i="1"/>
  <c r="J1799" i="1" s="1"/>
  <c r="O1798" i="1"/>
  <c r="N1798" i="1"/>
  <c r="L1798" i="1"/>
  <c r="J1798" i="1"/>
  <c r="I1798" i="1"/>
  <c r="N1797" i="1"/>
  <c r="O1797" i="1" s="1"/>
  <c r="L1797" i="1"/>
  <c r="J1797" i="1"/>
  <c r="I1797" i="1"/>
  <c r="N1796" i="1"/>
  <c r="O1796" i="1" s="1"/>
  <c r="L1796" i="1"/>
  <c r="I1796" i="1"/>
  <c r="J1796" i="1" s="1"/>
  <c r="N1795" i="1"/>
  <c r="O1795" i="1" s="1"/>
  <c r="L1795" i="1"/>
  <c r="I1795" i="1"/>
  <c r="J1795" i="1" s="1"/>
  <c r="O1794" i="1"/>
  <c r="N1794" i="1"/>
  <c r="L1794" i="1"/>
  <c r="I1794" i="1"/>
  <c r="J1794" i="1" s="1"/>
  <c r="N1793" i="1"/>
  <c r="O1793" i="1" s="1"/>
  <c r="L1793" i="1"/>
  <c r="I1793" i="1"/>
  <c r="J1793" i="1" s="1"/>
  <c r="O1792" i="1"/>
  <c r="N1792" i="1"/>
  <c r="L1792" i="1"/>
  <c r="I1792" i="1"/>
  <c r="J1792" i="1" s="1"/>
  <c r="O1791" i="1"/>
  <c r="N1791" i="1"/>
  <c r="L1791" i="1"/>
  <c r="I1791" i="1"/>
  <c r="J1791" i="1" s="1"/>
  <c r="O1790" i="1"/>
  <c r="N1790" i="1"/>
  <c r="L1790" i="1"/>
  <c r="J1790" i="1"/>
  <c r="I1790" i="1"/>
  <c r="N1789" i="1"/>
  <c r="O1789" i="1" s="1"/>
  <c r="L1789" i="1"/>
  <c r="J1789" i="1"/>
  <c r="I1789" i="1"/>
  <c r="N1788" i="1"/>
  <c r="O1788" i="1" s="1"/>
  <c r="L1788" i="1"/>
  <c r="I1788" i="1"/>
  <c r="J1788" i="1" s="1"/>
  <c r="O1787" i="1"/>
  <c r="N1787" i="1"/>
  <c r="L1787" i="1"/>
  <c r="I1787" i="1"/>
  <c r="J1787" i="1" s="1"/>
  <c r="O1786" i="1"/>
  <c r="N1786" i="1"/>
  <c r="L1786" i="1"/>
  <c r="J1786" i="1"/>
  <c r="I1786" i="1"/>
  <c r="N1785" i="1"/>
  <c r="O1785" i="1" s="1"/>
  <c r="L1785" i="1"/>
  <c r="J1785" i="1"/>
  <c r="I1785" i="1"/>
  <c r="N1784" i="1"/>
  <c r="O1784" i="1" s="1"/>
  <c r="L1784" i="1"/>
  <c r="I1784" i="1"/>
  <c r="J1784" i="1" s="1"/>
  <c r="O1783" i="1"/>
  <c r="N1783" i="1"/>
  <c r="L1783" i="1"/>
  <c r="I1783" i="1"/>
  <c r="J1783" i="1" s="1"/>
  <c r="O1782" i="1"/>
  <c r="N1782" i="1"/>
  <c r="L1782" i="1"/>
  <c r="J1782" i="1"/>
  <c r="I1782" i="1"/>
  <c r="N1781" i="1"/>
  <c r="O1781" i="1" s="1"/>
  <c r="L1781" i="1"/>
  <c r="J1781" i="1"/>
  <c r="I1781" i="1"/>
  <c r="N1780" i="1"/>
  <c r="O1780" i="1" s="1"/>
  <c r="L1780" i="1"/>
  <c r="I1780" i="1"/>
  <c r="J1780" i="1" s="1"/>
  <c r="O1779" i="1"/>
  <c r="N1779" i="1"/>
  <c r="L1779" i="1"/>
  <c r="I1779" i="1"/>
  <c r="J1779" i="1" s="1"/>
  <c r="O1778" i="1"/>
  <c r="N1778" i="1"/>
  <c r="L1778" i="1"/>
  <c r="J1778" i="1"/>
  <c r="I1778" i="1"/>
  <c r="N1777" i="1"/>
  <c r="O1777" i="1" s="1"/>
  <c r="L1777" i="1"/>
  <c r="J1777" i="1"/>
  <c r="I1777" i="1"/>
  <c r="N1776" i="1"/>
  <c r="O1776" i="1" s="1"/>
  <c r="L1776" i="1"/>
  <c r="I1776" i="1"/>
  <c r="J1776" i="1" s="1"/>
  <c r="O1775" i="1"/>
  <c r="N1775" i="1"/>
  <c r="L1775" i="1"/>
  <c r="I1775" i="1"/>
  <c r="J1775" i="1" s="1"/>
  <c r="O1774" i="1"/>
  <c r="N1774" i="1"/>
  <c r="L1774" i="1"/>
  <c r="J1774" i="1"/>
  <c r="I1774" i="1"/>
  <c r="N1773" i="1"/>
  <c r="O1773" i="1" s="1"/>
  <c r="L1773" i="1"/>
  <c r="J1773" i="1"/>
  <c r="I1773" i="1"/>
  <c r="N1772" i="1"/>
  <c r="O1772" i="1" s="1"/>
  <c r="L1772" i="1"/>
  <c r="I1772" i="1"/>
  <c r="J1772" i="1" s="1"/>
  <c r="O1771" i="1"/>
  <c r="N1771" i="1"/>
  <c r="L1771" i="1"/>
  <c r="I1771" i="1"/>
  <c r="J1771" i="1" s="1"/>
  <c r="O1770" i="1"/>
  <c r="N1770" i="1"/>
  <c r="L1770" i="1"/>
  <c r="J1770" i="1"/>
  <c r="I1770" i="1"/>
  <c r="N1769" i="1"/>
  <c r="O1769" i="1" s="1"/>
  <c r="L1769" i="1"/>
  <c r="J1769" i="1"/>
  <c r="I1769" i="1"/>
  <c r="N1768" i="1"/>
  <c r="O1768" i="1" s="1"/>
  <c r="L1768" i="1"/>
  <c r="I1768" i="1"/>
  <c r="J1768" i="1" s="1"/>
  <c r="O1767" i="1"/>
  <c r="N1767" i="1"/>
  <c r="L1767" i="1"/>
  <c r="I1767" i="1"/>
  <c r="J1767" i="1" s="1"/>
  <c r="O1766" i="1"/>
  <c r="N1766" i="1"/>
  <c r="L1766" i="1"/>
  <c r="J1766" i="1"/>
  <c r="I1766" i="1"/>
  <c r="N1765" i="1"/>
  <c r="O1765" i="1" s="1"/>
  <c r="L1765" i="1"/>
  <c r="J1765" i="1"/>
  <c r="I1765" i="1"/>
  <c r="N1764" i="1"/>
  <c r="O1764" i="1" s="1"/>
  <c r="L1764" i="1"/>
  <c r="I1764" i="1"/>
  <c r="J1764" i="1" s="1"/>
  <c r="O1763" i="1"/>
  <c r="N1763" i="1"/>
  <c r="L1763" i="1"/>
  <c r="I1763" i="1"/>
  <c r="J1763" i="1" s="1"/>
  <c r="O1762" i="1"/>
  <c r="N1762" i="1"/>
  <c r="L1762" i="1"/>
  <c r="J1762" i="1"/>
  <c r="I1762" i="1"/>
  <c r="N1761" i="1"/>
  <c r="O1761" i="1" s="1"/>
  <c r="L1761" i="1"/>
  <c r="J1761" i="1"/>
  <c r="I1761" i="1"/>
  <c r="N1760" i="1"/>
  <c r="O1760" i="1" s="1"/>
  <c r="L1760" i="1"/>
  <c r="I1760" i="1"/>
  <c r="J1760" i="1" s="1"/>
  <c r="O1759" i="1"/>
  <c r="N1759" i="1"/>
  <c r="L1759" i="1"/>
  <c r="I1759" i="1"/>
  <c r="J1759" i="1" s="1"/>
  <c r="O1758" i="1"/>
  <c r="N1758" i="1"/>
  <c r="L1758" i="1"/>
  <c r="J1758" i="1"/>
  <c r="I1758" i="1"/>
  <c r="N1757" i="1"/>
  <c r="O1757" i="1" s="1"/>
  <c r="L1757" i="1"/>
  <c r="J1757" i="1"/>
  <c r="I1757" i="1"/>
  <c r="N1756" i="1"/>
  <c r="O1756" i="1" s="1"/>
  <c r="L1756" i="1"/>
  <c r="I1756" i="1"/>
  <c r="J1756" i="1" s="1"/>
  <c r="O1755" i="1"/>
  <c r="N1755" i="1"/>
  <c r="L1755" i="1"/>
  <c r="I1755" i="1"/>
  <c r="J1755" i="1" s="1"/>
  <c r="O1754" i="1"/>
  <c r="N1754" i="1"/>
  <c r="L1754" i="1"/>
  <c r="J1754" i="1"/>
  <c r="I1754" i="1"/>
  <c r="N1753" i="1"/>
  <c r="O1753" i="1" s="1"/>
  <c r="L1753" i="1"/>
  <c r="J1753" i="1"/>
  <c r="I1753" i="1"/>
  <c r="N1752" i="1"/>
  <c r="O1752" i="1" s="1"/>
  <c r="L1752" i="1"/>
  <c r="I1752" i="1"/>
  <c r="J1752" i="1" s="1"/>
  <c r="O1751" i="1"/>
  <c r="N1751" i="1"/>
  <c r="L1751" i="1"/>
  <c r="I1751" i="1"/>
  <c r="J1751" i="1" s="1"/>
  <c r="O1750" i="1"/>
  <c r="N1750" i="1"/>
  <c r="L1750" i="1"/>
  <c r="J1750" i="1"/>
  <c r="I1750" i="1"/>
  <c r="N1749" i="1"/>
  <c r="O1749" i="1" s="1"/>
  <c r="L1749" i="1"/>
  <c r="J1749" i="1"/>
  <c r="I1749" i="1"/>
  <c r="N1748" i="1"/>
  <c r="O1748" i="1" s="1"/>
  <c r="L1748" i="1"/>
  <c r="I1748" i="1"/>
  <c r="J1748" i="1" s="1"/>
  <c r="O1747" i="1"/>
  <c r="N1747" i="1"/>
  <c r="L1747" i="1"/>
  <c r="I1747" i="1"/>
  <c r="J1747" i="1" s="1"/>
  <c r="O1746" i="1"/>
  <c r="N1746" i="1"/>
  <c r="L1746" i="1"/>
  <c r="J1746" i="1"/>
  <c r="I1746" i="1"/>
  <c r="N1745" i="1"/>
  <c r="O1745" i="1" s="1"/>
  <c r="L1745" i="1"/>
  <c r="J1745" i="1"/>
  <c r="I1745" i="1"/>
  <c r="N1744" i="1"/>
  <c r="O1744" i="1" s="1"/>
  <c r="L1744" i="1"/>
  <c r="I1744" i="1"/>
  <c r="J1744" i="1" s="1"/>
  <c r="O1743" i="1"/>
  <c r="N1743" i="1"/>
  <c r="L1743" i="1"/>
  <c r="I1743" i="1"/>
  <c r="J1743" i="1" s="1"/>
  <c r="O1742" i="1"/>
  <c r="N1742" i="1"/>
  <c r="L1742" i="1"/>
  <c r="J1742" i="1"/>
  <c r="I1742" i="1"/>
  <c r="N1741" i="1"/>
  <c r="O1741" i="1" s="1"/>
  <c r="L1741" i="1"/>
  <c r="J1741" i="1"/>
  <c r="I1741" i="1"/>
  <c r="N1740" i="1"/>
  <c r="O1740" i="1" s="1"/>
  <c r="L1740" i="1"/>
  <c r="I1740" i="1"/>
  <c r="J1740" i="1" s="1"/>
  <c r="O1739" i="1"/>
  <c r="N1739" i="1"/>
  <c r="L1739" i="1"/>
  <c r="I1739" i="1"/>
  <c r="J1739" i="1" s="1"/>
  <c r="O1738" i="1"/>
  <c r="N1738" i="1"/>
  <c r="L1738" i="1"/>
  <c r="J1738" i="1"/>
  <c r="I1738" i="1"/>
  <c r="N1737" i="1"/>
  <c r="O1737" i="1" s="1"/>
  <c r="L1737" i="1"/>
  <c r="J1737" i="1"/>
  <c r="I1737" i="1"/>
  <c r="N1736" i="1"/>
  <c r="O1736" i="1" s="1"/>
  <c r="L1736" i="1"/>
  <c r="I1736" i="1"/>
  <c r="J1736" i="1" s="1"/>
  <c r="O1735" i="1"/>
  <c r="N1735" i="1"/>
  <c r="L1735" i="1"/>
  <c r="I1735" i="1"/>
  <c r="J1735" i="1" s="1"/>
  <c r="O1734" i="1"/>
  <c r="N1734" i="1"/>
  <c r="L1734" i="1"/>
  <c r="J1734" i="1"/>
  <c r="I1734" i="1"/>
  <c r="N1733" i="1"/>
  <c r="O1733" i="1" s="1"/>
  <c r="L1733" i="1"/>
  <c r="J1733" i="1"/>
  <c r="I1733" i="1"/>
  <c r="N1732" i="1"/>
  <c r="O1732" i="1" s="1"/>
  <c r="L1732" i="1"/>
  <c r="I1732" i="1"/>
  <c r="J1732" i="1" s="1"/>
  <c r="O1731" i="1"/>
  <c r="N1731" i="1"/>
  <c r="L1731" i="1"/>
  <c r="I1731" i="1"/>
  <c r="J1731" i="1" s="1"/>
  <c r="O1730" i="1"/>
  <c r="N1730" i="1"/>
  <c r="L1730" i="1"/>
  <c r="J1730" i="1"/>
  <c r="I1730" i="1"/>
  <c r="N1729" i="1"/>
  <c r="O1729" i="1" s="1"/>
  <c r="L1729" i="1"/>
  <c r="J1729" i="1"/>
  <c r="I1729" i="1"/>
  <c r="N1728" i="1"/>
  <c r="O1728" i="1" s="1"/>
  <c r="L1728" i="1"/>
  <c r="I1728" i="1"/>
  <c r="J1728" i="1" s="1"/>
  <c r="O1727" i="1"/>
  <c r="N1727" i="1"/>
  <c r="L1727" i="1"/>
  <c r="I1727" i="1"/>
  <c r="J1727" i="1" s="1"/>
  <c r="O1726" i="1"/>
  <c r="N1726" i="1"/>
  <c r="L1726" i="1"/>
  <c r="J1726" i="1"/>
  <c r="I1726" i="1"/>
  <c r="N1725" i="1"/>
  <c r="O1725" i="1" s="1"/>
  <c r="L1725" i="1"/>
  <c r="J1725" i="1"/>
  <c r="I1725" i="1"/>
  <c r="N1724" i="1"/>
  <c r="O1724" i="1" s="1"/>
  <c r="L1724" i="1"/>
  <c r="I1724" i="1"/>
  <c r="J1724" i="1" s="1"/>
  <c r="O1723" i="1"/>
  <c r="N1723" i="1"/>
  <c r="L1723" i="1"/>
  <c r="I1723" i="1"/>
  <c r="J1723" i="1" s="1"/>
  <c r="O1722" i="1"/>
  <c r="N1722" i="1"/>
  <c r="L1722" i="1"/>
  <c r="J1722" i="1"/>
  <c r="I1722" i="1"/>
  <c r="N1721" i="1"/>
  <c r="O1721" i="1" s="1"/>
  <c r="L1721" i="1"/>
  <c r="J1721" i="1"/>
  <c r="I1721" i="1"/>
  <c r="N1720" i="1"/>
  <c r="O1720" i="1" s="1"/>
  <c r="L1720" i="1"/>
  <c r="I1720" i="1"/>
  <c r="J1720" i="1" s="1"/>
  <c r="O1719" i="1"/>
  <c r="N1719" i="1"/>
  <c r="L1719" i="1"/>
  <c r="I1719" i="1"/>
  <c r="J1719" i="1" s="1"/>
  <c r="O1718" i="1"/>
  <c r="N1718" i="1"/>
  <c r="L1718" i="1"/>
  <c r="J1718" i="1"/>
  <c r="I1718" i="1"/>
  <c r="N1717" i="1"/>
  <c r="O1717" i="1" s="1"/>
  <c r="L1717" i="1"/>
  <c r="J1717" i="1"/>
  <c r="I1717" i="1"/>
  <c r="N1716" i="1"/>
  <c r="O1716" i="1" s="1"/>
  <c r="L1716" i="1"/>
  <c r="I1716" i="1"/>
  <c r="J1716" i="1" s="1"/>
  <c r="O1715" i="1"/>
  <c r="N1715" i="1"/>
  <c r="L1715" i="1"/>
  <c r="I1715" i="1"/>
  <c r="J1715" i="1" s="1"/>
  <c r="O1714" i="1"/>
  <c r="N1714" i="1"/>
  <c r="L1714" i="1"/>
  <c r="J1714" i="1"/>
  <c r="I1714" i="1"/>
  <c r="N1713" i="1"/>
  <c r="O1713" i="1" s="1"/>
  <c r="L1713" i="1"/>
  <c r="J1713" i="1"/>
  <c r="I1713" i="1"/>
  <c r="N1712" i="1"/>
  <c r="O1712" i="1" s="1"/>
  <c r="L1712" i="1"/>
  <c r="I1712" i="1"/>
  <c r="J1712" i="1" s="1"/>
  <c r="O1711" i="1"/>
  <c r="N1711" i="1"/>
  <c r="L1711" i="1"/>
  <c r="I1711" i="1"/>
  <c r="J1711" i="1" s="1"/>
  <c r="O1710" i="1"/>
  <c r="N1710" i="1"/>
  <c r="L1710" i="1"/>
  <c r="J1710" i="1"/>
  <c r="I1710" i="1"/>
  <c r="N1709" i="1"/>
  <c r="O1709" i="1" s="1"/>
  <c r="L1709" i="1"/>
  <c r="J1709" i="1"/>
  <c r="I1709" i="1"/>
  <c r="N1708" i="1"/>
  <c r="O1708" i="1" s="1"/>
  <c r="L1708" i="1"/>
  <c r="I1708" i="1"/>
  <c r="J1708" i="1" s="1"/>
  <c r="O1707" i="1"/>
  <c r="N1707" i="1"/>
  <c r="L1707" i="1"/>
  <c r="I1707" i="1"/>
  <c r="J1707" i="1" s="1"/>
  <c r="O1706" i="1"/>
  <c r="N1706" i="1"/>
  <c r="L1706" i="1"/>
  <c r="J1706" i="1"/>
  <c r="I1706" i="1"/>
  <c r="N1705" i="1"/>
  <c r="O1705" i="1" s="1"/>
  <c r="L1705" i="1"/>
  <c r="J1705" i="1"/>
  <c r="I1705" i="1"/>
  <c r="N1704" i="1"/>
  <c r="O1704" i="1" s="1"/>
  <c r="L1704" i="1"/>
  <c r="I1704" i="1"/>
  <c r="J1704" i="1" s="1"/>
  <c r="O1703" i="1"/>
  <c r="N1703" i="1"/>
  <c r="L1703" i="1"/>
  <c r="I1703" i="1"/>
  <c r="J1703" i="1" s="1"/>
  <c r="O1702" i="1"/>
  <c r="N1702" i="1"/>
  <c r="L1702" i="1"/>
  <c r="J1702" i="1"/>
  <c r="I1702" i="1"/>
  <c r="N1701" i="1"/>
  <c r="O1701" i="1" s="1"/>
  <c r="L1701" i="1"/>
  <c r="J1701" i="1"/>
  <c r="I1701" i="1"/>
  <c r="N1700" i="1"/>
  <c r="O1700" i="1" s="1"/>
  <c r="L1700" i="1"/>
  <c r="I1700" i="1"/>
  <c r="J1700" i="1" s="1"/>
  <c r="O1699" i="1"/>
  <c r="N1699" i="1"/>
  <c r="L1699" i="1"/>
  <c r="I1699" i="1"/>
  <c r="J1699" i="1" s="1"/>
  <c r="O1698" i="1"/>
  <c r="N1698" i="1"/>
  <c r="L1698" i="1"/>
  <c r="J1698" i="1"/>
  <c r="I1698" i="1"/>
  <c r="N1697" i="1"/>
  <c r="O1697" i="1" s="1"/>
  <c r="L1697" i="1"/>
  <c r="J1697" i="1"/>
  <c r="I1697" i="1"/>
  <c r="N1696" i="1"/>
  <c r="O1696" i="1" s="1"/>
  <c r="L1696" i="1"/>
  <c r="I1696" i="1"/>
  <c r="J1696" i="1" s="1"/>
  <c r="O1695" i="1"/>
  <c r="N1695" i="1"/>
  <c r="L1695" i="1"/>
  <c r="I1695" i="1"/>
  <c r="J1695" i="1" s="1"/>
  <c r="O1694" i="1"/>
  <c r="N1694" i="1"/>
  <c r="L1694" i="1"/>
  <c r="J1694" i="1"/>
  <c r="I1694" i="1"/>
  <c r="N1693" i="1"/>
  <c r="O1693" i="1" s="1"/>
  <c r="L1693" i="1"/>
  <c r="J1693" i="1"/>
  <c r="I1693" i="1"/>
  <c r="N1692" i="1"/>
  <c r="O1692" i="1" s="1"/>
  <c r="L1692" i="1"/>
  <c r="I1692" i="1"/>
  <c r="J1692" i="1" s="1"/>
  <c r="O1691" i="1"/>
  <c r="N1691" i="1"/>
  <c r="L1691" i="1"/>
  <c r="I1691" i="1"/>
  <c r="J1691" i="1" s="1"/>
  <c r="O1690" i="1"/>
  <c r="N1690" i="1"/>
  <c r="L1690" i="1"/>
  <c r="J1690" i="1"/>
  <c r="I1690" i="1"/>
  <c r="N1689" i="1"/>
  <c r="O1689" i="1" s="1"/>
  <c r="L1689" i="1"/>
  <c r="J1689" i="1"/>
  <c r="I1689" i="1"/>
  <c r="N1688" i="1"/>
  <c r="O1688" i="1" s="1"/>
  <c r="L1688" i="1"/>
  <c r="I1688" i="1"/>
  <c r="J1688" i="1" s="1"/>
  <c r="O1687" i="1"/>
  <c r="N1687" i="1"/>
  <c r="L1687" i="1"/>
  <c r="I1687" i="1"/>
  <c r="J1687" i="1" s="1"/>
  <c r="O1686" i="1"/>
  <c r="N1686" i="1"/>
  <c r="L1686" i="1"/>
  <c r="J1686" i="1"/>
  <c r="I1686" i="1"/>
  <c r="N1685" i="1"/>
  <c r="O1685" i="1" s="1"/>
  <c r="L1685" i="1"/>
  <c r="J1685" i="1"/>
  <c r="I1685" i="1"/>
  <c r="N1684" i="1"/>
  <c r="O1684" i="1" s="1"/>
  <c r="L1684" i="1"/>
  <c r="I1684" i="1"/>
  <c r="J1684" i="1" s="1"/>
  <c r="O1683" i="1"/>
  <c r="N1683" i="1"/>
  <c r="L1683" i="1"/>
  <c r="I1683" i="1"/>
  <c r="J1683" i="1" s="1"/>
  <c r="O1682" i="1"/>
  <c r="N1682" i="1"/>
  <c r="L1682" i="1"/>
  <c r="J1682" i="1"/>
  <c r="I1682" i="1"/>
  <c r="N1681" i="1"/>
  <c r="O1681" i="1" s="1"/>
  <c r="L1681" i="1"/>
  <c r="J1681" i="1"/>
  <c r="I1681" i="1"/>
  <c r="N1680" i="1"/>
  <c r="O1680" i="1" s="1"/>
  <c r="L1680" i="1"/>
  <c r="I1680" i="1"/>
  <c r="J1680" i="1" s="1"/>
  <c r="O1679" i="1"/>
  <c r="N1679" i="1"/>
  <c r="L1679" i="1"/>
  <c r="I1679" i="1"/>
  <c r="J1679" i="1" s="1"/>
  <c r="O1678" i="1"/>
  <c r="N1678" i="1"/>
  <c r="L1678" i="1"/>
  <c r="J1678" i="1"/>
  <c r="I1678" i="1"/>
  <c r="N1677" i="1"/>
  <c r="O1677" i="1" s="1"/>
  <c r="L1677" i="1"/>
  <c r="J1677" i="1"/>
  <c r="I1677" i="1"/>
  <c r="N1676" i="1"/>
  <c r="O1676" i="1" s="1"/>
  <c r="L1676" i="1"/>
  <c r="I1676" i="1"/>
  <c r="J1676" i="1" s="1"/>
  <c r="O1675" i="1"/>
  <c r="N1675" i="1"/>
  <c r="L1675" i="1"/>
  <c r="I1675" i="1"/>
  <c r="J1675" i="1" s="1"/>
  <c r="O1674" i="1"/>
  <c r="N1674" i="1"/>
  <c r="L1674" i="1"/>
  <c r="J1674" i="1"/>
  <c r="I1674" i="1"/>
  <c r="N1673" i="1"/>
  <c r="O1673" i="1" s="1"/>
  <c r="L1673" i="1"/>
  <c r="J1673" i="1"/>
  <c r="I1673" i="1"/>
  <c r="N1672" i="1"/>
  <c r="O1672" i="1" s="1"/>
  <c r="L1672" i="1"/>
  <c r="I1672" i="1"/>
  <c r="J1672" i="1" s="1"/>
  <c r="O1671" i="1"/>
  <c r="N1671" i="1"/>
  <c r="L1671" i="1"/>
  <c r="I1671" i="1"/>
  <c r="J1671" i="1" s="1"/>
  <c r="O1670" i="1"/>
  <c r="N1670" i="1"/>
  <c r="L1670" i="1"/>
  <c r="J1670" i="1"/>
  <c r="I1670" i="1"/>
  <c r="N1669" i="1"/>
  <c r="O1669" i="1" s="1"/>
  <c r="L1669" i="1"/>
  <c r="J1669" i="1"/>
  <c r="I1669" i="1"/>
  <c r="N1668" i="1"/>
  <c r="O1668" i="1" s="1"/>
  <c r="L1668" i="1"/>
  <c r="I1668" i="1"/>
  <c r="J1668" i="1" s="1"/>
  <c r="O1667" i="1"/>
  <c r="N1667" i="1"/>
  <c r="L1667" i="1"/>
  <c r="I1667" i="1"/>
  <c r="J1667" i="1" s="1"/>
  <c r="O1666" i="1"/>
  <c r="N1666" i="1"/>
  <c r="L1666" i="1"/>
  <c r="J1666" i="1"/>
  <c r="I1666" i="1"/>
  <c r="N1665" i="1"/>
  <c r="O1665" i="1" s="1"/>
  <c r="L1665" i="1"/>
  <c r="J1665" i="1"/>
  <c r="I1665" i="1"/>
  <c r="N1664" i="1"/>
  <c r="O1664" i="1" s="1"/>
  <c r="L1664" i="1"/>
  <c r="I1664" i="1"/>
  <c r="J1664" i="1" s="1"/>
  <c r="O1663" i="1"/>
  <c r="N1663" i="1"/>
  <c r="L1663" i="1"/>
  <c r="I1663" i="1"/>
  <c r="J1663" i="1" s="1"/>
  <c r="O1662" i="1"/>
  <c r="N1662" i="1"/>
  <c r="L1662" i="1"/>
  <c r="J1662" i="1"/>
  <c r="I1662" i="1"/>
  <c r="N1661" i="1"/>
  <c r="O1661" i="1" s="1"/>
  <c r="L1661" i="1"/>
  <c r="J1661" i="1"/>
  <c r="I1661" i="1"/>
  <c r="N1660" i="1"/>
  <c r="O1660" i="1" s="1"/>
  <c r="L1660" i="1"/>
  <c r="I1660" i="1"/>
  <c r="J1660" i="1" s="1"/>
  <c r="O1659" i="1"/>
  <c r="N1659" i="1"/>
  <c r="L1659" i="1"/>
  <c r="I1659" i="1"/>
  <c r="J1659" i="1" s="1"/>
  <c r="O1658" i="1"/>
  <c r="N1658" i="1"/>
  <c r="L1658" i="1"/>
  <c r="J1658" i="1"/>
  <c r="I1658" i="1"/>
  <c r="N1657" i="1"/>
  <c r="O1657" i="1" s="1"/>
  <c r="L1657" i="1"/>
  <c r="J1657" i="1"/>
  <c r="I1657" i="1"/>
  <c r="N1656" i="1"/>
  <c r="O1656" i="1" s="1"/>
  <c r="L1656" i="1"/>
  <c r="I1656" i="1"/>
  <c r="J1656" i="1" s="1"/>
  <c r="O1655" i="1"/>
  <c r="N1655" i="1"/>
  <c r="L1655" i="1"/>
  <c r="I1655" i="1"/>
  <c r="J1655" i="1" s="1"/>
  <c r="O1654" i="1"/>
  <c r="N1654" i="1"/>
  <c r="L1654" i="1"/>
  <c r="J1654" i="1"/>
  <c r="I1654" i="1"/>
  <c r="N1653" i="1"/>
  <c r="O1653" i="1" s="1"/>
  <c r="L1653" i="1"/>
  <c r="J1653" i="1"/>
  <c r="I1653" i="1"/>
  <c r="N1652" i="1"/>
  <c r="O1652" i="1" s="1"/>
  <c r="L1652" i="1"/>
  <c r="I1652" i="1"/>
  <c r="J1652" i="1" s="1"/>
  <c r="O1651" i="1"/>
  <c r="N1651" i="1"/>
  <c r="L1651" i="1"/>
  <c r="I1651" i="1"/>
  <c r="J1651" i="1" s="1"/>
  <c r="O1650" i="1"/>
  <c r="N1650" i="1"/>
  <c r="L1650" i="1"/>
  <c r="J1650" i="1"/>
  <c r="I1650" i="1"/>
  <c r="N1649" i="1"/>
  <c r="O1649" i="1" s="1"/>
  <c r="L1649" i="1"/>
  <c r="J1649" i="1"/>
  <c r="I1649" i="1"/>
  <c r="N1648" i="1"/>
  <c r="O1648" i="1" s="1"/>
  <c r="L1648" i="1"/>
  <c r="I1648" i="1"/>
  <c r="J1648" i="1" s="1"/>
  <c r="O1647" i="1"/>
  <c r="N1647" i="1"/>
  <c r="L1647" i="1"/>
  <c r="I1647" i="1"/>
  <c r="J1647" i="1" s="1"/>
  <c r="O1646" i="1"/>
  <c r="N1646" i="1"/>
  <c r="L1646" i="1"/>
  <c r="J1646" i="1"/>
  <c r="I1646" i="1"/>
  <c r="N1645" i="1"/>
  <c r="O1645" i="1" s="1"/>
  <c r="L1645" i="1"/>
  <c r="J1645" i="1"/>
  <c r="I1645" i="1"/>
  <c r="N1644" i="1"/>
  <c r="O1644" i="1" s="1"/>
  <c r="L1644" i="1"/>
  <c r="I1644" i="1"/>
  <c r="J1644" i="1" s="1"/>
  <c r="O1643" i="1"/>
  <c r="N1643" i="1"/>
  <c r="L1643" i="1"/>
  <c r="I1643" i="1"/>
  <c r="J1643" i="1" s="1"/>
  <c r="O1642" i="1"/>
  <c r="N1642" i="1"/>
  <c r="L1642" i="1"/>
  <c r="J1642" i="1"/>
  <c r="I1642" i="1"/>
  <c r="N1641" i="1"/>
  <c r="O1641" i="1" s="1"/>
  <c r="L1641" i="1"/>
  <c r="J1641" i="1"/>
  <c r="I1641" i="1"/>
  <c r="N1640" i="1"/>
  <c r="O1640" i="1" s="1"/>
  <c r="L1640" i="1"/>
  <c r="I1640" i="1"/>
  <c r="J1640" i="1" s="1"/>
  <c r="O1639" i="1"/>
  <c r="N1639" i="1"/>
  <c r="L1639" i="1"/>
  <c r="I1639" i="1"/>
  <c r="J1639" i="1" s="1"/>
  <c r="N1638" i="1"/>
  <c r="O1638" i="1" s="1"/>
  <c r="L1638" i="1"/>
  <c r="J1638" i="1"/>
  <c r="I1638" i="1"/>
  <c r="N1637" i="1"/>
  <c r="O1637" i="1" s="1"/>
  <c r="L1637" i="1"/>
  <c r="J1637" i="1"/>
  <c r="I1637" i="1"/>
  <c r="N1636" i="1"/>
  <c r="O1636" i="1" s="1"/>
  <c r="L1636" i="1"/>
  <c r="I1636" i="1"/>
  <c r="J1636" i="1" s="1"/>
  <c r="N1635" i="1"/>
  <c r="O1635" i="1" s="1"/>
  <c r="L1635" i="1"/>
  <c r="I1635" i="1"/>
  <c r="J1635" i="1" s="1"/>
  <c r="N1634" i="1"/>
  <c r="O1634" i="1" s="1"/>
  <c r="L1634" i="1"/>
  <c r="J1634" i="1"/>
  <c r="I1634" i="1"/>
  <c r="N1633" i="1"/>
  <c r="O1633" i="1" s="1"/>
  <c r="L1633" i="1"/>
  <c r="J1633" i="1"/>
  <c r="I1633" i="1"/>
  <c r="N1632" i="1"/>
  <c r="O1632" i="1" s="1"/>
  <c r="L1632" i="1"/>
  <c r="I1632" i="1"/>
  <c r="J1632" i="1" s="1"/>
  <c r="N1631" i="1"/>
  <c r="O1631" i="1" s="1"/>
  <c r="L1631" i="1"/>
  <c r="I1631" i="1"/>
  <c r="J1631" i="1" s="1"/>
  <c r="N1630" i="1"/>
  <c r="O1630" i="1" s="1"/>
  <c r="L1630" i="1"/>
  <c r="J1630" i="1"/>
  <c r="I1630" i="1"/>
  <c r="N1629" i="1"/>
  <c r="O1629" i="1" s="1"/>
  <c r="L1629" i="1"/>
  <c r="J1629" i="1"/>
  <c r="I1629" i="1"/>
  <c r="N1628" i="1"/>
  <c r="O1628" i="1" s="1"/>
  <c r="L1628" i="1"/>
  <c r="I1628" i="1"/>
  <c r="J1628" i="1" s="1"/>
  <c r="N1627" i="1"/>
  <c r="O1627" i="1" s="1"/>
  <c r="L1627" i="1"/>
  <c r="I1627" i="1"/>
  <c r="J1627" i="1" s="1"/>
  <c r="N1626" i="1"/>
  <c r="O1626" i="1" s="1"/>
  <c r="L1626" i="1"/>
  <c r="J1626" i="1"/>
  <c r="I1626" i="1"/>
  <c r="N1625" i="1"/>
  <c r="O1625" i="1" s="1"/>
  <c r="L1625" i="1"/>
  <c r="J1625" i="1"/>
  <c r="I1625" i="1"/>
  <c r="N1624" i="1"/>
  <c r="O1624" i="1" s="1"/>
  <c r="L1624" i="1"/>
  <c r="I1624" i="1"/>
  <c r="J1624" i="1" s="1"/>
  <c r="N1623" i="1"/>
  <c r="O1623" i="1" s="1"/>
  <c r="L1623" i="1"/>
  <c r="I1623" i="1"/>
  <c r="J1623" i="1" s="1"/>
  <c r="N1622" i="1"/>
  <c r="O1622" i="1" s="1"/>
  <c r="L1622" i="1"/>
  <c r="J1622" i="1"/>
  <c r="I1622" i="1"/>
  <c r="N1621" i="1"/>
  <c r="O1621" i="1" s="1"/>
  <c r="L1621" i="1"/>
  <c r="J1621" i="1"/>
  <c r="I1621" i="1"/>
  <c r="N1620" i="1"/>
  <c r="O1620" i="1" s="1"/>
  <c r="L1620" i="1"/>
  <c r="I1620" i="1"/>
  <c r="J1620" i="1" s="1"/>
  <c r="N1619" i="1"/>
  <c r="O1619" i="1" s="1"/>
  <c r="L1619" i="1"/>
  <c r="I1619" i="1"/>
  <c r="J1619" i="1" s="1"/>
  <c r="O1618" i="1"/>
  <c r="N1618" i="1"/>
  <c r="L1618" i="1"/>
  <c r="I1618" i="1"/>
  <c r="J1618" i="1" s="1"/>
  <c r="N1617" i="1"/>
  <c r="O1617" i="1" s="1"/>
  <c r="L1617" i="1"/>
  <c r="I1617" i="1"/>
  <c r="J1617" i="1" s="1"/>
  <c r="N1616" i="1"/>
  <c r="O1616" i="1" s="1"/>
  <c r="L1616" i="1"/>
  <c r="I1616" i="1"/>
  <c r="J1616" i="1" s="1"/>
  <c r="N1615" i="1"/>
  <c r="O1615" i="1" s="1"/>
  <c r="L1615" i="1"/>
  <c r="I1615" i="1"/>
  <c r="J1615" i="1" s="1"/>
  <c r="N1614" i="1"/>
  <c r="O1614" i="1" s="1"/>
  <c r="L1614" i="1"/>
  <c r="J1614" i="1"/>
  <c r="I1614" i="1"/>
  <c r="N1613" i="1"/>
  <c r="O1613" i="1" s="1"/>
  <c r="L1613" i="1"/>
  <c r="J1613" i="1"/>
  <c r="I1613" i="1"/>
  <c r="N1612" i="1"/>
  <c r="O1612" i="1" s="1"/>
  <c r="L1612" i="1"/>
  <c r="I1612" i="1"/>
  <c r="J1612" i="1" s="1"/>
  <c r="N1611" i="1"/>
  <c r="O1611" i="1" s="1"/>
  <c r="L1611" i="1"/>
  <c r="I1611" i="1"/>
  <c r="J1611" i="1" s="1"/>
  <c r="O1610" i="1"/>
  <c r="N1610" i="1"/>
  <c r="L1610" i="1"/>
  <c r="I1610" i="1"/>
  <c r="J1610" i="1" s="1"/>
  <c r="N1609" i="1"/>
  <c r="O1609" i="1" s="1"/>
  <c r="L1609" i="1"/>
  <c r="I1609" i="1"/>
  <c r="J1609" i="1" s="1"/>
  <c r="N1608" i="1"/>
  <c r="O1608" i="1" s="1"/>
  <c r="L1608" i="1"/>
  <c r="I1608" i="1"/>
  <c r="J1608" i="1" s="1"/>
  <c r="N1607" i="1"/>
  <c r="O1607" i="1" s="1"/>
  <c r="L1607" i="1"/>
  <c r="I1607" i="1"/>
  <c r="J1607" i="1" s="1"/>
  <c r="N1606" i="1"/>
  <c r="O1606" i="1" s="1"/>
  <c r="L1606" i="1"/>
  <c r="J1606" i="1"/>
  <c r="I1606" i="1"/>
  <c r="N1605" i="1"/>
  <c r="O1605" i="1" s="1"/>
  <c r="L1605" i="1"/>
  <c r="J1605" i="1"/>
  <c r="I1605" i="1"/>
  <c r="N1604" i="1"/>
  <c r="O1604" i="1" s="1"/>
  <c r="L1604" i="1"/>
  <c r="I1604" i="1"/>
  <c r="J1604" i="1" s="1"/>
  <c r="N1603" i="1"/>
  <c r="O1603" i="1" s="1"/>
  <c r="L1603" i="1"/>
  <c r="I1603" i="1"/>
  <c r="J1603" i="1" s="1"/>
  <c r="O1602" i="1"/>
  <c r="N1602" i="1"/>
  <c r="L1602" i="1"/>
  <c r="I1602" i="1"/>
  <c r="J1602" i="1" s="1"/>
  <c r="N1601" i="1"/>
  <c r="O1601" i="1" s="1"/>
  <c r="L1601" i="1"/>
  <c r="I1601" i="1"/>
  <c r="J1601" i="1" s="1"/>
  <c r="N1600" i="1"/>
  <c r="O1600" i="1" s="1"/>
  <c r="L1600" i="1"/>
  <c r="I1600" i="1"/>
  <c r="J1600" i="1" s="1"/>
  <c r="N1599" i="1"/>
  <c r="O1599" i="1" s="1"/>
  <c r="L1599" i="1"/>
  <c r="I1599" i="1"/>
  <c r="J1599" i="1" s="1"/>
  <c r="N1598" i="1"/>
  <c r="O1598" i="1" s="1"/>
  <c r="L1598" i="1"/>
  <c r="J1598" i="1"/>
  <c r="I1598" i="1"/>
  <c r="N1597" i="1"/>
  <c r="O1597" i="1" s="1"/>
  <c r="L1597" i="1"/>
  <c r="J1597" i="1"/>
  <c r="I1597" i="1"/>
  <c r="N1596" i="1"/>
  <c r="O1596" i="1" s="1"/>
  <c r="L1596" i="1"/>
  <c r="I1596" i="1"/>
  <c r="J1596" i="1" s="1"/>
  <c r="N1595" i="1"/>
  <c r="O1595" i="1" s="1"/>
  <c r="L1595" i="1"/>
  <c r="I1595" i="1"/>
  <c r="J1595" i="1" s="1"/>
  <c r="O1594" i="1"/>
  <c r="N1594" i="1"/>
  <c r="L1594" i="1"/>
  <c r="I1594" i="1"/>
  <c r="J1594" i="1" s="1"/>
  <c r="N1593" i="1"/>
  <c r="O1593" i="1" s="1"/>
  <c r="L1593" i="1"/>
  <c r="I1593" i="1"/>
  <c r="J1593" i="1" s="1"/>
  <c r="N1592" i="1"/>
  <c r="O1592" i="1" s="1"/>
  <c r="L1592" i="1"/>
  <c r="I1592" i="1"/>
  <c r="J1592" i="1" s="1"/>
  <c r="N1591" i="1"/>
  <c r="O1591" i="1" s="1"/>
  <c r="L1591" i="1"/>
  <c r="I1591" i="1"/>
  <c r="J1591" i="1" s="1"/>
  <c r="N1590" i="1"/>
  <c r="O1590" i="1" s="1"/>
  <c r="L1590" i="1"/>
  <c r="J1590" i="1"/>
  <c r="I1590" i="1"/>
  <c r="N1589" i="1"/>
  <c r="O1589" i="1" s="1"/>
  <c r="L1589" i="1"/>
  <c r="J1589" i="1"/>
  <c r="I1589" i="1"/>
  <c r="N1588" i="1"/>
  <c r="O1588" i="1" s="1"/>
  <c r="L1588" i="1"/>
  <c r="I1588" i="1"/>
  <c r="J1588" i="1" s="1"/>
  <c r="N1587" i="1"/>
  <c r="O1587" i="1" s="1"/>
  <c r="L1587" i="1"/>
  <c r="I1587" i="1"/>
  <c r="J1587" i="1" s="1"/>
  <c r="O1586" i="1"/>
  <c r="N1586" i="1"/>
  <c r="L1586" i="1"/>
  <c r="I1586" i="1"/>
  <c r="J1586" i="1" s="1"/>
  <c r="N1585" i="1"/>
  <c r="O1585" i="1" s="1"/>
  <c r="L1585" i="1"/>
  <c r="I1585" i="1"/>
  <c r="J1585" i="1" s="1"/>
  <c r="N1584" i="1"/>
  <c r="O1584" i="1" s="1"/>
  <c r="L1584" i="1"/>
  <c r="I1584" i="1"/>
  <c r="J1584" i="1" s="1"/>
  <c r="N1583" i="1"/>
  <c r="O1583" i="1" s="1"/>
  <c r="L1583" i="1"/>
  <c r="I1583" i="1"/>
  <c r="J1583" i="1" s="1"/>
  <c r="N1582" i="1"/>
  <c r="O1582" i="1" s="1"/>
  <c r="L1582" i="1"/>
  <c r="J1582" i="1"/>
  <c r="I1582" i="1"/>
  <c r="N1581" i="1"/>
  <c r="O1581" i="1" s="1"/>
  <c r="L1581" i="1"/>
  <c r="J1581" i="1"/>
  <c r="I1581" i="1"/>
  <c r="N1580" i="1"/>
  <c r="O1580" i="1" s="1"/>
  <c r="L1580" i="1"/>
  <c r="I1580" i="1"/>
  <c r="J1580" i="1" s="1"/>
  <c r="N1579" i="1"/>
  <c r="O1579" i="1" s="1"/>
  <c r="L1579" i="1"/>
  <c r="I1579" i="1"/>
  <c r="J1579" i="1" s="1"/>
  <c r="O1578" i="1"/>
  <c r="N1578" i="1"/>
  <c r="L1578" i="1"/>
  <c r="I1578" i="1"/>
  <c r="J1578" i="1" s="1"/>
  <c r="N1577" i="1"/>
  <c r="O1577" i="1" s="1"/>
  <c r="L1577" i="1"/>
  <c r="I1577" i="1"/>
  <c r="J1577" i="1" s="1"/>
  <c r="N1576" i="1"/>
  <c r="O1576" i="1" s="1"/>
  <c r="L1576" i="1"/>
  <c r="I1576" i="1"/>
  <c r="J1576" i="1" s="1"/>
  <c r="N1575" i="1"/>
  <c r="O1575" i="1" s="1"/>
  <c r="L1575" i="1"/>
  <c r="I1575" i="1"/>
  <c r="J1575" i="1" s="1"/>
  <c r="N1574" i="1"/>
  <c r="O1574" i="1" s="1"/>
  <c r="L1574" i="1"/>
  <c r="J1574" i="1"/>
  <c r="I1574" i="1"/>
  <c r="N1573" i="1"/>
  <c r="O1573" i="1" s="1"/>
  <c r="L1573" i="1"/>
  <c r="J1573" i="1"/>
  <c r="I1573" i="1"/>
  <c r="N1572" i="1"/>
  <c r="O1572" i="1" s="1"/>
  <c r="L1572" i="1"/>
  <c r="I1572" i="1"/>
  <c r="J1572" i="1" s="1"/>
  <c r="N1571" i="1"/>
  <c r="O1571" i="1" s="1"/>
  <c r="L1571" i="1"/>
  <c r="I1571" i="1"/>
  <c r="J1571" i="1" s="1"/>
  <c r="O1570" i="1"/>
  <c r="N1570" i="1"/>
  <c r="L1570" i="1"/>
  <c r="I1570" i="1"/>
  <c r="J1570" i="1" s="1"/>
  <c r="N1569" i="1"/>
  <c r="O1569" i="1" s="1"/>
  <c r="L1569" i="1"/>
  <c r="I1569" i="1"/>
  <c r="J1569" i="1" s="1"/>
  <c r="N1568" i="1"/>
  <c r="O1568" i="1" s="1"/>
  <c r="L1568" i="1"/>
  <c r="I1568" i="1"/>
  <c r="J1568" i="1" s="1"/>
  <c r="N1567" i="1"/>
  <c r="O1567" i="1" s="1"/>
  <c r="L1567" i="1"/>
  <c r="I1567" i="1"/>
  <c r="J1567" i="1" s="1"/>
  <c r="N1566" i="1"/>
  <c r="O1566" i="1" s="1"/>
  <c r="L1566" i="1"/>
  <c r="J1566" i="1"/>
  <c r="I1566" i="1"/>
  <c r="N1565" i="1"/>
  <c r="O1565" i="1" s="1"/>
  <c r="L1565" i="1"/>
  <c r="J1565" i="1"/>
  <c r="I1565" i="1"/>
  <c r="N1564" i="1"/>
  <c r="O1564" i="1" s="1"/>
  <c r="L1564" i="1"/>
  <c r="I1564" i="1"/>
  <c r="J1564" i="1" s="1"/>
  <c r="N1563" i="1"/>
  <c r="O1563" i="1" s="1"/>
  <c r="L1563" i="1"/>
  <c r="I1563" i="1"/>
  <c r="J1563" i="1" s="1"/>
  <c r="O1562" i="1"/>
  <c r="N1562" i="1"/>
  <c r="L1562" i="1"/>
  <c r="I1562" i="1"/>
  <c r="J1562" i="1" s="1"/>
  <c r="N1561" i="1"/>
  <c r="O1561" i="1" s="1"/>
  <c r="L1561" i="1"/>
  <c r="I1561" i="1"/>
  <c r="J1561" i="1" s="1"/>
  <c r="N1560" i="1"/>
  <c r="O1560" i="1" s="1"/>
  <c r="L1560" i="1"/>
  <c r="I1560" i="1"/>
  <c r="J1560" i="1" s="1"/>
  <c r="N1559" i="1"/>
  <c r="O1559" i="1" s="1"/>
  <c r="L1559" i="1"/>
  <c r="I1559" i="1"/>
  <c r="J1559" i="1" s="1"/>
  <c r="N1558" i="1"/>
  <c r="O1558" i="1" s="1"/>
  <c r="L1558" i="1"/>
  <c r="J1558" i="1"/>
  <c r="I1558" i="1"/>
  <c r="N1557" i="1"/>
  <c r="O1557" i="1" s="1"/>
  <c r="L1557" i="1"/>
  <c r="J1557" i="1"/>
  <c r="I1557" i="1"/>
  <c r="N1556" i="1"/>
  <c r="O1556" i="1" s="1"/>
  <c r="L1556" i="1"/>
  <c r="I1556" i="1"/>
  <c r="J1556" i="1" s="1"/>
  <c r="N1555" i="1"/>
  <c r="O1555" i="1" s="1"/>
  <c r="L1555" i="1"/>
  <c r="I1555" i="1"/>
  <c r="J1555" i="1" s="1"/>
  <c r="O1554" i="1"/>
  <c r="N1554" i="1"/>
  <c r="L1554" i="1"/>
  <c r="I1554" i="1"/>
  <c r="J1554" i="1" s="1"/>
  <c r="N1553" i="1"/>
  <c r="O1553" i="1" s="1"/>
  <c r="L1553" i="1"/>
  <c r="I1553" i="1"/>
  <c r="J1553" i="1" s="1"/>
  <c r="N1552" i="1"/>
  <c r="O1552" i="1" s="1"/>
  <c r="L1552" i="1"/>
  <c r="I1552" i="1"/>
  <c r="J1552" i="1" s="1"/>
  <c r="N1551" i="1"/>
  <c r="O1551" i="1" s="1"/>
  <c r="L1551" i="1"/>
  <c r="I1551" i="1"/>
  <c r="J1551" i="1" s="1"/>
  <c r="N1550" i="1"/>
  <c r="O1550" i="1" s="1"/>
  <c r="L1550" i="1"/>
  <c r="J1550" i="1"/>
  <c r="I1550" i="1"/>
  <c r="N1549" i="1"/>
  <c r="O1549" i="1" s="1"/>
  <c r="L1549" i="1"/>
  <c r="J1549" i="1"/>
  <c r="I1549" i="1"/>
  <c r="N1548" i="1"/>
  <c r="O1548" i="1" s="1"/>
  <c r="L1548" i="1"/>
  <c r="I1548" i="1"/>
  <c r="J1548" i="1" s="1"/>
  <c r="N1547" i="1"/>
  <c r="O1547" i="1" s="1"/>
  <c r="L1547" i="1"/>
  <c r="I1547" i="1"/>
  <c r="J1547" i="1" s="1"/>
  <c r="O1546" i="1"/>
  <c r="N1546" i="1"/>
  <c r="L1546" i="1"/>
  <c r="I1546" i="1"/>
  <c r="J1546" i="1" s="1"/>
  <c r="N1545" i="1"/>
  <c r="O1545" i="1" s="1"/>
  <c r="L1545" i="1"/>
  <c r="I1545" i="1"/>
  <c r="J1545" i="1" s="1"/>
  <c r="N1544" i="1"/>
  <c r="O1544" i="1" s="1"/>
  <c r="L1544" i="1"/>
  <c r="I1544" i="1"/>
  <c r="J1544" i="1" s="1"/>
  <c r="N1543" i="1"/>
  <c r="O1543" i="1" s="1"/>
  <c r="L1543" i="1"/>
  <c r="I1543" i="1"/>
  <c r="J1543" i="1" s="1"/>
  <c r="N1542" i="1"/>
  <c r="O1542" i="1" s="1"/>
  <c r="L1542" i="1"/>
  <c r="J1542" i="1"/>
  <c r="I1542" i="1"/>
  <c r="N1541" i="1"/>
  <c r="O1541" i="1" s="1"/>
  <c r="L1541" i="1"/>
  <c r="J1541" i="1"/>
  <c r="I1541" i="1"/>
  <c r="N1540" i="1"/>
  <c r="O1540" i="1" s="1"/>
  <c r="L1540" i="1"/>
  <c r="I1540" i="1"/>
  <c r="J1540" i="1" s="1"/>
  <c r="N1539" i="1"/>
  <c r="O1539" i="1" s="1"/>
  <c r="L1539" i="1"/>
  <c r="I1539" i="1"/>
  <c r="J1539" i="1" s="1"/>
  <c r="O1538" i="1"/>
  <c r="N1538" i="1"/>
  <c r="L1538" i="1"/>
  <c r="I1538" i="1"/>
  <c r="J1538" i="1" s="1"/>
  <c r="N1537" i="1"/>
  <c r="O1537" i="1" s="1"/>
  <c r="L1537" i="1"/>
  <c r="I1537" i="1"/>
  <c r="J1537" i="1" s="1"/>
  <c r="N1536" i="1"/>
  <c r="O1536" i="1" s="1"/>
  <c r="L1536" i="1"/>
  <c r="I1536" i="1"/>
  <c r="J1536" i="1" s="1"/>
  <c r="N1535" i="1"/>
  <c r="O1535" i="1" s="1"/>
  <c r="L1535" i="1"/>
  <c r="I1535" i="1"/>
  <c r="J1535" i="1" s="1"/>
  <c r="N1534" i="1"/>
  <c r="O1534" i="1" s="1"/>
  <c r="L1534" i="1"/>
  <c r="J1534" i="1"/>
  <c r="I1534" i="1"/>
  <c r="N1533" i="1"/>
  <c r="O1533" i="1" s="1"/>
  <c r="L1533" i="1"/>
  <c r="J1533" i="1"/>
  <c r="I1533" i="1"/>
  <c r="N1532" i="1"/>
  <c r="O1532" i="1" s="1"/>
  <c r="L1532" i="1"/>
  <c r="I1532" i="1"/>
  <c r="J1532" i="1" s="1"/>
  <c r="N1531" i="1"/>
  <c r="O1531" i="1" s="1"/>
  <c r="L1531" i="1"/>
  <c r="I1531" i="1"/>
  <c r="J1531" i="1" s="1"/>
  <c r="O1530" i="1"/>
  <c r="N1530" i="1"/>
  <c r="L1530" i="1"/>
  <c r="I1530" i="1"/>
  <c r="J1530" i="1" s="1"/>
  <c r="N1529" i="1"/>
  <c r="O1529" i="1" s="1"/>
  <c r="L1529" i="1"/>
  <c r="I1529" i="1"/>
  <c r="J1529" i="1" s="1"/>
  <c r="N1528" i="1"/>
  <c r="O1528" i="1" s="1"/>
  <c r="L1528" i="1"/>
  <c r="I1528" i="1"/>
  <c r="J1528" i="1" s="1"/>
  <c r="N1527" i="1"/>
  <c r="O1527" i="1" s="1"/>
  <c r="L1527" i="1"/>
  <c r="I1527" i="1"/>
  <c r="J1527" i="1" s="1"/>
  <c r="N1526" i="1"/>
  <c r="O1526" i="1" s="1"/>
  <c r="L1526" i="1"/>
  <c r="J1526" i="1"/>
  <c r="I1526" i="1"/>
  <c r="N1525" i="1"/>
  <c r="O1525" i="1" s="1"/>
  <c r="L1525" i="1"/>
  <c r="J1525" i="1"/>
  <c r="I1525" i="1"/>
  <c r="N1524" i="1"/>
  <c r="O1524" i="1" s="1"/>
  <c r="L1524" i="1"/>
  <c r="I1524" i="1"/>
  <c r="J1524" i="1" s="1"/>
  <c r="N1523" i="1"/>
  <c r="O1523" i="1" s="1"/>
  <c r="L1523" i="1"/>
  <c r="I1523" i="1"/>
  <c r="J1523" i="1" s="1"/>
  <c r="O1522" i="1"/>
  <c r="N1522" i="1"/>
  <c r="L1522" i="1"/>
  <c r="I1522" i="1"/>
  <c r="J1522" i="1" s="1"/>
  <c r="N1521" i="1"/>
  <c r="O1521" i="1" s="1"/>
  <c r="L1521" i="1"/>
  <c r="I1521" i="1"/>
  <c r="J1521" i="1" s="1"/>
  <c r="N1520" i="1"/>
  <c r="O1520" i="1" s="1"/>
  <c r="L1520" i="1"/>
  <c r="I1520" i="1"/>
  <c r="J1520" i="1" s="1"/>
  <c r="N1519" i="1"/>
  <c r="O1519" i="1" s="1"/>
  <c r="L1519" i="1"/>
  <c r="I1519" i="1"/>
  <c r="J1519" i="1" s="1"/>
  <c r="N1518" i="1"/>
  <c r="O1518" i="1" s="1"/>
  <c r="L1518" i="1"/>
  <c r="J1518" i="1"/>
  <c r="I1518" i="1"/>
  <c r="N1517" i="1"/>
  <c r="O1517" i="1" s="1"/>
  <c r="L1517" i="1"/>
  <c r="J1517" i="1"/>
  <c r="I1517" i="1"/>
  <c r="N1516" i="1"/>
  <c r="O1516" i="1" s="1"/>
  <c r="L1516" i="1"/>
  <c r="I1516" i="1"/>
  <c r="J1516" i="1" s="1"/>
  <c r="N1515" i="1"/>
  <c r="O1515" i="1" s="1"/>
  <c r="L1515" i="1"/>
  <c r="I1515" i="1"/>
  <c r="J1515" i="1" s="1"/>
  <c r="O1514" i="1"/>
  <c r="N1514" i="1"/>
  <c r="L1514" i="1"/>
  <c r="I1514" i="1"/>
  <c r="J1514" i="1" s="1"/>
  <c r="N1513" i="1"/>
  <c r="O1513" i="1" s="1"/>
  <c r="L1513" i="1"/>
  <c r="J1513" i="1"/>
  <c r="I1513" i="1"/>
  <c r="O1512" i="1"/>
  <c r="N1512" i="1"/>
  <c r="L1512" i="1"/>
  <c r="I1512" i="1"/>
  <c r="J1512" i="1" s="1"/>
  <c r="O1511" i="1"/>
  <c r="N1511" i="1"/>
  <c r="L1511" i="1"/>
  <c r="I1511" i="1"/>
  <c r="J1511" i="1" s="1"/>
  <c r="N1510" i="1"/>
  <c r="O1510" i="1" s="1"/>
  <c r="L1510" i="1"/>
  <c r="J1510" i="1"/>
  <c r="I1510" i="1"/>
  <c r="N1509" i="1"/>
  <c r="O1509" i="1" s="1"/>
  <c r="L1509" i="1"/>
  <c r="J1509" i="1"/>
  <c r="I1509" i="1"/>
  <c r="N1508" i="1"/>
  <c r="O1508" i="1" s="1"/>
  <c r="L1508" i="1"/>
  <c r="I1508" i="1"/>
  <c r="J1508" i="1" s="1"/>
  <c r="N1507" i="1"/>
  <c r="O1507" i="1" s="1"/>
  <c r="L1507" i="1"/>
  <c r="I1507" i="1"/>
  <c r="J1507" i="1" s="1"/>
  <c r="O1506" i="1"/>
  <c r="N1506" i="1"/>
  <c r="L1506" i="1"/>
  <c r="I1506" i="1"/>
  <c r="J1506" i="1" s="1"/>
  <c r="N1505" i="1"/>
  <c r="O1505" i="1" s="1"/>
  <c r="L1505" i="1"/>
  <c r="J1505" i="1"/>
  <c r="I1505" i="1"/>
  <c r="O1504" i="1"/>
  <c r="N1504" i="1"/>
  <c r="L1504" i="1"/>
  <c r="I1504" i="1"/>
  <c r="J1504" i="1" s="1"/>
  <c r="O1503" i="1"/>
  <c r="N1503" i="1"/>
  <c r="L1503" i="1"/>
  <c r="I1503" i="1"/>
  <c r="J1503" i="1" s="1"/>
  <c r="N1502" i="1"/>
  <c r="O1502" i="1" s="1"/>
  <c r="L1502" i="1"/>
  <c r="J1502" i="1"/>
  <c r="I1502" i="1"/>
  <c r="N1501" i="1"/>
  <c r="O1501" i="1" s="1"/>
  <c r="L1501" i="1"/>
  <c r="J1501" i="1"/>
  <c r="I1501" i="1"/>
  <c r="N1500" i="1"/>
  <c r="O1500" i="1" s="1"/>
  <c r="L1500" i="1"/>
  <c r="I1500" i="1"/>
  <c r="J1500" i="1" s="1"/>
  <c r="N1499" i="1"/>
  <c r="O1499" i="1" s="1"/>
  <c r="L1499" i="1"/>
  <c r="I1499" i="1"/>
  <c r="J1499" i="1" s="1"/>
  <c r="O1498" i="1"/>
  <c r="N1498" i="1"/>
  <c r="L1498" i="1"/>
  <c r="I1498" i="1"/>
  <c r="J1498" i="1" s="1"/>
  <c r="N1497" i="1"/>
  <c r="O1497" i="1" s="1"/>
  <c r="L1497" i="1"/>
  <c r="J1497" i="1"/>
  <c r="I1497" i="1"/>
  <c r="O1496" i="1"/>
  <c r="N1496" i="1"/>
  <c r="L1496" i="1"/>
  <c r="I1496" i="1"/>
  <c r="J1496" i="1" s="1"/>
  <c r="O1495" i="1"/>
  <c r="N1495" i="1"/>
  <c r="L1495" i="1"/>
  <c r="I1495" i="1"/>
  <c r="J1495" i="1" s="1"/>
  <c r="N1494" i="1"/>
  <c r="O1494" i="1" s="1"/>
  <c r="L1494" i="1"/>
  <c r="J1494" i="1"/>
  <c r="I1494" i="1"/>
  <c r="N1493" i="1"/>
  <c r="O1493" i="1" s="1"/>
  <c r="L1493" i="1"/>
  <c r="J1493" i="1"/>
  <c r="I1493" i="1"/>
  <c r="N1492" i="1"/>
  <c r="O1492" i="1" s="1"/>
  <c r="L1492" i="1"/>
  <c r="I1492" i="1"/>
  <c r="J1492" i="1" s="1"/>
  <c r="N1491" i="1"/>
  <c r="O1491" i="1" s="1"/>
  <c r="L1491" i="1"/>
  <c r="I1491" i="1"/>
  <c r="J1491" i="1" s="1"/>
  <c r="O1490" i="1"/>
  <c r="N1490" i="1"/>
  <c r="L1490" i="1"/>
  <c r="I1490" i="1"/>
  <c r="J1490" i="1" s="1"/>
  <c r="N1489" i="1"/>
  <c r="O1489" i="1" s="1"/>
  <c r="L1489" i="1"/>
  <c r="J1489" i="1"/>
  <c r="I1489" i="1"/>
  <c r="O1488" i="1"/>
  <c r="N1488" i="1"/>
  <c r="L1488" i="1"/>
  <c r="I1488" i="1"/>
  <c r="J1488" i="1" s="1"/>
  <c r="O1487" i="1"/>
  <c r="N1487" i="1"/>
  <c r="L1487" i="1"/>
  <c r="I1487" i="1"/>
  <c r="J1487" i="1" s="1"/>
  <c r="N1486" i="1"/>
  <c r="O1486" i="1" s="1"/>
  <c r="L1486" i="1"/>
  <c r="J1486" i="1"/>
  <c r="I1486" i="1"/>
  <c r="N1485" i="1"/>
  <c r="O1485" i="1" s="1"/>
  <c r="L1485" i="1"/>
  <c r="J1485" i="1"/>
  <c r="I1485" i="1"/>
  <c r="N1484" i="1"/>
  <c r="O1484" i="1" s="1"/>
  <c r="L1484" i="1"/>
  <c r="I1484" i="1"/>
  <c r="J1484" i="1" s="1"/>
  <c r="N1483" i="1"/>
  <c r="O1483" i="1" s="1"/>
  <c r="L1483" i="1"/>
  <c r="I1483" i="1"/>
  <c r="J1483" i="1" s="1"/>
  <c r="O1482" i="1"/>
  <c r="N1482" i="1"/>
  <c r="L1482" i="1"/>
  <c r="I1482" i="1"/>
  <c r="J1482" i="1" s="1"/>
  <c r="N1481" i="1"/>
  <c r="O1481" i="1" s="1"/>
  <c r="L1481" i="1"/>
  <c r="J1481" i="1"/>
  <c r="I1481" i="1"/>
  <c r="O1480" i="1"/>
  <c r="N1480" i="1"/>
  <c r="L1480" i="1"/>
  <c r="I1480" i="1"/>
  <c r="J1480" i="1" s="1"/>
  <c r="O1479" i="1"/>
  <c r="N1479" i="1"/>
  <c r="L1479" i="1"/>
  <c r="I1479" i="1"/>
  <c r="J1479" i="1" s="1"/>
  <c r="N1478" i="1"/>
  <c r="O1478" i="1" s="1"/>
  <c r="L1478" i="1"/>
  <c r="J1478" i="1"/>
  <c r="I1478" i="1"/>
  <c r="N1477" i="1"/>
  <c r="O1477" i="1" s="1"/>
  <c r="L1477" i="1"/>
  <c r="J1477" i="1"/>
  <c r="I1477" i="1"/>
  <c r="N1476" i="1"/>
  <c r="O1476" i="1" s="1"/>
  <c r="L1476" i="1"/>
  <c r="I1476" i="1"/>
  <c r="J1476" i="1" s="1"/>
  <c r="N1475" i="1"/>
  <c r="O1475" i="1" s="1"/>
  <c r="L1475" i="1"/>
  <c r="I1475" i="1"/>
  <c r="J1475" i="1" s="1"/>
  <c r="O1474" i="1"/>
  <c r="N1474" i="1"/>
  <c r="L1474" i="1"/>
  <c r="I1474" i="1"/>
  <c r="J1474" i="1" s="1"/>
  <c r="N1473" i="1"/>
  <c r="O1473" i="1" s="1"/>
  <c r="L1473" i="1"/>
  <c r="J1473" i="1"/>
  <c r="I1473" i="1"/>
  <c r="O1472" i="1"/>
  <c r="N1472" i="1"/>
  <c r="L1472" i="1"/>
  <c r="I1472" i="1"/>
  <c r="J1472" i="1" s="1"/>
  <c r="O1471" i="1"/>
  <c r="N1471" i="1"/>
  <c r="L1471" i="1"/>
  <c r="I1471" i="1"/>
  <c r="J1471" i="1" s="1"/>
  <c r="N1470" i="1"/>
  <c r="O1470" i="1" s="1"/>
  <c r="L1470" i="1"/>
  <c r="J1470" i="1"/>
  <c r="I1470" i="1"/>
  <c r="N1469" i="1"/>
  <c r="O1469" i="1" s="1"/>
  <c r="L1469" i="1"/>
  <c r="J1469" i="1"/>
  <c r="I1469" i="1"/>
  <c r="N1468" i="1"/>
  <c r="O1468" i="1" s="1"/>
  <c r="L1468" i="1"/>
  <c r="I1468" i="1"/>
  <c r="J1468" i="1" s="1"/>
  <c r="N1467" i="1"/>
  <c r="O1467" i="1" s="1"/>
  <c r="L1467" i="1"/>
  <c r="I1467" i="1"/>
  <c r="J1467" i="1" s="1"/>
  <c r="O1466" i="1"/>
  <c r="N1466" i="1"/>
  <c r="L1466" i="1"/>
  <c r="I1466" i="1"/>
  <c r="J1466" i="1" s="1"/>
  <c r="N1465" i="1"/>
  <c r="O1465" i="1" s="1"/>
  <c r="L1465" i="1"/>
  <c r="J1465" i="1"/>
  <c r="I1465" i="1"/>
  <c r="O1464" i="1"/>
  <c r="N1464" i="1"/>
  <c r="L1464" i="1"/>
  <c r="I1464" i="1"/>
  <c r="J1464" i="1" s="1"/>
  <c r="O1463" i="1"/>
  <c r="N1463" i="1"/>
  <c r="L1463" i="1"/>
  <c r="I1463" i="1"/>
  <c r="J1463" i="1" s="1"/>
  <c r="N1462" i="1"/>
  <c r="O1462" i="1" s="1"/>
  <c r="L1462" i="1"/>
  <c r="J1462" i="1"/>
  <c r="I1462" i="1"/>
  <c r="N1461" i="1"/>
  <c r="O1461" i="1" s="1"/>
  <c r="L1461" i="1"/>
  <c r="J1461" i="1"/>
  <c r="I1461" i="1"/>
  <c r="N1460" i="1"/>
  <c r="O1460" i="1" s="1"/>
  <c r="L1460" i="1"/>
  <c r="I1460" i="1"/>
  <c r="J1460" i="1" s="1"/>
  <c r="N1459" i="1"/>
  <c r="O1459" i="1" s="1"/>
  <c r="L1459" i="1"/>
  <c r="I1459" i="1"/>
  <c r="J1459" i="1" s="1"/>
  <c r="O1458" i="1"/>
  <c r="N1458" i="1"/>
  <c r="L1458" i="1"/>
  <c r="I1458" i="1"/>
  <c r="J1458" i="1" s="1"/>
  <c r="N1457" i="1"/>
  <c r="O1457" i="1" s="1"/>
  <c r="L1457" i="1"/>
  <c r="J1457" i="1"/>
  <c r="I1457" i="1"/>
  <c r="O1456" i="1"/>
  <c r="N1456" i="1"/>
  <c r="L1456" i="1"/>
  <c r="I1456" i="1"/>
  <c r="J1456" i="1" s="1"/>
  <c r="O1455" i="1"/>
  <c r="N1455" i="1"/>
  <c r="L1455" i="1"/>
  <c r="I1455" i="1"/>
  <c r="J1455" i="1" s="1"/>
  <c r="N1454" i="1"/>
  <c r="O1454" i="1" s="1"/>
  <c r="L1454" i="1"/>
  <c r="J1454" i="1"/>
  <c r="I1454" i="1"/>
  <c r="N1453" i="1"/>
  <c r="O1453" i="1" s="1"/>
  <c r="L1453" i="1"/>
  <c r="J1453" i="1"/>
  <c r="I1453" i="1"/>
  <c r="N1452" i="1"/>
  <c r="O1452" i="1" s="1"/>
  <c r="L1452" i="1"/>
  <c r="I1452" i="1"/>
  <c r="J1452" i="1" s="1"/>
  <c r="N1451" i="1"/>
  <c r="O1451" i="1" s="1"/>
  <c r="L1451" i="1"/>
  <c r="I1451" i="1"/>
  <c r="J1451" i="1" s="1"/>
  <c r="O1450" i="1"/>
  <c r="N1450" i="1"/>
  <c r="L1450" i="1"/>
  <c r="I1450" i="1"/>
  <c r="J1450" i="1" s="1"/>
  <c r="N1449" i="1"/>
  <c r="O1449" i="1" s="1"/>
  <c r="L1449" i="1"/>
  <c r="J1449" i="1"/>
  <c r="I1449" i="1"/>
  <c r="O1448" i="1"/>
  <c r="N1448" i="1"/>
  <c r="L1448" i="1"/>
  <c r="I1448" i="1"/>
  <c r="J1448" i="1" s="1"/>
  <c r="O1447" i="1"/>
  <c r="N1447" i="1"/>
  <c r="L1447" i="1"/>
  <c r="I1447" i="1"/>
  <c r="J1447" i="1" s="1"/>
  <c r="N1446" i="1"/>
  <c r="O1446" i="1" s="1"/>
  <c r="L1446" i="1"/>
  <c r="J1446" i="1"/>
  <c r="I1446" i="1"/>
  <c r="N1445" i="1"/>
  <c r="O1445" i="1" s="1"/>
  <c r="L1445" i="1"/>
  <c r="J1445" i="1"/>
  <c r="I1445" i="1"/>
  <c r="N1444" i="1"/>
  <c r="O1444" i="1" s="1"/>
  <c r="L1444" i="1"/>
  <c r="I1444" i="1"/>
  <c r="J1444" i="1" s="1"/>
  <c r="N1443" i="1"/>
  <c r="O1443" i="1" s="1"/>
  <c r="L1443" i="1"/>
  <c r="I1443" i="1"/>
  <c r="J1443" i="1" s="1"/>
  <c r="O1442" i="1"/>
  <c r="N1442" i="1"/>
  <c r="L1442" i="1"/>
  <c r="I1442" i="1"/>
  <c r="J1442" i="1" s="1"/>
  <c r="N1441" i="1"/>
  <c r="O1441" i="1" s="1"/>
  <c r="L1441" i="1"/>
  <c r="J1441" i="1"/>
  <c r="I1441" i="1"/>
  <c r="O1440" i="1"/>
  <c r="N1440" i="1"/>
  <c r="L1440" i="1"/>
  <c r="I1440" i="1"/>
  <c r="J1440" i="1" s="1"/>
  <c r="O1439" i="1"/>
  <c r="N1439" i="1"/>
  <c r="L1439" i="1"/>
  <c r="I1439" i="1"/>
  <c r="J1439" i="1" s="1"/>
  <c r="N1438" i="1"/>
  <c r="O1438" i="1" s="1"/>
  <c r="L1438" i="1"/>
  <c r="J1438" i="1"/>
  <c r="I1438" i="1"/>
  <c r="N1437" i="1"/>
  <c r="O1437" i="1" s="1"/>
  <c r="L1437" i="1"/>
  <c r="J1437" i="1"/>
  <c r="I1437" i="1"/>
  <c r="N1436" i="1"/>
  <c r="O1436" i="1" s="1"/>
  <c r="L1436" i="1"/>
  <c r="I1436" i="1"/>
  <c r="J1436" i="1" s="1"/>
  <c r="N1435" i="1"/>
  <c r="O1435" i="1" s="1"/>
  <c r="L1435" i="1"/>
  <c r="I1435" i="1"/>
  <c r="J1435" i="1" s="1"/>
  <c r="O1434" i="1"/>
  <c r="N1434" i="1"/>
  <c r="L1434" i="1"/>
  <c r="I1434" i="1"/>
  <c r="J1434" i="1" s="1"/>
  <c r="N1433" i="1"/>
  <c r="O1433" i="1" s="1"/>
  <c r="L1433" i="1"/>
  <c r="J1433" i="1"/>
  <c r="I1433" i="1"/>
  <c r="O1432" i="1"/>
  <c r="N1432" i="1"/>
  <c r="L1432" i="1"/>
  <c r="I1432" i="1"/>
  <c r="J1432" i="1" s="1"/>
  <c r="O1431" i="1"/>
  <c r="N1431" i="1"/>
  <c r="L1431" i="1"/>
  <c r="I1431" i="1"/>
  <c r="J1431" i="1" s="1"/>
  <c r="N1430" i="1"/>
  <c r="O1430" i="1" s="1"/>
  <c r="L1430" i="1"/>
  <c r="J1430" i="1"/>
  <c r="I1430" i="1"/>
  <c r="N1429" i="1"/>
  <c r="O1429" i="1" s="1"/>
  <c r="L1429" i="1"/>
  <c r="J1429" i="1"/>
  <c r="I1429" i="1"/>
  <c r="N1428" i="1"/>
  <c r="O1428" i="1" s="1"/>
  <c r="L1428" i="1"/>
  <c r="I1428" i="1"/>
  <c r="J1428" i="1" s="1"/>
  <c r="N1427" i="1"/>
  <c r="O1427" i="1" s="1"/>
  <c r="L1427" i="1"/>
  <c r="I1427" i="1"/>
  <c r="J1427" i="1" s="1"/>
  <c r="O1426" i="1"/>
  <c r="N1426" i="1"/>
  <c r="L1426" i="1"/>
  <c r="I1426" i="1"/>
  <c r="J1426" i="1" s="1"/>
  <c r="N1425" i="1"/>
  <c r="O1425" i="1" s="1"/>
  <c r="L1425" i="1"/>
  <c r="J1425" i="1"/>
  <c r="I1425" i="1"/>
  <c r="O1424" i="1"/>
  <c r="N1424" i="1"/>
  <c r="L1424" i="1"/>
  <c r="I1424" i="1"/>
  <c r="J1424" i="1" s="1"/>
  <c r="O1423" i="1"/>
  <c r="N1423" i="1"/>
  <c r="L1423" i="1"/>
  <c r="I1423" i="1"/>
  <c r="J1423" i="1" s="1"/>
  <c r="N1422" i="1"/>
  <c r="O1422" i="1" s="1"/>
  <c r="L1422" i="1"/>
  <c r="J1422" i="1"/>
  <c r="I1422" i="1"/>
  <c r="N1421" i="1"/>
  <c r="O1421" i="1" s="1"/>
  <c r="L1421" i="1"/>
  <c r="J1421" i="1"/>
  <c r="I1421" i="1"/>
  <c r="N1420" i="1"/>
  <c r="O1420" i="1" s="1"/>
  <c r="L1420" i="1"/>
  <c r="I1420" i="1"/>
  <c r="J1420" i="1" s="1"/>
  <c r="N1419" i="1"/>
  <c r="O1419" i="1" s="1"/>
  <c r="L1419" i="1"/>
  <c r="I1419" i="1"/>
  <c r="J1419" i="1" s="1"/>
  <c r="O1418" i="1"/>
  <c r="N1418" i="1"/>
  <c r="L1418" i="1"/>
  <c r="I1418" i="1"/>
  <c r="J1418" i="1" s="1"/>
  <c r="N1417" i="1"/>
  <c r="O1417" i="1" s="1"/>
  <c r="L1417" i="1"/>
  <c r="J1417" i="1"/>
  <c r="I1417" i="1"/>
  <c r="O1416" i="1"/>
  <c r="N1416" i="1"/>
  <c r="L1416" i="1"/>
  <c r="I1416" i="1"/>
  <c r="J1416" i="1" s="1"/>
  <c r="O1415" i="1"/>
  <c r="N1415" i="1"/>
  <c r="L1415" i="1"/>
  <c r="I1415" i="1"/>
  <c r="J1415" i="1" s="1"/>
  <c r="N1414" i="1"/>
  <c r="O1414" i="1" s="1"/>
  <c r="L1414" i="1"/>
  <c r="J1414" i="1"/>
  <c r="I1414" i="1"/>
  <c r="N1413" i="1"/>
  <c r="O1413" i="1" s="1"/>
  <c r="L1413" i="1"/>
  <c r="J1413" i="1"/>
  <c r="I1413" i="1"/>
  <c r="N1412" i="1"/>
  <c r="O1412" i="1" s="1"/>
  <c r="L1412" i="1"/>
  <c r="I1412" i="1"/>
  <c r="J1412" i="1" s="1"/>
  <c r="N1411" i="1"/>
  <c r="O1411" i="1" s="1"/>
  <c r="L1411" i="1"/>
  <c r="I1411" i="1"/>
  <c r="J1411" i="1" s="1"/>
  <c r="O1410" i="1"/>
  <c r="N1410" i="1"/>
  <c r="L1410" i="1"/>
  <c r="I1410" i="1"/>
  <c r="J1410" i="1" s="1"/>
  <c r="O1409" i="1"/>
  <c r="N1409" i="1"/>
  <c r="L1409" i="1"/>
  <c r="I1409" i="1"/>
  <c r="J1409" i="1" s="1"/>
  <c r="N1408" i="1"/>
  <c r="O1408" i="1" s="1"/>
  <c r="L1408" i="1"/>
  <c r="I1408" i="1"/>
  <c r="J1408" i="1" s="1"/>
  <c r="N1407" i="1"/>
  <c r="O1407" i="1" s="1"/>
  <c r="L1407" i="1"/>
  <c r="I1407" i="1"/>
  <c r="J1407" i="1" s="1"/>
  <c r="O1406" i="1"/>
  <c r="N1406" i="1"/>
  <c r="L1406" i="1"/>
  <c r="I1406" i="1"/>
  <c r="J1406" i="1" s="1"/>
  <c r="O1405" i="1"/>
  <c r="N1405" i="1"/>
  <c r="L1405" i="1"/>
  <c r="I1405" i="1"/>
  <c r="J1405" i="1" s="1"/>
  <c r="N1404" i="1"/>
  <c r="O1404" i="1" s="1"/>
  <c r="L1404" i="1"/>
  <c r="I1404" i="1"/>
  <c r="J1404" i="1" s="1"/>
  <c r="N1403" i="1"/>
  <c r="O1403" i="1" s="1"/>
  <c r="L1403" i="1"/>
  <c r="I1403" i="1"/>
  <c r="J1403" i="1" s="1"/>
  <c r="O1402" i="1"/>
  <c r="N1402" i="1"/>
  <c r="L1402" i="1"/>
  <c r="I1402" i="1"/>
  <c r="J1402" i="1" s="1"/>
  <c r="O1401" i="1"/>
  <c r="N1401" i="1"/>
  <c r="L1401" i="1"/>
  <c r="I1401" i="1"/>
  <c r="J1401" i="1" s="1"/>
  <c r="N1400" i="1"/>
  <c r="O1400" i="1" s="1"/>
  <c r="L1400" i="1"/>
  <c r="I1400" i="1"/>
  <c r="J1400" i="1" s="1"/>
  <c r="N1399" i="1"/>
  <c r="O1399" i="1" s="1"/>
  <c r="L1399" i="1"/>
  <c r="I1399" i="1"/>
  <c r="J1399" i="1" s="1"/>
  <c r="O1398" i="1"/>
  <c r="N1398" i="1"/>
  <c r="L1398" i="1"/>
  <c r="I1398" i="1"/>
  <c r="J1398" i="1" s="1"/>
  <c r="O1397" i="1"/>
  <c r="N1397" i="1"/>
  <c r="L1397" i="1"/>
  <c r="I1397" i="1"/>
  <c r="J1397" i="1" s="1"/>
  <c r="N1396" i="1"/>
  <c r="O1396" i="1" s="1"/>
  <c r="L1396" i="1"/>
  <c r="I1396" i="1"/>
  <c r="J1396" i="1" s="1"/>
  <c r="N1395" i="1"/>
  <c r="O1395" i="1" s="1"/>
  <c r="L1395" i="1"/>
  <c r="I1395" i="1"/>
  <c r="J1395" i="1" s="1"/>
  <c r="O1394" i="1"/>
  <c r="N1394" i="1"/>
  <c r="L1394" i="1"/>
  <c r="I1394" i="1"/>
  <c r="J1394" i="1" s="1"/>
  <c r="O1393" i="1"/>
  <c r="N1393" i="1"/>
  <c r="L1393" i="1"/>
  <c r="I1393" i="1"/>
  <c r="J1393" i="1" s="1"/>
  <c r="N1392" i="1"/>
  <c r="O1392" i="1" s="1"/>
  <c r="L1392" i="1"/>
  <c r="I1392" i="1"/>
  <c r="J1392" i="1" s="1"/>
  <c r="N1391" i="1"/>
  <c r="O1391" i="1" s="1"/>
  <c r="L1391" i="1"/>
  <c r="I1391" i="1"/>
  <c r="J1391" i="1" s="1"/>
  <c r="O1390" i="1"/>
  <c r="N1390" i="1"/>
  <c r="L1390" i="1"/>
  <c r="I1390" i="1"/>
  <c r="J1390" i="1" s="1"/>
  <c r="O1389" i="1"/>
  <c r="N1389" i="1"/>
  <c r="L1389" i="1"/>
  <c r="I1389" i="1"/>
  <c r="J1389" i="1" s="1"/>
  <c r="N1388" i="1"/>
  <c r="O1388" i="1" s="1"/>
  <c r="L1388" i="1"/>
  <c r="I1388" i="1"/>
  <c r="J1388" i="1" s="1"/>
  <c r="N1387" i="1"/>
  <c r="O1387" i="1" s="1"/>
  <c r="L1387" i="1"/>
  <c r="I1387" i="1"/>
  <c r="J1387" i="1" s="1"/>
  <c r="O1386" i="1"/>
  <c r="N1386" i="1"/>
  <c r="L1386" i="1"/>
  <c r="I1386" i="1"/>
  <c r="J1386" i="1" s="1"/>
  <c r="O1385" i="1"/>
  <c r="N1385" i="1"/>
  <c r="L1385" i="1"/>
  <c r="I1385" i="1"/>
  <c r="J1385" i="1" s="1"/>
  <c r="N1384" i="1"/>
  <c r="O1384" i="1" s="1"/>
  <c r="L1384" i="1"/>
  <c r="I1384" i="1"/>
  <c r="J1384" i="1" s="1"/>
  <c r="N1383" i="1"/>
  <c r="O1383" i="1" s="1"/>
  <c r="L1383" i="1"/>
  <c r="I1383" i="1"/>
  <c r="J1383" i="1" s="1"/>
  <c r="O1382" i="1"/>
  <c r="N1382" i="1"/>
  <c r="L1382" i="1"/>
  <c r="I1382" i="1"/>
  <c r="J1382" i="1" s="1"/>
  <c r="O1381" i="1"/>
  <c r="N1381" i="1"/>
  <c r="L1381" i="1"/>
  <c r="I1381" i="1"/>
  <c r="J1381" i="1" s="1"/>
  <c r="N1380" i="1"/>
  <c r="O1380" i="1" s="1"/>
  <c r="L1380" i="1"/>
  <c r="I1380" i="1"/>
  <c r="J1380" i="1" s="1"/>
  <c r="N1379" i="1"/>
  <c r="O1379" i="1" s="1"/>
  <c r="L1379" i="1"/>
  <c r="I1379" i="1"/>
  <c r="J1379" i="1" s="1"/>
  <c r="O1378" i="1"/>
  <c r="N1378" i="1"/>
  <c r="L1378" i="1"/>
  <c r="I1378" i="1"/>
  <c r="J1378" i="1" s="1"/>
  <c r="O1377" i="1"/>
  <c r="N1377" i="1"/>
  <c r="L1377" i="1"/>
  <c r="I1377" i="1"/>
  <c r="J1377" i="1" s="1"/>
  <c r="N1376" i="1"/>
  <c r="O1376" i="1" s="1"/>
  <c r="L1376" i="1"/>
  <c r="I1376" i="1"/>
  <c r="J1376" i="1" s="1"/>
  <c r="N1375" i="1"/>
  <c r="O1375" i="1" s="1"/>
  <c r="L1375" i="1"/>
  <c r="I1375" i="1"/>
  <c r="J1375" i="1" s="1"/>
  <c r="O1374" i="1"/>
  <c r="N1374" i="1"/>
  <c r="L1374" i="1"/>
  <c r="I1374" i="1"/>
  <c r="J1374" i="1" s="1"/>
  <c r="O1373" i="1"/>
  <c r="N1373" i="1"/>
  <c r="L1373" i="1"/>
  <c r="I1373" i="1"/>
  <c r="J1373" i="1" s="1"/>
  <c r="N1372" i="1"/>
  <c r="O1372" i="1" s="1"/>
  <c r="L1372" i="1"/>
  <c r="I1372" i="1"/>
  <c r="J1372" i="1" s="1"/>
  <c r="N1371" i="1"/>
  <c r="O1371" i="1" s="1"/>
  <c r="L1371" i="1"/>
  <c r="I1371" i="1"/>
  <c r="J1371" i="1" s="1"/>
  <c r="O1370" i="1"/>
  <c r="N1370" i="1"/>
  <c r="L1370" i="1"/>
  <c r="I1370" i="1"/>
  <c r="J1370" i="1" s="1"/>
  <c r="O1369" i="1"/>
  <c r="N1369" i="1"/>
  <c r="L1369" i="1"/>
  <c r="I1369" i="1"/>
  <c r="J1369" i="1" s="1"/>
  <c r="N1368" i="1"/>
  <c r="O1368" i="1" s="1"/>
  <c r="L1368" i="1"/>
  <c r="I1368" i="1"/>
  <c r="J1368" i="1" s="1"/>
  <c r="N1367" i="1"/>
  <c r="O1367" i="1" s="1"/>
  <c r="L1367" i="1"/>
  <c r="I1367" i="1"/>
  <c r="J1367" i="1" s="1"/>
  <c r="O1366" i="1"/>
  <c r="N1366" i="1"/>
  <c r="L1366" i="1"/>
  <c r="I1366" i="1"/>
  <c r="J1366" i="1" s="1"/>
  <c r="O1365" i="1"/>
  <c r="N1365" i="1"/>
  <c r="L1365" i="1"/>
  <c r="I1365" i="1"/>
  <c r="J1365" i="1" s="1"/>
  <c r="N1364" i="1"/>
  <c r="O1364" i="1" s="1"/>
  <c r="L1364" i="1"/>
  <c r="I1364" i="1"/>
  <c r="J1364" i="1" s="1"/>
  <c r="N1363" i="1"/>
  <c r="O1363" i="1" s="1"/>
  <c r="L1363" i="1"/>
  <c r="I1363" i="1"/>
  <c r="J1363" i="1" s="1"/>
  <c r="O1362" i="1"/>
  <c r="N1362" i="1"/>
  <c r="L1362" i="1"/>
  <c r="I1362" i="1"/>
  <c r="J1362" i="1" s="1"/>
  <c r="O1361" i="1"/>
  <c r="N1361" i="1"/>
  <c r="L1361" i="1"/>
  <c r="I1361" i="1"/>
  <c r="J1361" i="1" s="1"/>
  <c r="N1360" i="1"/>
  <c r="O1360" i="1" s="1"/>
  <c r="L1360" i="1"/>
  <c r="I1360" i="1"/>
  <c r="J1360" i="1" s="1"/>
  <c r="N1359" i="1"/>
  <c r="O1359" i="1" s="1"/>
  <c r="L1359" i="1"/>
  <c r="I1359" i="1"/>
  <c r="J1359" i="1" s="1"/>
  <c r="O1358" i="1"/>
  <c r="N1358" i="1"/>
  <c r="L1358" i="1"/>
  <c r="I1358" i="1"/>
  <c r="J1358" i="1" s="1"/>
  <c r="O1357" i="1"/>
  <c r="N1357" i="1"/>
  <c r="L1357" i="1"/>
  <c r="I1357" i="1"/>
  <c r="J1357" i="1" s="1"/>
  <c r="N1356" i="1"/>
  <c r="O1356" i="1" s="1"/>
  <c r="L1356" i="1"/>
  <c r="I1356" i="1"/>
  <c r="J1356" i="1" s="1"/>
  <c r="N1355" i="1"/>
  <c r="O1355" i="1" s="1"/>
  <c r="L1355" i="1"/>
  <c r="I1355" i="1"/>
  <c r="J1355" i="1" s="1"/>
  <c r="O1354" i="1"/>
  <c r="N1354" i="1"/>
  <c r="L1354" i="1"/>
  <c r="I1354" i="1"/>
  <c r="J1354" i="1" s="1"/>
  <c r="O1353" i="1"/>
  <c r="N1353" i="1"/>
  <c r="L1353" i="1"/>
  <c r="I1353" i="1"/>
  <c r="J1353" i="1" s="1"/>
  <c r="N1352" i="1"/>
  <c r="O1352" i="1" s="1"/>
  <c r="L1352" i="1"/>
  <c r="I1352" i="1"/>
  <c r="J1352" i="1" s="1"/>
  <c r="N1351" i="1"/>
  <c r="O1351" i="1" s="1"/>
  <c r="L1351" i="1"/>
  <c r="I1351" i="1"/>
  <c r="J1351" i="1" s="1"/>
  <c r="O1350" i="1"/>
  <c r="N1350" i="1"/>
  <c r="L1350" i="1"/>
  <c r="I1350" i="1"/>
  <c r="J1350" i="1" s="1"/>
  <c r="O1349" i="1"/>
  <c r="N1349" i="1"/>
  <c r="L1349" i="1"/>
  <c r="I1349" i="1"/>
  <c r="J1349" i="1" s="1"/>
  <c r="N1348" i="1"/>
  <c r="O1348" i="1" s="1"/>
  <c r="L1348" i="1"/>
  <c r="I1348" i="1"/>
  <c r="J1348" i="1" s="1"/>
  <c r="N1347" i="1"/>
  <c r="O1347" i="1" s="1"/>
  <c r="L1347" i="1"/>
  <c r="I1347" i="1"/>
  <c r="J1347" i="1" s="1"/>
  <c r="O1346" i="1"/>
  <c r="N1346" i="1"/>
  <c r="L1346" i="1"/>
  <c r="I1346" i="1"/>
  <c r="J1346" i="1" s="1"/>
  <c r="O1345" i="1"/>
  <c r="N1345" i="1"/>
  <c r="L1345" i="1"/>
  <c r="I1345" i="1"/>
  <c r="J1345" i="1" s="1"/>
  <c r="N1344" i="1"/>
  <c r="O1344" i="1" s="1"/>
  <c r="L1344" i="1"/>
  <c r="I1344" i="1"/>
  <c r="J1344" i="1" s="1"/>
  <c r="N1343" i="1"/>
  <c r="O1343" i="1" s="1"/>
  <c r="L1343" i="1"/>
  <c r="I1343" i="1"/>
  <c r="J1343" i="1" s="1"/>
  <c r="O1342" i="1"/>
  <c r="N1342" i="1"/>
  <c r="L1342" i="1"/>
  <c r="I1342" i="1"/>
  <c r="J1342" i="1" s="1"/>
  <c r="O1341" i="1"/>
  <c r="N1341" i="1"/>
  <c r="L1341" i="1"/>
  <c r="I1341" i="1"/>
  <c r="J1341" i="1" s="1"/>
  <c r="N1340" i="1"/>
  <c r="O1340" i="1" s="1"/>
  <c r="L1340" i="1"/>
  <c r="I1340" i="1"/>
  <c r="J1340" i="1" s="1"/>
  <c r="N1339" i="1"/>
  <c r="O1339" i="1" s="1"/>
  <c r="L1339" i="1"/>
  <c r="I1339" i="1"/>
  <c r="J1339" i="1" s="1"/>
  <c r="O1338" i="1"/>
  <c r="N1338" i="1"/>
  <c r="L1338" i="1"/>
  <c r="I1338" i="1"/>
  <c r="J1338" i="1" s="1"/>
  <c r="O1337" i="1"/>
  <c r="N1337" i="1"/>
  <c r="L1337" i="1"/>
  <c r="I1337" i="1"/>
  <c r="J1337" i="1" s="1"/>
  <c r="N1336" i="1"/>
  <c r="O1336" i="1" s="1"/>
  <c r="L1336" i="1"/>
  <c r="I1336" i="1"/>
  <c r="J1336" i="1" s="1"/>
  <c r="N1335" i="1"/>
  <c r="O1335" i="1" s="1"/>
  <c r="L1335" i="1"/>
  <c r="I1335" i="1"/>
  <c r="J1335" i="1" s="1"/>
  <c r="O1334" i="1"/>
  <c r="N1334" i="1"/>
  <c r="L1334" i="1"/>
  <c r="I1334" i="1"/>
  <c r="J1334" i="1" s="1"/>
  <c r="O1333" i="1"/>
  <c r="N1333" i="1"/>
  <c r="L1333" i="1"/>
  <c r="I1333" i="1"/>
  <c r="J1333" i="1" s="1"/>
  <c r="N1332" i="1"/>
  <c r="O1332" i="1" s="1"/>
  <c r="L1332" i="1"/>
  <c r="I1332" i="1"/>
  <c r="J1332" i="1" s="1"/>
  <c r="N1331" i="1"/>
  <c r="O1331" i="1" s="1"/>
  <c r="L1331" i="1"/>
  <c r="I1331" i="1"/>
  <c r="J1331" i="1" s="1"/>
  <c r="O1330" i="1"/>
  <c r="N1330" i="1"/>
  <c r="L1330" i="1"/>
  <c r="I1330" i="1"/>
  <c r="J1330" i="1" s="1"/>
  <c r="O1329" i="1"/>
  <c r="N1329" i="1"/>
  <c r="L1329" i="1"/>
  <c r="I1329" i="1"/>
  <c r="J1329" i="1" s="1"/>
  <c r="N1328" i="1"/>
  <c r="O1328" i="1" s="1"/>
  <c r="L1328" i="1"/>
  <c r="I1328" i="1"/>
  <c r="J1328" i="1" s="1"/>
  <c r="N1327" i="1"/>
  <c r="O1327" i="1" s="1"/>
  <c r="L1327" i="1"/>
  <c r="I1327" i="1"/>
  <c r="J1327" i="1" s="1"/>
  <c r="O1326" i="1"/>
  <c r="N1326" i="1"/>
  <c r="L1326" i="1"/>
  <c r="I1326" i="1"/>
  <c r="J1326" i="1" s="1"/>
  <c r="O1325" i="1"/>
  <c r="N1325" i="1"/>
  <c r="L1325" i="1"/>
  <c r="I1325" i="1"/>
  <c r="J1325" i="1" s="1"/>
  <c r="N1324" i="1"/>
  <c r="O1324" i="1" s="1"/>
  <c r="L1324" i="1"/>
  <c r="I1324" i="1"/>
  <c r="J1324" i="1" s="1"/>
  <c r="N1323" i="1"/>
  <c r="O1323" i="1" s="1"/>
  <c r="L1323" i="1"/>
  <c r="I1323" i="1"/>
  <c r="J1323" i="1" s="1"/>
  <c r="O1322" i="1"/>
  <c r="N1322" i="1"/>
  <c r="L1322" i="1"/>
  <c r="I1322" i="1"/>
  <c r="J1322" i="1" s="1"/>
  <c r="O1321" i="1"/>
  <c r="N1321" i="1"/>
  <c r="L1321" i="1"/>
  <c r="I1321" i="1"/>
  <c r="J1321" i="1" s="1"/>
  <c r="N1320" i="1"/>
  <c r="O1320" i="1" s="1"/>
  <c r="L1320" i="1"/>
  <c r="I1320" i="1"/>
  <c r="J1320" i="1" s="1"/>
  <c r="N1319" i="1"/>
  <c r="O1319" i="1" s="1"/>
  <c r="L1319" i="1"/>
  <c r="I1319" i="1"/>
  <c r="J1319" i="1" s="1"/>
  <c r="O1318" i="1"/>
  <c r="N1318" i="1"/>
  <c r="L1318" i="1"/>
  <c r="I1318" i="1"/>
  <c r="J1318" i="1" s="1"/>
  <c r="O1317" i="1"/>
  <c r="N1317" i="1"/>
  <c r="L1317" i="1"/>
  <c r="I1317" i="1"/>
  <c r="J1317" i="1" s="1"/>
  <c r="N1316" i="1"/>
  <c r="O1316" i="1" s="1"/>
  <c r="L1316" i="1"/>
  <c r="I1316" i="1"/>
  <c r="J1316" i="1" s="1"/>
  <c r="N1315" i="1"/>
  <c r="O1315" i="1" s="1"/>
  <c r="L1315" i="1"/>
  <c r="I1315" i="1"/>
  <c r="J1315" i="1" s="1"/>
  <c r="O1314" i="1"/>
  <c r="N1314" i="1"/>
  <c r="L1314" i="1"/>
  <c r="I1314" i="1"/>
  <c r="J1314" i="1" s="1"/>
  <c r="O1313" i="1"/>
  <c r="N1313" i="1"/>
  <c r="L1313" i="1"/>
  <c r="I1313" i="1"/>
  <c r="J1313" i="1" s="1"/>
  <c r="N1312" i="1"/>
  <c r="O1312" i="1" s="1"/>
  <c r="L1312" i="1"/>
  <c r="I1312" i="1"/>
  <c r="J1312" i="1" s="1"/>
  <c r="N1311" i="1"/>
  <c r="O1311" i="1" s="1"/>
  <c r="L1311" i="1"/>
  <c r="I1311" i="1"/>
  <c r="J1311" i="1" s="1"/>
  <c r="O1310" i="1"/>
  <c r="N1310" i="1"/>
  <c r="L1310" i="1"/>
  <c r="I1310" i="1"/>
  <c r="J1310" i="1" s="1"/>
  <c r="O1309" i="1"/>
  <c r="N1309" i="1"/>
  <c r="L1309" i="1"/>
  <c r="I1309" i="1"/>
  <c r="J1309" i="1" s="1"/>
  <c r="N1308" i="1"/>
  <c r="O1308" i="1" s="1"/>
  <c r="L1308" i="1"/>
  <c r="I1308" i="1"/>
  <c r="J1308" i="1" s="1"/>
  <c r="N1307" i="1"/>
  <c r="O1307" i="1" s="1"/>
  <c r="L1307" i="1"/>
  <c r="I1307" i="1"/>
  <c r="J1307" i="1" s="1"/>
  <c r="O1306" i="1"/>
  <c r="N1306" i="1"/>
  <c r="L1306" i="1"/>
  <c r="I1306" i="1"/>
  <c r="J1306" i="1" s="1"/>
  <c r="O1305" i="1"/>
  <c r="N1305" i="1"/>
  <c r="L1305" i="1"/>
  <c r="I1305" i="1"/>
  <c r="J1305" i="1" s="1"/>
  <c r="N1304" i="1"/>
  <c r="O1304" i="1" s="1"/>
  <c r="L1304" i="1"/>
  <c r="I1304" i="1"/>
  <c r="J1304" i="1" s="1"/>
  <c r="N1303" i="1"/>
  <c r="O1303" i="1" s="1"/>
  <c r="L1303" i="1"/>
  <c r="I1303" i="1"/>
  <c r="J1303" i="1" s="1"/>
  <c r="O1302" i="1"/>
  <c r="N1302" i="1"/>
  <c r="L1302" i="1"/>
  <c r="I1302" i="1"/>
  <c r="J1302" i="1" s="1"/>
  <c r="O1301" i="1"/>
  <c r="N1301" i="1"/>
  <c r="L1301" i="1"/>
  <c r="I1301" i="1"/>
  <c r="J1301" i="1" s="1"/>
  <c r="N1300" i="1"/>
  <c r="O1300" i="1" s="1"/>
  <c r="L1300" i="1"/>
  <c r="I1300" i="1"/>
  <c r="J1300" i="1" s="1"/>
  <c r="N1299" i="1"/>
  <c r="O1299" i="1" s="1"/>
  <c r="L1299" i="1"/>
  <c r="I1299" i="1"/>
  <c r="J1299" i="1" s="1"/>
  <c r="O1298" i="1"/>
  <c r="N1298" i="1"/>
  <c r="L1298" i="1"/>
  <c r="I1298" i="1"/>
  <c r="J1298" i="1" s="1"/>
  <c r="O1297" i="1"/>
  <c r="N1297" i="1"/>
  <c r="L1297" i="1"/>
  <c r="I1297" i="1"/>
  <c r="J1297" i="1" s="1"/>
  <c r="N1296" i="1"/>
  <c r="O1296" i="1" s="1"/>
  <c r="L1296" i="1"/>
  <c r="I1296" i="1"/>
  <c r="J1296" i="1" s="1"/>
  <c r="N1295" i="1"/>
  <c r="O1295" i="1" s="1"/>
  <c r="L1295" i="1"/>
  <c r="I1295" i="1"/>
  <c r="J1295" i="1" s="1"/>
  <c r="O1294" i="1"/>
  <c r="N1294" i="1"/>
  <c r="L1294" i="1"/>
  <c r="I1294" i="1"/>
  <c r="J1294" i="1" s="1"/>
  <c r="O1293" i="1"/>
  <c r="N1293" i="1"/>
  <c r="L1293" i="1"/>
  <c r="I1293" i="1"/>
  <c r="J1293" i="1" s="1"/>
  <c r="N1292" i="1"/>
  <c r="O1292" i="1" s="1"/>
  <c r="L1292" i="1"/>
  <c r="I1292" i="1"/>
  <c r="J1292" i="1" s="1"/>
  <c r="N1291" i="1"/>
  <c r="O1291" i="1" s="1"/>
  <c r="L1291" i="1"/>
  <c r="I1291" i="1"/>
  <c r="J1291" i="1" s="1"/>
  <c r="O1290" i="1"/>
  <c r="N1290" i="1"/>
  <c r="L1290" i="1"/>
  <c r="I1290" i="1"/>
  <c r="J1290" i="1" s="1"/>
  <c r="O1289" i="1"/>
  <c r="N1289" i="1"/>
  <c r="L1289" i="1"/>
  <c r="I1289" i="1"/>
  <c r="J1289" i="1" s="1"/>
  <c r="N1288" i="1"/>
  <c r="O1288" i="1" s="1"/>
  <c r="L1288" i="1"/>
  <c r="I1288" i="1"/>
  <c r="J1288" i="1" s="1"/>
  <c r="N1287" i="1"/>
  <c r="O1287" i="1" s="1"/>
  <c r="L1287" i="1"/>
  <c r="I1287" i="1"/>
  <c r="J1287" i="1" s="1"/>
  <c r="O1286" i="1"/>
  <c r="N1286" i="1"/>
  <c r="L1286" i="1"/>
  <c r="I1286" i="1"/>
  <c r="J1286" i="1" s="1"/>
  <c r="O1285" i="1"/>
  <c r="N1285" i="1"/>
  <c r="L1285" i="1"/>
  <c r="I1285" i="1"/>
  <c r="J1285" i="1" s="1"/>
  <c r="N1284" i="1"/>
  <c r="O1284" i="1" s="1"/>
  <c r="L1284" i="1"/>
  <c r="I1284" i="1"/>
  <c r="J1284" i="1" s="1"/>
  <c r="N1283" i="1"/>
  <c r="O1283" i="1" s="1"/>
  <c r="L1283" i="1"/>
  <c r="I1283" i="1"/>
  <c r="J1283" i="1" s="1"/>
  <c r="O1282" i="1"/>
  <c r="N1282" i="1"/>
  <c r="L1282" i="1"/>
  <c r="I1282" i="1"/>
  <c r="J1282" i="1" s="1"/>
  <c r="O1281" i="1"/>
  <c r="N1281" i="1"/>
  <c r="L1281" i="1"/>
  <c r="I1281" i="1"/>
  <c r="J1281" i="1" s="1"/>
  <c r="N1280" i="1"/>
  <c r="O1280" i="1" s="1"/>
  <c r="L1280" i="1"/>
  <c r="I1280" i="1"/>
  <c r="J1280" i="1" s="1"/>
  <c r="N1279" i="1"/>
  <c r="O1279" i="1" s="1"/>
  <c r="L1279" i="1"/>
  <c r="I1279" i="1"/>
  <c r="J1279" i="1" s="1"/>
  <c r="O1278" i="1"/>
  <c r="N1278" i="1"/>
  <c r="L1278" i="1"/>
  <c r="I1278" i="1"/>
  <c r="J1278" i="1" s="1"/>
  <c r="O1277" i="1"/>
  <c r="N1277" i="1"/>
  <c r="L1277" i="1"/>
  <c r="I1277" i="1"/>
  <c r="J1277" i="1" s="1"/>
  <c r="N1276" i="1"/>
  <c r="O1276" i="1" s="1"/>
  <c r="L1276" i="1"/>
  <c r="I1276" i="1"/>
  <c r="J1276" i="1" s="1"/>
  <c r="N1275" i="1"/>
  <c r="O1275" i="1" s="1"/>
  <c r="L1275" i="1"/>
  <c r="I1275" i="1"/>
  <c r="J1275" i="1" s="1"/>
  <c r="O1274" i="1"/>
  <c r="N1274" i="1"/>
  <c r="L1274" i="1"/>
  <c r="I1274" i="1"/>
  <c r="J1274" i="1" s="1"/>
  <c r="O1273" i="1"/>
  <c r="N1273" i="1"/>
  <c r="L1273" i="1"/>
  <c r="I1273" i="1"/>
  <c r="J1273" i="1" s="1"/>
  <c r="N1272" i="1"/>
  <c r="O1272" i="1" s="1"/>
  <c r="L1272" i="1"/>
  <c r="I1272" i="1"/>
  <c r="J1272" i="1" s="1"/>
  <c r="N1271" i="1"/>
  <c r="O1271" i="1" s="1"/>
  <c r="L1271" i="1"/>
  <c r="I1271" i="1"/>
  <c r="J1271" i="1" s="1"/>
  <c r="O1270" i="1"/>
  <c r="N1270" i="1"/>
  <c r="L1270" i="1"/>
  <c r="I1270" i="1"/>
  <c r="J1270" i="1" s="1"/>
  <c r="O1269" i="1"/>
  <c r="N1269" i="1"/>
  <c r="L1269" i="1"/>
  <c r="I1269" i="1"/>
  <c r="J1269" i="1" s="1"/>
  <c r="N1268" i="1"/>
  <c r="O1268" i="1" s="1"/>
  <c r="L1268" i="1"/>
  <c r="I1268" i="1"/>
  <c r="J1268" i="1" s="1"/>
  <c r="N1267" i="1"/>
  <c r="O1267" i="1" s="1"/>
  <c r="L1267" i="1"/>
  <c r="I1267" i="1"/>
  <c r="J1267" i="1" s="1"/>
  <c r="O1266" i="1"/>
  <c r="N1266" i="1"/>
  <c r="L1266" i="1"/>
  <c r="I1266" i="1"/>
  <c r="J1266" i="1" s="1"/>
  <c r="O1265" i="1"/>
  <c r="N1265" i="1"/>
  <c r="L1265" i="1"/>
  <c r="I1265" i="1"/>
  <c r="J1265" i="1" s="1"/>
  <c r="N1264" i="1"/>
  <c r="O1264" i="1" s="1"/>
  <c r="L1264" i="1"/>
  <c r="I1264" i="1"/>
  <c r="J1264" i="1" s="1"/>
  <c r="N1263" i="1"/>
  <c r="O1263" i="1" s="1"/>
  <c r="L1263" i="1"/>
  <c r="I1263" i="1"/>
  <c r="J1263" i="1" s="1"/>
  <c r="O1262" i="1"/>
  <c r="N1262" i="1"/>
  <c r="L1262" i="1"/>
  <c r="I1262" i="1"/>
  <c r="J1262" i="1" s="1"/>
  <c r="O1261" i="1"/>
  <c r="N1261" i="1"/>
  <c r="L1261" i="1"/>
  <c r="I1261" i="1"/>
  <c r="J1261" i="1" s="1"/>
  <c r="N1260" i="1"/>
  <c r="O1260" i="1" s="1"/>
  <c r="L1260" i="1"/>
  <c r="I1260" i="1"/>
  <c r="J1260" i="1" s="1"/>
  <c r="N1259" i="1"/>
  <c r="O1259" i="1" s="1"/>
  <c r="L1259" i="1"/>
  <c r="I1259" i="1"/>
  <c r="J1259" i="1" s="1"/>
  <c r="O1258" i="1"/>
  <c r="N1258" i="1"/>
  <c r="L1258" i="1"/>
  <c r="I1258" i="1"/>
  <c r="J1258" i="1" s="1"/>
  <c r="O1257" i="1"/>
  <c r="N1257" i="1"/>
  <c r="L1257" i="1"/>
  <c r="I1257" i="1"/>
  <c r="J1257" i="1" s="1"/>
  <c r="N1256" i="1"/>
  <c r="O1256" i="1" s="1"/>
  <c r="L1256" i="1"/>
  <c r="I1256" i="1"/>
  <c r="J1256" i="1" s="1"/>
  <c r="N1255" i="1"/>
  <c r="O1255" i="1" s="1"/>
  <c r="L1255" i="1"/>
  <c r="I1255" i="1"/>
  <c r="J1255" i="1" s="1"/>
  <c r="O1254" i="1"/>
  <c r="N1254" i="1"/>
  <c r="L1254" i="1"/>
  <c r="I1254" i="1"/>
  <c r="J1254" i="1" s="1"/>
  <c r="O1253" i="1"/>
  <c r="N1253" i="1"/>
  <c r="L1253" i="1"/>
  <c r="I1253" i="1"/>
  <c r="J1253" i="1" s="1"/>
  <c r="N1252" i="1"/>
  <c r="O1252" i="1" s="1"/>
  <c r="L1252" i="1"/>
  <c r="I1252" i="1"/>
  <c r="J1252" i="1" s="1"/>
  <c r="N1251" i="1"/>
  <c r="O1251" i="1" s="1"/>
  <c r="L1251" i="1"/>
  <c r="I1251" i="1"/>
  <c r="J1251" i="1" s="1"/>
  <c r="O1250" i="1"/>
  <c r="N1250" i="1"/>
  <c r="L1250" i="1"/>
  <c r="I1250" i="1"/>
  <c r="J1250" i="1" s="1"/>
  <c r="O1249" i="1"/>
  <c r="N1249" i="1"/>
  <c r="L1249" i="1"/>
  <c r="I1249" i="1"/>
  <c r="J1249" i="1" s="1"/>
  <c r="N1248" i="1"/>
  <c r="O1248" i="1" s="1"/>
  <c r="L1248" i="1"/>
  <c r="I1248" i="1"/>
  <c r="J1248" i="1" s="1"/>
  <c r="N1247" i="1"/>
  <c r="O1247" i="1" s="1"/>
  <c r="L1247" i="1"/>
  <c r="I1247" i="1"/>
  <c r="J1247" i="1" s="1"/>
  <c r="O1246" i="1"/>
  <c r="N1246" i="1"/>
  <c r="L1246" i="1"/>
  <c r="I1246" i="1"/>
  <c r="J1246" i="1" s="1"/>
  <c r="O1245" i="1"/>
  <c r="N1245" i="1"/>
  <c r="L1245" i="1"/>
  <c r="I1245" i="1"/>
  <c r="J1245" i="1" s="1"/>
  <c r="N1244" i="1"/>
  <c r="O1244" i="1" s="1"/>
  <c r="L1244" i="1"/>
  <c r="I1244" i="1"/>
  <c r="J1244" i="1" s="1"/>
  <c r="N1243" i="1"/>
  <c r="O1243" i="1" s="1"/>
  <c r="L1243" i="1"/>
  <c r="I1243" i="1"/>
  <c r="J1243" i="1" s="1"/>
  <c r="O1242" i="1"/>
  <c r="N1242" i="1"/>
  <c r="L1242" i="1"/>
  <c r="I1242" i="1"/>
  <c r="J1242" i="1" s="1"/>
  <c r="O1241" i="1"/>
  <c r="N1241" i="1"/>
  <c r="L1241" i="1"/>
  <c r="I1241" i="1"/>
  <c r="J1241" i="1" s="1"/>
  <c r="N1240" i="1"/>
  <c r="O1240" i="1" s="1"/>
  <c r="L1240" i="1"/>
  <c r="I1240" i="1"/>
  <c r="J1240" i="1" s="1"/>
  <c r="N1239" i="1"/>
  <c r="O1239" i="1" s="1"/>
  <c r="L1239" i="1"/>
  <c r="I1239" i="1"/>
  <c r="J1239" i="1" s="1"/>
  <c r="O1238" i="1"/>
  <c r="N1238" i="1"/>
  <c r="L1238" i="1"/>
  <c r="I1238" i="1"/>
  <c r="J1238" i="1" s="1"/>
  <c r="O1237" i="1"/>
  <c r="N1237" i="1"/>
  <c r="L1237" i="1"/>
  <c r="I1237" i="1"/>
  <c r="J1237" i="1" s="1"/>
  <c r="N1236" i="1"/>
  <c r="O1236" i="1" s="1"/>
  <c r="L1236" i="1"/>
  <c r="I1236" i="1"/>
  <c r="J1236" i="1" s="1"/>
  <c r="N1235" i="1"/>
  <c r="O1235" i="1" s="1"/>
  <c r="L1235" i="1"/>
  <c r="I1235" i="1"/>
  <c r="J1235" i="1" s="1"/>
  <c r="O1234" i="1"/>
  <c r="N1234" i="1"/>
  <c r="L1234" i="1"/>
  <c r="I1234" i="1"/>
  <c r="J1234" i="1" s="1"/>
  <c r="O1233" i="1"/>
  <c r="N1233" i="1"/>
  <c r="L1233" i="1"/>
  <c r="I1233" i="1"/>
  <c r="J1233" i="1" s="1"/>
  <c r="N1232" i="1"/>
  <c r="O1232" i="1" s="1"/>
  <c r="L1232" i="1"/>
  <c r="I1232" i="1"/>
  <c r="J1232" i="1" s="1"/>
  <c r="N1231" i="1"/>
  <c r="O1231" i="1" s="1"/>
  <c r="L1231" i="1"/>
  <c r="I1231" i="1"/>
  <c r="J1231" i="1" s="1"/>
  <c r="O1230" i="1"/>
  <c r="N1230" i="1"/>
  <c r="L1230" i="1"/>
  <c r="I1230" i="1"/>
  <c r="J1230" i="1" s="1"/>
  <c r="O1229" i="1"/>
  <c r="N1229" i="1"/>
  <c r="L1229" i="1"/>
  <c r="I1229" i="1"/>
  <c r="J1229" i="1" s="1"/>
  <c r="N1228" i="1"/>
  <c r="O1228" i="1" s="1"/>
  <c r="L1228" i="1"/>
  <c r="I1228" i="1"/>
  <c r="J1228" i="1" s="1"/>
  <c r="N1227" i="1"/>
  <c r="O1227" i="1" s="1"/>
  <c r="L1227" i="1"/>
  <c r="I1227" i="1"/>
  <c r="J1227" i="1" s="1"/>
  <c r="O1226" i="1"/>
  <c r="N1226" i="1"/>
  <c r="L1226" i="1"/>
  <c r="I1226" i="1"/>
  <c r="J1226" i="1" s="1"/>
  <c r="O1225" i="1"/>
  <c r="N1225" i="1"/>
  <c r="L1225" i="1"/>
  <c r="I1225" i="1"/>
  <c r="J1225" i="1" s="1"/>
  <c r="N1224" i="1"/>
  <c r="O1224" i="1" s="1"/>
  <c r="L1224" i="1"/>
  <c r="I1224" i="1"/>
  <c r="J1224" i="1" s="1"/>
  <c r="N1223" i="1"/>
  <c r="O1223" i="1" s="1"/>
  <c r="L1223" i="1"/>
  <c r="I1223" i="1"/>
  <c r="J1223" i="1" s="1"/>
  <c r="O1222" i="1"/>
  <c r="N1222" i="1"/>
  <c r="L1222" i="1"/>
  <c r="I1222" i="1"/>
  <c r="J1222" i="1" s="1"/>
  <c r="O1221" i="1"/>
  <c r="N1221" i="1"/>
  <c r="L1221" i="1"/>
  <c r="I1221" i="1"/>
  <c r="J1221" i="1" s="1"/>
  <c r="N1220" i="1"/>
  <c r="O1220" i="1" s="1"/>
  <c r="L1220" i="1"/>
  <c r="I1220" i="1"/>
  <c r="J1220" i="1" s="1"/>
  <c r="N1219" i="1"/>
  <c r="O1219" i="1" s="1"/>
  <c r="L1219" i="1"/>
  <c r="I1219" i="1"/>
  <c r="J1219" i="1" s="1"/>
  <c r="O1218" i="1"/>
  <c r="N1218" i="1"/>
  <c r="L1218" i="1"/>
  <c r="I1218" i="1"/>
  <c r="J1218" i="1" s="1"/>
  <c r="O1217" i="1"/>
  <c r="N1217" i="1"/>
  <c r="L1217" i="1"/>
  <c r="I1217" i="1"/>
  <c r="J1217" i="1" s="1"/>
  <c r="N1216" i="1"/>
  <c r="O1216" i="1" s="1"/>
  <c r="L1216" i="1"/>
  <c r="I1216" i="1"/>
  <c r="J1216" i="1" s="1"/>
  <c r="N1215" i="1"/>
  <c r="O1215" i="1" s="1"/>
  <c r="L1215" i="1"/>
  <c r="I1215" i="1"/>
  <c r="J1215" i="1" s="1"/>
  <c r="O1214" i="1"/>
  <c r="N1214" i="1"/>
  <c r="L1214" i="1"/>
  <c r="I1214" i="1"/>
  <c r="J1214" i="1" s="1"/>
  <c r="O1213" i="1"/>
  <c r="N1213" i="1"/>
  <c r="L1213" i="1"/>
  <c r="I1213" i="1"/>
  <c r="J1213" i="1" s="1"/>
  <c r="N1212" i="1"/>
  <c r="O1212" i="1" s="1"/>
  <c r="L1212" i="1"/>
  <c r="I1212" i="1"/>
  <c r="J1212" i="1" s="1"/>
  <c r="N1211" i="1"/>
  <c r="O1211" i="1" s="1"/>
  <c r="L1211" i="1"/>
  <c r="I1211" i="1"/>
  <c r="J1211" i="1" s="1"/>
  <c r="O1210" i="1"/>
  <c r="N1210" i="1"/>
  <c r="L1210" i="1"/>
  <c r="I1210" i="1"/>
  <c r="J1210" i="1" s="1"/>
  <c r="O1209" i="1"/>
  <c r="N1209" i="1"/>
  <c r="L1209" i="1"/>
  <c r="I1209" i="1"/>
  <c r="J1209" i="1" s="1"/>
  <c r="N1208" i="1"/>
  <c r="O1208" i="1" s="1"/>
  <c r="L1208" i="1"/>
  <c r="I1208" i="1"/>
  <c r="J1208" i="1" s="1"/>
  <c r="N1207" i="1"/>
  <c r="O1207" i="1" s="1"/>
  <c r="L1207" i="1"/>
  <c r="I1207" i="1"/>
  <c r="J1207" i="1" s="1"/>
  <c r="O1206" i="1"/>
  <c r="N1206" i="1"/>
  <c r="L1206" i="1"/>
  <c r="I1206" i="1"/>
  <c r="J1206" i="1" s="1"/>
  <c r="O1205" i="1"/>
  <c r="N1205" i="1"/>
  <c r="L1205" i="1"/>
  <c r="I1205" i="1"/>
  <c r="J1205" i="1" s="1"/>
  <c r="N1204" i="1"/>
  <c r="O1204" i="1" s="1"/>
  <c r="L1204" i="1"/>
  <c r="I1204" i="1"/>
  <c r="J1204" i="1" s="1"/>
  <c r="N1203" i="1"/>
  <c r="O1203" i="1" s="1"/>
  <c r="L1203" i="1"/>
  <c r="I1203" i="1"/>
  <c r="J1203" i="1" s="1"/>
  <c r="O1202" i="1"/>
  <c r="N1202" i="1"/>
  <c r="L1202" i="1"/>
  <c r="I1202" i="1"/>
  <c r="J1202" i="1" s="1"/>
  <c r="O1201" i="1"/>
  <c r="N1201" i="1"/>
  <c r="L1201" i="1"/>
  <c r="I1201" i="1"/>
  <c r="J1201" i="1" s="1"/>
  <c r="N1200" i="1"/>
  <c r="O1200" i="1" s="1"/>
  <c r="L1200" i="1"/>
  <c r="I1200" i="1"/>
  <c r="J1200" i="1" s="1"/>
  <c r="N1199" i="1"/>
  <c r="O1199" i="1" s="1"/>
  <c r="L1199" i="1"/>
  <c r="I1199" i="1"/>
  <c r="J1199" i="1" s="1"/>
  <c r="O1198" i="1"/>
  <c r="N1198" i="1"/>
  <c r="L1198" i="1"/>
  <c r="I1198" i="1"/>
  <c r="J1198" i="1" s="1"/>
  <c r="O1197" i="1"/>
  <c r="N1197" i="1"/>
  <c r="L1197" i="1"/>
  <c r="I1197" i="1"/>
  <c r="J1197" i="1" s="1"/>
  <c r="N1196" i="1"/>
  <c r="O1196" i="1" s="1"/>
  <c r="L1196" i="1"/>
  <c r="I1196" i="1"/>
  <c r="J1196" i="1" s="1"/>
  <c r="N1195" i="1"/>
  <c r="O1195" i="1" s="1"/>
  <c r="L1195" i="1"/>
  <c r="I1195" i="1"/>
  <c r="J1195" i="1" s="1"/>
  <c r="O1194" i="1"/>
  <c r="N1194" i="1"/>
  <c r="L1194" i="1"/>
  <c r="I1194" i="1"/>
  <c r="J1194" i="1" s="1"/>
  <c r="O1193" i="1"/>
  <c r="N1193" i="1"/>
  <c r="L1193" i="1"/>
  <c r="I1193" i="1"/>
  <c r="J1193" i="1" s="1"/>
  <c r="N1192" i="1"/>
  <c r="O1192" i="1" s="1"/>
  <c r="L1192" i="1"/>
  <c r="I1192" i="1"/>
  <c r="J1192" i="1" s="1"/>
  <c r="N1191" i="1"/>
  <c r="O1191" i="1" s="1"/>
  <c r="L1191" i="1"/>
  <c r="I1191" i="1"/>
  <c r="J1191" i="1" s="1"/>
  <c r="O1190" i="1"/>
  <c r="N1190" i="1"/>
  <c r="L1190" i="1"/>
  <c r="I1190" i="1"/>
  <c r="J1190" i="1" s="1"/>
  <c r="O1189" i="1"/>
  <c r="N1189" i="1"/>
  <c r="L1189" i="1"/>
  <c r="I1189" i="1"/>
  <c r="J1189" i="1" s="1"/>
  <c r="N1188" i="1"/>
  <c r="O1188" i="1" s="1"/>
  <c r="L1188" i="1"/>
  <c r="I1188" i="1"/>
  <c r="J1188" i="1" s="1"/>
  <c r="N1187" i="1"/>
  <c r="O1187" i="1" s="1"/>
  <c r="L1187" i="1"/>
  <c r="I1187" i="1"/>
  <c r="J1187" i="1" s="1"/>
  <c r="O1186" i="1"/>
  <c r="N1186" i="1"/>
  <c r="L1186" i="1"/>
  <c r="I1186" i="1"/>
  <c r="J1186" i="1" s="1"/>
  <c r="O1185" i="1"/>
  <c r="N1185" i="1"/>
  <c r="L1185" i="1"/>
  <c r="I1185" i="1"/>
  <c r="J1185" i="1" s="1"/>
  <c r="N1184" i="1"/>
  <c r="O1184" i="1" s="1"/>
  <c r="L1184" i="1"/>
  <c r="I1184" i="1"/>
  <c r="J1184" i="1" s="1"/>
  <c r="N1183" i="1"/>
  <c r="O1183" i="1" s="1"/>
  <c r="L1183" i="1"/>
  <c r="I1183" i="1"/>
  <c r="J1183" i="1" s="1"/>
  <c r="O1182" i="1"/>
  <c r="N1182" i="1"/>
  <c r="L1182" i="1"/>
  <c r="I1182" i="1"/>
  <c r="J1182" i="1" s="1"/>
  <c r="O1181" i="1"/>
  <c r="N1181" i="1"/>
  <c r="L1181" i="1"/>
  <c r="I1181" i="1"/>
  <c r="J1181" i="1" s="1"/>
  <c r="N1180" i="1"/>
  <c r="O1180" i="1" s="1"/>
  <c r="L1180" i="1"/>
  <c r="I1180" i="1"/>
  <c r="J1180" i="1" s="1"/>
  <c r="N1179" i="1"/>
  <c r="O1179" i="1" s="1"/>
  <c r="L1179" i="1"/>
  <c r="I1179" i="1"/>
  <c r="J1179" i="1" s="1"/>
  <c r="O1178" i="1"/>
  <c r="N1178" i="1"/>
  <c r="L1178" i="1"/>
  <c r="I1178" i="1"/>
  <c r="J1178" i="1" s="1"/>
  <c r="O1177" i="1"/>
  <c r="N1177" i="1"/>
  <c r="L1177" i="1"/>
  <c r="I1177" i="1"/>
  <c r="J1177" i="1" s="1"/>
  <c r="N1176" i="1"/>
  <c r="O1176" i="1" s="1"/>
  <c r="L1176" i="1"/>
  <c r="I1176" i="1"/>
  <c r="J1176" i="1" s="1"/>
  <c r="N1175" i="1"/>
  <c r="O1175" i="1" s="1"/>
  <c r="L1175" i="1"/>
  <c r="I1175" i="1"/>
  <c r="J1175" i="1" s="1"/>
  <c r="O1174" i="1"/>
  <c r="N1174" i="1"/>
  <c r="L1174" i="1"/>
  <c r="I1174" i="1"/>
  <c r="J1174" i="1" s="1"/>
  <c r="O1173" i="1"/>
  <c r="N1173" i="1"/>
  <c r="L1173" i="1"/>
  <c r="I1173" i="1"/>
  <c r="J1173" i="1" s="1"/>
  <c r="N1172" i="1"/>
  <c r="O1172" i="1" s="1"/>
  <c r="L1172" i="1"/>
  <c r="I1172" i="1"/>
  <c r="J1172" i="1" s="1"/>
  <c r="N1171" i="1"/>
  <c r="O1171" i="1" s="1"/>
  <c r="L1171" i="1"/>
  <c r="I1171" i="1"/>
  <c r="J1171" i="1" s="1"/>
  <c r="O1170" i="1"/>
  <c r="N1170" i="1"/>
  <c r="L1170" i="1"/>
  <c r="I1170" i="1"/>
  <c r="J1170" i="1" s="1"/>
  <c r="O1169" i="1"/>
  <c r="N1169" i="1"/>
  <c r="L1169" i="1"/>
  <c r="I1169" i="1"/>
  <c r="J1169" i="1" s="1"/>
  <c r="N1168" i="1"/>
  <c r="O1168" i="1" s="1"/>
  <c r="L1168" i="1"/>
  <c r="I1168" i="1"/>
  <c r="J1168" i="1" s="1"/>
  <c r="N1167" i="1"/>
  <c r="O1167" i="1" s="1"/>
  <c r="L1167" i="1"/>
  <c r="I1167" i="1"/>
  <c r="J1167" i="1" s="1"/>
  <c r="O1166" i="1"/>
  <c r="N1166" i="1"/>
  <c r="L1166" i="1"/>
  <c r="I1166" i="1"/>
  <c r="J1166" i="1" s="1"/>
  <c r="O1165" i="1"/>
  <c r="N1165" i="1"/>
  <c r="L1165" i="1"/>
  <c r="I1165" i="1"/>
  <c r="J1165" i="1" s="1"/>
  <c r="N1164" i="1"/>
  <c r="O1164" i="1" s="1"/>
  <c r="L1164" i="1"/>
  <c r="I1164" i="1"/>
  <c r="J1164" i="1" s="1"/>
  <c r="N1163" i="1"/>
  <c r="O1163" i="1" s="1"/>
  <c r="L1163" i="1"/>
  <c r="I1163" i="1"/>
  <c r="J1163" i="1" s="1"/>
  <c r="O1162" i="1"/>
  <c r="N1162" i="1"/>
  <c r="L1162" i="1"/>
  <c r="I1162" i="1"/>
  <c r="J1162" i="1" s="1"/>
  <c r="O1161" i="1"/>
  <c r="N1161" i="1"/>
  <c r="L1161" i="1"/>
  <c r="I1161" i="1"/>
  <c r="J1161" i="1" s="1"/>
  <c r="N1160" i="1"/>
  <c r="O1160" i="1" s="1"/>
  <c r="L1160" i="1"/>
  <c r="I1160" i="1"/>
  <c r="J1160" i="1" s="1"/>
  <c r="N1159" i="1"/>
  <c r="O1159" i="1" s="1"/>
  <c r="L1159" i="1"/>
  <c r="I1159" i="1"/>
  <c r="J1159" i="1" s="1"/>
  <c r="O1158" i="1"/>
  <c r="N1158" i="1"/>
  <c r="L1158" i="1"/>
  <c r="I1158" i="1"/>
  <c r="J1158" i="1" s="1"/>
  <c r="O1157" i="1"/>
  <c r="N1157" i="1"/>
  <c r="L1157" i="1"/>
  <c r="I1157" i="1"/>
  <c r="J1157" i="1" s="1"/>
  <c r="N1156" i="1"/>
  <c r="O1156" i="1" s="1"/>
  <c r="L1156" i="1"/>
  <c r="I1156" i="1"/>
  <c r="J1156" i="1" s="1"/>
  <c r="N1155" i="1"/>
  <c r="O1155" i="1" s="1"/>
  <c r="L1155" i="1"/>
  <c r="I1155" i="1"/>
  <c r="J1155" i="1" s="1"/>
  <c r="O1154" i="1"/>
  <c r="N1154" i="1"/>
  <c r="L1154" i="1"/>
  <c r="I1154" i="1"/>
  <c r="J1154" i="1" s="1"/>
  <c r="O1153" i="1"/>
  <c r="N1153" i="1"/>
  <c r="L1153" i="1"/>
  <c r="I1153" i="1"/>
  <c r="J1153" i="1" s="1"/>
  <c r="N1152" i="1"/>
  <c r="O1152" i="1" s="1"/>
  <c r="L1152" i="1"/>
  <c r="I1152" i="1"/>
  <c r="J1152" i="1" s="1"/>
  <c r="N1151" i="1"/>
  <c r="O1151" i="1" s="1"/>
  <c r="L1151" i="1"/>
  <c r="I1151" i="1"/>
  <c r="J1151" i="1" s="1"/>
  <c r="O1150" i="1"/>
  <c r="N1150" i="1"/>
  <c r="L1150" i="1"/>
  <c r="I1150" i="1"/>
  <c r="J1150" i="1" s="1"/>
  <c r="O1149" i="1"/>
  <c r="N1149" i="1"/>
  <c r="L1149" i="1"/>
  <c r="I1149" i="1"/>
  <c r="J1149" i="1" s="1"/>
  <c r="N1148" i="1"/>
  <c r="O1148" i="1" s="1"/>
  <c r="L1148" i="1"/>
  <c r="I1148" i="1"/>
  <c r="J1148" i="1" s="1"/>
  <c r="N1147" i="1"/>
  <c r="O1147" i="1" s="1"/>
  <c r="L1147" i="1"/>
  <c r="I1147" i="1"/>
  <c r="J1147" i="1" s="1"/>
  <c r="O1146" i="1"/>
  <c r="N1146" i="1"/>
  <c r="L1146" i="1"/>
  <c r="I1146" i="1"/>
  <c r="J1146" i="1" s="1"/>
  <c r="O1145" i="1"/>
  <c r="N1145" i="1"/>
  <c r="L1145" i="1"/>
  <c r="I1145" i="1"/>
  <c r="J1145" i="1" s="1"/>
  <c r="N1144" i="1"/>
  <c r="O1144" i="1" s="1"/>
  <c r="L1144" i="1"/>
  <c r="I1144" i="1"/>
  <c r="J1144" i="1" s="1"/>
  <c r="N1143" i="1"/>
  <c r="O1143" i="1" s="1"/>
  <c r="L1143" i="1"/>
  <c r="I1143" i="1"/>
  <c r="J1143" i="1" s="1"/>
  <c r="O1142" i="1"/>
  <c r="N1142" i="1"/>
  <c r="L1142" i="1"/>
  <c r="I1142" i="1"/>
  <c r="J1142" i="1" s="1"/>
  <c r="O1141" i="1"/>
  <c r="N1141" i="1"/>
  <c r="L1141" i="1"/>
  <c r="I1141" i="1"/>
  <c r="J1141" i="1" s="1"/>
  <c r="N1140" i="1"/>
  <c r="O1140" i="1" s="1"/>
  <c r="L1140" i="1"/>
  <c r="I1140" i="1"/>
  <c r="J1140" i="1" s="1"/>
  <c r="N1139" i="1"/>
  <c r="O1139" i="1" s="1"/>
  <c r="L1139" i="1"/>
  <c r="I1139" i="1"/>
  <c r="J1139" i="1" s="1"/>
  <c r="O1138" i="1"/>
  <c r="N1138" i="1"/>
  <c r="L1138" i="1"/>
  <c r="I1138" i="1"/>
  <c r="J1138" i="1" s="1"/>
  <c r="O1137" i="1"/>
  <c r="N1137" i="1"/>
  <c r="L1137" i="1"/>
  <c r="I1137" i="1"/>
  <c r="J1137" i="1" s="1"/>
  <c r="N1136" i="1"/>
  <c r="O1136" i="1" s="1"/>
  <c r="L1136" i="1"/>
  <c r="I1136" i="1"/>
  <c r="J1136" i="1" s="1"/>
  <c r="N1135" i="1"/>
  <c r="O1135" i="1" s="1"/>
  <c r="L1135" i="1"/>
  <c r="I1135" i="1"/>
  <c r="J1135" i="1" s="1"/>
  <c r="O1134" i="1"/>
  <c r="N1134" i="1"/>
  <c r="L1134" i="1"/>
  <c r="I1134" i="1"/>
  <c r="J1134" i="1" s="1"/>
  <c r="O1133" i="1"/>
  <c r="N1133" i="1"/>
  <c r="L1133" i="1"/>
  <c r="I1133" i="1"/>
  <c r="J1133" i="1" s="1"/>
  <c r="N1132" i="1"/>
  <c r="O1132" i="1" s="1"/>
  <c r="L1132" i="1"/>
  <c r="I1132" i="1"/>
  <c r="J1132" i="1" s="1"/>
  <c r="N1131" i="1"/>
  <c r="O1131" i="1" s="1"/>
  <c r="L1131" i="1"/>
  <c r="I1131" i="1"/>
  <c r="J1131" i="1" s="1"/>
  <c r="N1130" i="1"/>
  <c r="O1130" i="1" s="1"/>
  <c r="L1130" i="1"/>
  <c r="I1130" i="1"/>
  <c r="J1130" i="1" s="1"/>
  <c r="N1129" i="1"/>
  <c r="O1129" i="1" s="1"/>
  <c r="L1129" i="1"/>
  <c r="J1129" i="1"/>
  <c r="I1129" i="1"/>
  <c r="N1128" i="1"/>
  <c r="O1128" i="1" s="1"/>
  <c r="L1128" i="1"/>
  <c r="J1128" i="1"/>
  <c r="I1128" i="1"/>
  <c r="N1127" i="1"/>
  <c r="O1127" i="1" s="1"/>
  <c r="L1127" i="1"/>
  <c r="I1127" i="1"/>
  <c r="J1127" i="1" s="1"/>
  <c r="N1126" i="1"/>
  <c r="O1126" i="1" s="1"/>
  <c r="L1126" i="1"/>
  <c r="I1126" i="1"/>
  <c r="J1126" i="1" s="1"/>
  <c r="O1125" i="1"/>
  <c r="N1125" i="1"/>
  <c r="L1125" i="1"/>
  <c r="I1125" i="1"/>
  <c r="J1125" i="1" s="1"/>
  <c r="N1124" i="1"/>
  <c r="O1124" i="1" s="1"/>
  <c r="L1124" i="1"/>
  <c r="I1124" i="1"/>
  <c r="J1124" i="1" s="1"/>
  <c r="N1123" i="1"/>
  <c r="O1123" i="1" s="1"/>
  <c r="L1123" i="1"/>
  <c r="I1123" i="1"/>
  <c r="J1123" i="1" s="1"/>
  <c r="N1122" i="1"/>
  <c r="O1122" i="1" s="1"/>
  <c r="L1122" i="1"/>
  <c r="I1122" i="1"/>
  <c r="J1122" i="1" s="1"/>
  <c r="N1121" i="1"/>
  <c r="O1121" i="1" s="1"/>
  <c r="L1121" i="1"/>
  <c r="J1121" i="1"/>
  <c r="I1121" i="1"/>
  <c r="N1120" i="1"/>
  <c r="O1120" i="1" s="1"/>
  <c r="L1120" i="1"/>
  <c r="J1120" i="1"/>
  <c r="I1120" i="1"/>
  <c r="N1119" i="1"/>
  <c r="O1119" i="1" s="1"/>
  <c r="L1119" i="1"/>
  <c r="I1119" i="1"/>
  <c r="J1119" i="1" s="1"/>
  <c r="N1118" i="1"/>
  <c r="O1118" i="1" s="1"/>
  <c r="L1118" i="1"/>
  <c r="I1118" i="1"/>
  <c r="J1118" i="1" s="1"/>
  <c r="O1117" i="1"/>
  <c r="N1117" i="1"/>
  <c r="L1117" i="1"/>
  <c r="J1117" i="1"/>
  <c r="I1117" i="1"/>
  <c r="N1116" i="1"/>
  <c r="O1116" i="1" s="1"/>
  <c r="L1116" i="1"/>
  <c r="J1116" i="1"/>
  <c r="I1116" i="1"/>
  <c r="N1115" i="1"/>
  <c r="O1115" i="1" s="1"/>
  <c r="L1115" i="1"/>
  <c r="I1115" i="1"/>
  <c r="J1115" i="1" s="1"/>
  <c r="N1114" i="1"/>
  <c r="O1114" i="1" s="1"/>
  <c r="L1114" i="1"/>
  <c r="I1114" i="1"/>
  <c r="J1114" i="1" s="1"/>
  <c r="O1113" i="1"/>
  <c r="N1113" i="1"/>
  <c r="L1113" i="1"/>
  <c r="I1113" i="1"/>
  <c r="J1113" i="1" s="1"/>
  <c r="N1112" i="1"/>
  <c r="O1112" i="1" s="1"/>
  <c r="L1112" i="1"/>
  <c r="I1112" i="1"/>
  <c r="J1112" i="1" s="1"/>
  <c r="N1111" i="1"/>
  <c r="O1111" i="1" s="1"/>
  <c r="L1111" i="1"/>
  <c r="I1111" i="1"/>
  <c r="J1111" i="1" s="1"/>
  <c r="N1110" i="1"/>
  <c r="O1110" i="1" s="1"/>
  <c r="L1110" i="1"/>
  <c r="I1110" i="1"/>
  <c r="J1110" i="1" s="1"/>
  <c r="N1109" i="1"/>
  <c r="O1109" i="1" s="1"/>
  <c r="L1109" i="1"/>
  <c r="I1109" i="1"/>
  <c r="J1109" i="1" s="1"/>
  <c r="N1108" i="1"/>
  <c r="O1108" i="1" s="1"/>
  <c r="L1108" i="1"/>
  <c r="I1108" i="1"/>
  <c r="J1108" i="1" s="1"/>
  <c r="N1107" i="1"/>
  <c r="O1107" i="1" s="1"/>
  <c r="L1107" i="1"/>
  <c r="I1107" i="1"/>
  <c r="J1107" i="1" s="1"/>
  <c r="N1106" i="1"/>
  <c r="O1106" i="1" s="1"/>
  <c r="L1106" i="1"/>
  <c r="I1106" i="1"/>
  <c r="J1106" i="1" s="1"/>
  <c r="N1105" i="1"/>
  <c r="O1105" i="1" s="1"/>
  <c r="L1105" i="1"/>
  <c r="J1105" i="1"/>
  <c r="I1105" i="1"/>
  <c r="N1104" i="1"/>
  <c r="O1104" i="1" s="1"/>
  <c r="L1104" i="1"/>
  <c r="J1104" i="1"/>
  <c r="I1104" i="1"/>
  <c r="N1103" i="1"/>
  <c r="O1103" i="1" s="1"/>
  <c r="L1103" i="1"/>
  <c r="I1103" i="1"/>
  <c r="J1103" i="1" s="1"/>
  <c r="N1102" i="1"/>
  <c r="O1102" i="1" s="1"/>
  <c r="L1102" i="1"/>
  <c r="I1102" i="1"/>
  <c r="J1102" i="1" s="1"/>
  <c r="O1101" i="1"/>
  <c r="N1101" i="1"/>
  <c r="L1101" i="1"/>
  <c r="I1101" i="1"/>
  <c r="J1101" i="1" s="1"/>
  <c r="N1100" i="1"/>
  <c r="O1100" i="1" s="1"/>
  <c r="L1100" i="1"/>
  <c r="I1100" i="1"/>
  <c r="J1100" i="1" s="1"/>
  <c r="N1099" i="1"/>
  <c r="O1099" i="1" s="1"/>
  <c r="L1099" i="1"/>
  <c r="I1099" i="1"/>
  <c r="J1099" i="1" s="1"/>
  <c r="N1098" i="1"/>
  <c r="O1098" i="1" s="1"/>
  <c r="L1098" i="1"/>
  <c r="I1098" i="1"/>
  <c r="J1098" i="1" s="1"/>
  <c r="N1097" i="1"/>
  <c r="O1097" i="1" s="1"/>
  <c r="L1097" i="1"/>
  <c r="J1097" i="1"/>
  <c r="I1097" i="1"/>
  <c r="N1096" i="1"/>
  <c r="O1096" i="1" s="1"/>
  <c r="L1096" i="1"/>
  <c r="J1096" i="1"/>
  <c r="I1096" i="1"/>
  <c r="N1095" i="1"/>
  <c r="O1095" i="1" s="1"/>
  <c r="L1095" i="1"/>
  <c r="I1095" i="1"/>
  <c r="J1095" i="1" s="1"/>
  <c r="N1094" i="1"/>
  <c r="O1094" i="1" s="1"/>
  <c r="L1094" i="1"/>
  <c r="I1094" i="1"/>
  <c r="J1094" i="1" s="1"/>
  <c r="O1093" i="1"/>
  <c r="N1093" i="1"/>
  <c r="L1093" i="1"/>
  <c r="I1093" i="1"/>
  <c r="J1093" i="1" s="1"/>
  <c r="N1092" i="1"/>
  <c r="O1092" i="1" s="1"/>
  <c r="L1092" i="1"/>
  <c r="I1092" i="1"/>
  <c r="J1092" i="1" s="1"/>
  <c r="N1091" i="1"/>
  <c r="O1091" i="1" s="1"/>
  <c r="L1091" i="1"/>
  <c r="I1091" i="1"/>
  <c r="J1091" i="1" s="1"/>
  <c r="N1090" i="1"/>
  <c r="O1090" i="1" s="1"/>
  <c r="L1090" i="1"/>
  <c r="I1090" i="1"/>
  <c r="J1090" i="1" s="1"/>
  <c r="N1089" i="1"/>
  <c r="O1089" i="1" s="1"/>
  <c r="L1089" i="1"/>
  <c r="J1089" i="1"/>
  <c r="I1089" i="1"/>
  <c r="N1088" i="1"/>
  <c r="O1088" i="1" s="1"/>
  <c r="L1088" i="1"/>
  <c r="J1088" i="1"/>
  <c r="I1088" i="1"/>
  <c r="N1087" i="1"/>
  <c r="O1087" i="1" s="1"/>
  <c r="L1087" i="1"/>
  <c r="I1087" i="1"/>
  <c r="J1087" i="1" s="1"/>
  <c r="N1086" i="1"/>
  <c r="O1086" i="1" s="1"/>
  <c r="L1086" i="1"/>
  <c r="I1086" i="1"/>
  <c r="J1086" i="1" s="1"/>
  <c r="O1085" i="1"/>
  <c r="N1085" i="1"/>
  <c r="L1085" i="1"/>
  <c r="J1085" i="1"/>
  <c r="I1085" i="1"/>
  <c r="N1084" i="1"/>
  <c r="O1084" i="1" s="1"/>
  <c r="L1084" i="1"/>
  <c r="J1084" i="1"/>
  <c r="I1084" i="1"/>
  <c r="N1083" i="1"/>
  <c r="O1083" i="1" s="1"/>
  <c r="L1083" i="1"/>
  <c r="I1083" i="1"/>
  <c r="J1083" i="1" s="1"/>
  <c r="N1082" i="1"/>
  <c r="O1082" i="1" s="1"/>
  <c r="L1082" i="1"/>
  <c r="I1082" i="1"/>
  <c r="J1082" i="1" s="1"/>
  <c r="O1081" i="1"/>
  <c r="N1081" i="1"/>
  <c r="L1081" i="1"/>
  <c r="I1081" i="1"/>
  <c r="J1081" i="1" s="1"/>
  <c r="N1080" i="1"/>
  <c r="O1080" i="1" s="1"/>
  <c r="L1080" i="1"/>
  <c r="I1080" i="1"/>
  <c r="J1080" i="1" s="1"/>
  <c r="N1079" i="1"/>
  <c r="O1079" i="1" s="1"/>
  <c r="L1079" i="1"/>
  <c r="I1079" i="1"/>
  <c r="J1079" i="1" s="1"/>
  <c r="N1078" i="1"/>
  <c r="O1078" i="1" s="1"/>
  <c r="L1078" i="1"/>
  <c r="I1078" i="1"/>
  <c r="J1078" i="1" s="1"/>
  <c r="N1077" i="1"/>
  <c r="O1077" i="1" s="1"/>
  <c r="L1077" i="1"/>
  <c r="I1077" i="1"/>
  <c r="J1077" i="1" s="1"/>
  <c r="N1076" i="1"/>
  <c r="O1076" i="1" s="1"/>
  <c r="L1076" i="1"/>
  <c r="I1076" i="1"/>
  <c r="J1076" i="1" s="1"/>
  <c r="N1075" i="1"/>
  <c r="O1075" i="1" s="1"/>
  <c r="L1075" i="1"/>
  <c r="I1075" i="1"/>
  <c r="J1075" i="1" s="1"/>
  <c r="N1074" i="1"/>
  <c r="O1074" i="1" s="1"/>
  <c r="L1074" i="1"/>
  <c r="I1074" i="1"/>
  <c r="J1074" i="1" s="1"/>
  <c r="N1073" i="1"/>
  <c r="O1073" i="1" s="1"/>
  <c r="L1073" i="1"/>
  <c r="J1073" i="1"/>
  <c r="I1073" i="1"/>
  <c r="N1072" i="1"/>
  <c r="O1072" i="1" s="1"/>
  <c r="L1072" i="1"/>
  <c r="J1072" i="1"/>
  <c r="I1072" i="1"/>
  <c r="N1071" i="1"/>
  <c r="O1071" i="1" s="1"/>
  <c r="L1071" i="1"/>
  <c r="I1071" i="1"/>
  <c r="J1071" i="1" s="1"/>
  <c r="N1070" i="1"/>
  <c r="O1070" i="1" s="1"/>
  <c r="L1070" i="1"/>
  <c r="I1070" i="1"/>
  <c r="J1070" i="1" s="1"/>
  <c r="O1069" i="1"/>
  <c r="N1069" i="1"/>
  <c r="L1069" i="1"/>
  <c r="I1069" i="1"/>
  <c r="J1069" i="1" s="1"/>
  <c r="N1068" i="1"/>
  <c r="O1068" i="1" s="1"/>
  <c r="L1068" i="1"/>
  <c r="I1068" i="1"/>
  <c r="J1068" i="1" s="1"/>
  <c r="N1067" i="1"/>
  <c r="O1067" i="1" s="1"/>
  <c r="L1067" i="1"/>
  <c r="I1067" i="1"/>
  <c r="J1067" i="1" s="1"/>
  <c r="N1066" i="1"/>
  <c r="O1066" i="1" s="1"/>
  <c r="L1066" i="1"/>
  <c r="I1066" i="1"/>
  <c r="J1066" i="1" s="1"/>
  <c r="N1065" i="1"/>
  <c r="O1065" i="1" s="1"/>
  <c r="L1065" i="1"/>
  <c r="J1065" i="1"/>
  <c r="I1065" i="1"/>
  <c r="N1064" i="1"/>
  <c r="O1064" i="1" s="1"/>
  <c r="L1064" i="1"/>
  <c r="J1064" i="1"/>
  <c r="I1064" i="1"/>
  <c r="N1063" i="1"/>
  <c r="O1063" i="1" s="1"/>
  <c r="L1063" i="1"/>
  <c r="I1063" i="1"/>
  <c r="J1063" i="1" s="1"/>
  <c r="N1062" i="1"/>
  <c r="O1062" i="1" s="1"/>
  <c r="L1062" i="1"/>
  <c r="I1062" i="1"/>
  <c r="J1062" i="1" s="1"/>
  <c r="O1061" i="1"/>
  <c r="N1061" i="1"/>
  <c r="L1061" i="1"/>
  <c r="I1061" i="1"/>
  <c r="J1061" i="1" s="1"/>
  <c r="N1060" i="1"/>
  <c r="O1060" i="1" s="1"/>
  <c r="L1060" i="1"/>
  <c r="I1060" i="1"/>
  <c r="J1060" i="1" s="1"/>
  <c r="N1059" i="1"/>
  <c r="O1059" i="1" s="1"/>
  <c r="L1059" i="1"/>
  <c r="I1059" i="1"/>
  <c r="J1059" i="1" s="1"/>
  <c r="N1058" i="1"/>
  <c r="O1058" i="1" s="1"/>
  <c r="L1058" i="1"/>
  <c r="I1058" i="1"/>
  <c r="J1058" i="1" s="1"/>
  <c r="N1057" i="1"/>
  <c r="O1057" i="1" s="1"/>
  <c r="L1057" i="1"/>
  <c r="J1057" i="1"/>
  <c r="I1057" i="1"/>
  <c r="N1056" i="1"/>
  <c r="O1056" i="1" s="1"/>
  <c r="L1056" i="1"/>
  <c r="J1056" i="1"/>
  <c r="I1056" i="1"/>
  <c r="N1055" i="1"/>
  <c r="O1055" i="1" s="1"/>
  <c r="L1055" i="1"/>
  <c r="I1055" i="1"/>
  <c r="J1055" i="1" s="1"/>
  <c r="N1054" i="1"/>
  <c r="O1054" i="1" s="1"/>
  <c r="L1054" i="1"/>
  <c r="I1054" i="1"/>
  <c r="J1054" i="1" s="1"/>
  <c r="O1053" i="1"/>
  <c r="N1053" i="1"/>
  <c r="L1053" i="1"/>
  <c r="J1053" i="1"/>
  <c r="I1053" i="1"/>
  <c r="N1052" i="1"/>
  <c r="O1052" i="1" s="1"/>
  <c r="L1052" i="1"/>
  <c r="J1052" i="1"/>
  <c r="I1052" i="1"/>
  <c r="N1051" i="1"/>
  <c r="O1051" i="1" s="1"/>
  <c r="L1051" i="1"/>
  <c r="I1051" i="1"/>
  <c r="J1051" i="1" s="1"/>
  <c r="N1050" i="1"/>
  <c r="O1050" i="1" s="1"/>
  <c r="L1050" i="1"/>
  <c r="I1050" i="1"/>
  <c r="J1050" i="1" s="1"/>
  <c r="O1049" i="1"/>
  <c r="N1049" i="1"/>
  <c r="L1049" i="1"/>
  <c r="I1049" i="1"/>
  <c r="J1049" i="1" s="1"/>
  <c r="N1048" i="1"/>
  <c r="O1048" i="1" s="1"/>
  <c r="L1048" i="1"/>
  <c r="I1048" i="1"/>
  <c r="J1048" i="1" s="1"/>
  <c r="N1047" i="1"/>
  <c r="O1047" i="1" s="1"/>
  <c r="L1047" i="1"/>
  <c r="I1047" i="1"/>
  <c r="J1047" i="1" s="1"/>
  <c r="N1046" i="1"/>
  <c r="O1046" i="1" s="1"/>
  <c r="L1046" i="1"/>
  <c r="I1046" i="1"/>
  <c r="J1046" i="1" s="1"/>
  <c r="N1045" i="1"/>
  <c r="O1045" i="1" s="1"/>
  <c r="L1045" i="1"/>
  <c r="I1045" i="1"/>
  <c r="J1045" i="1" s="1"/>
  <c r="N1044" i="1"/>
  <c r="O1044" i="1" s="1"/>
  <c r="L1044" i="1"/>
  <c r="I1044" i="1"/>
  <c r="J1044" i="1" s="1"/>
  <c r="N1043" i="1"/>
  <c r="O1043" i="1" s="1"/>
  <c r="L1043" i="1"/>
  <c r="I1043" i="1"/>
  <c r="J1043" i="1" s="1"/>
  <c r="N1042" i="1"/>
  <c r="O1042" i="1" s="1"/>
  <c r="L1042" i="1"/>
  <c r="I1042" i="1"/>
  <c r="J1042" i="1" s="1"/>
  <c r="N1041" i="1"/>
  <c r="O1041" i="1" s="1"/>
  <c r="L1041" i="1"/>
  <c r="J1041" i="1"/>
  <c r="I1041" i="1"/>
  <c r="N1040" i="1"/>
  <c r="O1040" i="1" s="1"/>
  <c r="L1040" i="1"/>
  <c r="J1040" i="1"/>
  <c r="I1040" i="1"/>
  <c r="N1039" i="1"/>
  <c r="O1039" i="1" s="1"/>
  <c r="L1039" i="1"/>
  <c r="I1039" i="1"/>
  <c r="J1039" i="1" s="1"/>
  <c r="N1038" i="1"/>
  <c r="O1038" i="1" s="1"/>
  <c r="L1038" i="1"/>
  <c r="I1038" i="1"/>
  <c r="J1038" i="1" s="1"/>
  <c r="O1037" i="1"/>
  <c r="N1037" i="1"/>
  <c r="L1037" i="1"/>
  <c r="I1037" i="1"/>
  <c r="J1037" i="1" s="1"/>
  <c r="N1036" i="1"/>
  <c r="O1036" i="1" s="1"/>
  <c r="L1036" i="1"/>
  <c r="I1036" i="1"/>
  <c r="J1036" i="1" s="1"/>
  <c r="N1035" i="1"/>
  <c r="O1035" i="1" s="1"/>
  <c r="L1035" i="1"/>
  <c r="I1035" i="1"/>
  <c r="J1035" i="1" s="1"/>
  <c r="N1034" i="1"/>
  <c r="O1034" i="1" s="1"/>
  <c r="L1034" i="1"/>
  <c r="I1034" i="1"/>
  <c r="J1034" i="1" s="1"/>
  <c r="N1033" i="1"/>
  <c r="O1033" i="1" s="1"/>
  <c r="L1033" i="1"/>
  <c r="J1033" i="1"/>
  <c r="I1033" i="1"/>
  <c r="N1032" i="1"/>
  <c r="O1032" i="1" s="1"/>
  <c r="L1032" i="1"/>
  <c r="J1032" i="1"/>
  <c r="I1032" i="1"/>
  <c r="N1031" i="1"/>
  <c r="O1031" i="1" s="1"/>
  <c r="L1031" i="1"/>
  <c r="I1031" i="1"/>
  <c r="J1031" i="1" s="1"/>
  <c r="N1030" i="1"/>
  <c r="O1030" i="1" s="1"/>
  <c r="L1030" i="1"/>
  <c r="I1030" i="1"/>
  <c r="J1030" i="1" s="1"/>
  <c r="O1029" i="1"/>
  <c r="N1029" i="1"/>
  <c r="L1029" i="1"/>
  <c r="I1029" i="1"/>
  <c r="J1029" i="1" s="1"/>
  <c r="N1028" i="1"/>
  <c r="O1028" i="1" s="1"/>
  <c r="L1028" i="1"/>
  <c r="I1028" i="1"/>
  <c r="J1028" i="1" s="1"/>
  <c r="N1027" i="1"/>
  <c r="O1027" i="1" s="1"/>
  <c r="L1027" i="1"/>
  <c r="I1027" i="1"/>
  <c r="J1027" i="1" s="1"/>
  <c r="N1026" i="1"/>
  <c r="O1026" i="1" s="1"/>
  <c r="L1026" i="1"/>
  <c r="I1026" i="1"/>
  <c r="J1026" i="1" s="1"/>
  <c r="N1025" i="1"/>
  <c r="O1025" i="1" s="1"/>
  <c r="L1025" i="1"/>
  <c r="J1025" i="1"/>
  <c r="I1025" i="1"/>
  <c r="N1024" i="1"/>
  <c r="O1024" i="1" s="1"/>
  <c r="L1024" i="1"/>
  <c r="J1024" i="1"/>
  <c r="I1024" i="1"/>
  <c r="N1023" i="1"/>
  <c r="O1023" i="1" s="1"/>
  <c r="L1023" i="1"/>
  <c r="I1023" i="1"/>
  <c r="J1023" i="1" s="1"/>
  <c r="N1022" i="1"/>
  <c r="O1022" i="1" s="1"/>
  <c r="L1022" i="1"/>
  <c r="I1022" i="1"/>
  <c r="J1022" i="1" s="1"/>
  <c r="O1021" i="1"/>
  <c r="N1021" i="1"/>
  <c r="L1021" i="1"/>
  <c r="J1021" i="1"/>
  <c r="I1021" i="1"/>
  <c r="N1020" i="1"/>
  <c r="O1020" i="1" s="1"/>
  <c r="L1020" i="1"/>
  <c r="J1020" i="1"/>
  <c r="I1020" i="1"/>
  <c r="N1019" i="1"/>
  <c r="O1019" i="1" s="1"/>
  <c r="L1019" i="1"/>
  <c r="I1019" i="1"/>
  <c r="J1019" i="1" s="1"/>
  <c r="N1018" i="1"/>
  <c r="O1018" i="1" s="1"/>
  <c r="L1018" i="1"/>
  <c r="I1018" i="1"/>
  <c r="J1018" i="1" s="1"/>
  <c r="O1017" i="1"/>
  <c r="N1017" i="1"/>
  <c r="L1017" i="1"/>
  <c r="I1017" i="1"/>
  <c r="J1017" i="1" s="1"/>
  <c r="N1016" i="1"/>
  <c r="O1016" i="1" s="1"/>
  <c r="L1016" i="1"/>
  <c r="I1016" i="1"/>
  <c r="J1016" i="1" s="1"/>
  <c r="N1015" i="1"/>
  <c r="O1015" i="1" s="1"/>
  <c r="L1015" i="1"/>
  <c r="I1015" i="1"/>
  <c r="J1015" i="1" s="1"/>
  <c r="N1014" i="1"/>
  <c r="O1014" i="1" s="1"/>
  <c r="L1014" i="1"/>
  <c r="I1014" i="1"/>
  <c r="J1014" i="1" s="1"/>
  <c r="N1013" i="1"/>
  <c r="O1013" i="1" s="1"/>
  <c r="L1013" i="1"/>
  <c r="I1013" i="1"/>
  <c r="J1013" i="1" s="1"/>
  <c r="N1012" i="1"/>
  <c r="O1012" i="1" s="1"/>
  <c r="L1012" i="1"/>
  <c r="I1012" i="1"/>
  <c r="J1012" i="1" s="1"/>
  <c r="N1011" i="1"/>
  <c r="O1011" i="1" s="1"/>
  <c r="L1011" i="1"/>
  <c r="I1011" i="1"/>
  <c r="J1011" i="1" s="1"/>
  <c r="N1010" i="1"/>
  <c r="O1010" i="1" s="1"/>
  <c r="L1010" i="1"/>
  <c r="I1010" i="1"/>
  <c r="J1010" i="1" s="1"/>
  <c r="N1009" i="1"/>
  <c r="O1009" i="1" s="1"/>
  <c r="L1009" i="1"/>
  <c r="J1009" i="1"/>
  <c r="I1009" i="1"/>
  <c r="N1008" i="1"/>
  <c r="O1008" i="1" s="1"/>
  <c r="L1008" i="1"/>
  <c r="J1008" i="1"/>
  <c r="I1008" i="1"/>
  <c r="N1007" i="1"/>
  <c r="O1007" i="1" s="1"/>
  <c r="L1007" i="1"/>
  <c r="I1007" i="1"/>
  <c r="J1007" i="1" s="1"/>
  <c r="N1006" i="1"/>
  <c r="O1006" i="1" s="1"/>
  <c r="L1006" i="1"/>
  <c r="I1006" i="1"/>
  <c r="J1006" i="1" s="1"/>
  <c r="O1005" i="1"/>
  <c r="N1005" i="1"/>
  <c r="L1005" i="1"/>
  <c r="I1005" i="1"/>
  <c r="J1005" i="1" s="1"/>
  <c r="N1004" i="1"/>
  <c r="O1004" i="1" s="1"/>
  <c r="L1004" i="1"/>
  <c r="I1004" i="1"/>
  <c r="J1004" i="1" s="1"/>
  <c r="N1003" i="1"/>
  <c r="O1003" i="1" s="1"/>
  <c r="L1003" i="1"/>
  <c r="I1003" i="1"/>
  <c r="J1003" i="1" s="1"/>
  <c r="N1002" i="1"/>
  <c r="O1002" i="1" s="1"/>
  <c r="L1002" i="1"/>
  <c r="I1002" i="1"/>
  <c r="J1002" i="1" s="1"/>
  <c r="N1001" i="1"/>
  <c r="O1001" i="1" s="1"/>
  <c r="L1001" i="1"/>
  <c r="J1001" i="1"/>
  <c r="I1001" i="1"/>
  <c r="N1000" i="1"/>
  <c r="O1000" i="1" s="1"/>
  <c r="L1000" i="1"/>
  <c r="J1000" i="1"/>
  <c r="I1000" i="1"/>
  <c r="N999" i="1"/>
  <c r="O999" i="1" s="1"/>
  <c r="L999" i="1"/>
  <c r="I999" i="1"/>
  <c r="J999" i="1" s="1"/>
  <c r="N998" i="1"/>
  <c r="O998" i="1" s="1"/>
  <c r="L998" i="1"/>
  <c r="I998" i="1"/>
  <c r="J998" i="1" s="1"/>
  <c r="O997" i="1"/>
  <c r="N997" i="1"/>
  <c r="L997" i="1"/>
  <c r="I997" i="1"/>
  <c r="J997" i="1" s="1"/>
  <c r="N996" i="1"/>
  <c r="O996" i="1" s="1"/>
  <c r="L996" i="1"/>
  <c r="I996" i="1"/>
  <c r="J996" i="1" s="1"/>
  <c r="N995" i="1"/>
  <c r="O995" i="1" s="1"/>
  <c r="L995" i="1"/>
  <c r="I995" i="1"/>
  <c r="J995" i="1" s="1"/>
  <c r="N994" i="1"/>
  <c r="O994" i="1" s="1"/>
  <c r="L994" i="1"/>
  <c r="I994" i="1"/>
  <c r="J994" i="1" s="1"/>
  <c r="N993" i="1"/>
  <c r="O993" i="1" s="1"/>
  <c r="L993" i="1"/>
  <c r="J993" i="1"/>
  <c r="I993" i="1"/>
  <c r="N992" i="1"/>
  <c r="O992" i="1" s="1"/>
  <c r="L992" i="1"/>
  <c r="J992" i="1"/>
  <c r="I992" i="1"/>
  <c r="N991" i="1"/>
  <c r="O991" i="1" s="1"/>
  <c r="L991" i="1"/>
  <c r="I991" i="1"/>
  <c r="J991" i="1" s="1"/>
  <c r="N990" i="1"/>
  <c r="O990" i="1" s="1"/>
  <c r="L990" i="1"/>
  <c r="I990" i="1"/>
  <c r="J990" i="1" s="1"/>
  <c r="O989" i="1"/>
  <c r="N989" i="1"/>
  <c r="L989" i="1"/>
  <c r="J989" i="1"/>
  <c r="I989" i="1"/>
  <c r="N988" i="1"/>
  <c r="O988" i="1" s="1"/>
  <c r="L988" i="1"/>
  <c r="J988" i="1"/>
  <c r="I988" i="1"/>
  <c r="N987" i="1"/>
  <c r="O987" i="1" s="1"/>
  <c r="L987" i="1"/>
  <c r="I987" i="1"/>
  <c r="J987" i="1" s="1"/>
  <c r="N986" i="1"/>
  <c r="O986" i="1" s="1"/>
  <c r="L986" i="1"/>
  <c r="I986" i="1"/>
  <c r="J986" i="1" s="1"/>
  <c r="O985" i="1"/>
  <c r="N985" i="1"/>
  <c r="L985" i="1"/>
  <c r="I985" i="1"/>
  <c r="J985" i="1" s="1"/>
  <c r="N984" i="1"/>
  <c r="O984" i="1" s="1"/>
  <c r="L984" i="1"/>
  <c r="I984" i="1"/>
  <c r="J984" i="1" s="1"/>
  <c r="N983" i="1"/>
  <c r="O983" i="1" s="1"/>
  <c r="L983" i="1"/>
  <c r="I983" i="1"/>
  <c r="J983" i="1" s="1"/>
  <c r="N982" i="1"/>
  <c r="O982" i="1" s="1"/>
  <c r="L982" i="1"/>
  <c r="I982" i="1"/>
  <c r="J982" i="1" s="1"/>
  <c r="N981" i="1"/>
  <c r="O981" i="1" s="1"/>
  <c r="L981" i="1"/>
  <c r="J981" i="1"/>
  <c r="I981" i="1"/>
  <c r="N980" i="1"/>
  <c r="O980" i="1" s="1"/>
  <c r="L980" i="1"/>
  <c r="J980" i="1"/>
  <c r="I980" i="1"/>
  <c r="N979" i="1"/>
  <c r="O979" i="1" s="1"/>
  <c r="L979" i="1"/>
  <c r="I979" i="1"/>
  <c r="J979" i="1" s="1"/>
  <c r="N978" i="1"/>
  <c r="O978" i="1" s="1"/>
  <c r="L978" i="1"/>
  <c r="I978" i="1"/>
  <c r="J978" i="1" s="1"/>
  <c r="O977" i="1"/>
  <c r="N977" i="1"/>
  <c r="L977" i="1"/>
  <c r="I977" i="1"/>
  <c r="J977" i="1" s="1"/>
  <c r="N976" i="1"/>
  <c r="O976" i="1" s="1"/>
  <c r="L976" i="1"/>
  <c r="I976" i="1"/>
  <c r="J976" i="1" s="1"/>
  <c r="N975" i="1"/>
  <c r="O975" i="1" s="1"/>
  <c r="L975" i="1"/>
  <c r="I975" i="1"/>
  <c r="J975" i="1" s="1"/>
  <c r="N974" i="1"/>
  <c r="O974" i="1" s="1"/>
  <c r="L974" i="1"/>
  <c r="I974" i="1"/>
  <c r="J974" i="1" s="1"/>
  <c r="N973" i="1"/>
  <c r="O973" i="1" s="1"/>
  <c r="L973" i="1"/>
  <c r="J973" i="1"/>
  <c r="I973" i="1"/>
  <c r="N972" i="1"/>
  <c r="O972" i="1" s="1"/>
  <c r="L972" i="1"/>
  <c r="J972" i="1"/>
  <c r="I972" i="1"/>
  <c r="N971" i="1"/>
  <c r="O971" i="1" s="1"/>
  <c r="L971" i="1"/>
  <c r="I971" i="1"/>
  <c r="J971" i="1" s="1"/>
  <c r="N970" i="1"/>
  <c r="O970" i="1" s="1"/>
  <c r="L970" i="1"/>
  <c r="I970" i="1"/>
  <c r="J970" i="1" s="1"/>
  <c r="O969" i="1"/>
  <c r="N969" i="1"/>
  <c r="L969" i="1"/>
  <c r="I969" i="1"/>
  <c r="J969" i="1" s="1"/>
  <c r="N968" i="1"/>
  <c r="O968" i="1" s="1"/>
  <c r="L968" i="1"/>
  <c r="I968" i="1"/>
  <c r="J968" i="1" s="1"/>
  <c r="N967" i="1"/>
  <c r="O967" i="1" s="1"/>
  <c r="L967" i="1"/>
  <c r="I967" i="1"/>
  <c r="J967" i="1" s="1"/>
  <c r="N966" i="1"/>
  <c r="O966" i="1" s="1"/>
  <c r="L966" i="1"/>
  <c r="I966" i="1"/>
  <c r="J966" i="1" s="1"/>
  <c r="N965" i="1"/>
  <c r="O965" i="1" s="1"/>
  <c r="L965" i="1"/>
  <c r="J965" i="1"/>
  <c r="I965" i="1"/>
  <c r="N964" i="1"/>
  <c r="O964" i="1" s="1"/>
  <c r="L964" i="1"/>
  <c r="J964" i="1"/>
  <c r="I964" i="1"/>
  <c r="N963" i="1"/>
  <c r="O963" i="1" s="1"/>
  <c r="L963" i="1"/>
  <c r="I963" i="1"/>
  <c r="J963" i="1" s="1"/>
  <c r="N962" i="1"/>
  <c r="O962" i="1" s="1"/>
  <c r="L962" i="1"/>
  <c r="I962" i="1"/>
  <c r="J962" i="1" s="1"/>
  <c r="O961" i="1"/>
  <c r="N961" i="1"/>
  <c r="L961" i="1"/>
  <c r="I961" i="1"/>
  <c r="J961" i="1" s="1"/>
  <c r="N960" i="1"/>
  <c r="O960" i="1" s="1"/>
  <c r="L960" i="1"/>
  <c r="I960" i="1"/>
  <c r="J960" i="1" s="1"/>
  <c r="N959" i="1"/>
  <c r="O959" i="1" s="1"/>
  <c r="L959" i="1"/>
  <c r="I959" i="1"/>
  <c r="J959" i="1" s="1"/>
  <c r="N958" i="1"/>
  <c r="O958" i="1" s="1"/>
  <c r="L958" i="1"/>
  <c r="I958" i="1"/>
  <c r="J958" i="1" s="1"/>
  <c r="N957" i="1"/>
  <c r="O957" i="1" s="1"/>
  <c r="L957" i="1"/>
  <c r="J957" i="1"/>
  <c r="I957" i="1"/>
  <c r="N956" i="1"/>
  <c r="O956" i="1" s="1"/>
  <c r="L956" i="1"/>
  <c r="J956" i="1"/>
  <c r="I956" i="1"/>
  <c r="N955" i="1"/>
  <c r="O955" i="1" s="1"/>
  <c r="L955" i="1"/>
  <c r="I955" i="1"/>
  <c r="J955" i="1" s="1"/>
  <c r="N954" i="1"/>
  <c r="O954" i="1" s="1"/>
  <c r="L954" i="1"/>
  <c r="I954" i="1"/>
  <c r="J954" i="1" s="1"/>
  <c r="O953" i="1"/>
  <c r="N953" i="1"/>
  <c r="L953" i="1"/>
  <c r="I953" i="1"/>
  <c r="J953" i="1" s="1"/>
  <c r="N952" i="1"/>
  <c r="O952" i="1" s="1"/>
  <c r="L952" i="1"/>
  <c r="I952" i="1"/>
  <c r="J952" i="1" s="1"/>
  <c r="N951" i="1"/>
  <c r="O951" i="1" s="1"/>
  <c r="L951" i="1"/>
  <c r="I951" i="1"/>
  <c r="J951" i="1" s="1"/>
  <c r="N950" i="1"/>
  <c r="O950" i="1" s="1"/>
  <c r="L950" i="1"/>
  <c r="I950" i="1"/>
  <c r="J950" i="1" s="1"/>
  <c r="N949" i="1"/>
  <c r="O949" i="1" s="1"/>
  <c r="L949" i="1"/>
  <c r="J949" i="1"/>
  <c r="I949" i="1"/>
  <c r="N948" i="1"/>
  <c r="O948" i="1" s="1"/>
  <c r="L948" i="1"/>
  <c r="J948" i="1"/>
  <c r="I948" i="1"/>
  <c r="N947" i="1"/>
  <c r="O947" i="1" s="1"/>
  <c r="L947" i="1"/>
  <c r="I947" i="1"/>
  <c r="J947" i="1" s="1"/>
  <c r="N946" i="1"/>
  <c r="O946" i="1" s="1"/>
  <c r="L946" i="1"/>
  <c r="I946" i="1"/>
  <c r="J946" i="1" s="1"/>
  <c r="O945" i="1"/>
  <c r="N945" i="1"/>
  <c r="L945" i="1"/>
  <c r="I945" i="1"/>
  <c r="J945" i="1" s="1"/>
  <c r="N944" i="1"/>
  <c r="O944" i="1" s="1"/>
  <c r="L944" i="1"/>
  <c r="I944" i="1"/>
  <c r="J944" i="1" s="1"/>
  <c r="N943" i="1"/>
  <c r="O943" i="1" s="1"/>
  <c r="L943" i="1"/>
  <c r="I943" i="1"/>
  <c r="J943" i="1" s="1"/>
  <c r="N942" i="1"/>
  <c r="O942" i="1" s="1"/>
  <c r="L942" i="1"/>
  <c r="I942" i="1"/>
  <c r="J942" i="1" s="1"/>
  <c r="N941" i="1"/>
  <c r="O941" i="1" s="1"/>
  <c r="L941" i="1"/>
  <c r="J941" i="1"/>
  <c r="I941" i="1"/>
  <c r="N940" i="1"/>
  <c r="O940" i="1" s="1"/>
  <c r="L940" i="1"/>
  <c r="J940" i="1"/>
  <c r="I940" i="1"/>
  <c r="N939" i="1"/>
  <c r="O939" i="1" s="1"/>
  <c r="L939" i="1"/>
  <c r="I939" i="1"/>
  <c r="J939" i="1" s="1"/>
  <c r="N938" i="1"/>
  <c r="O938" i="1" s="1"/>
  <c r="L938" i="1"/>
  <c r="I938" i="1"/>
  <c r="J938" i="1" s="1"/>
  <c r="O937" i="1"/>
  <c r="N937" i="1"/>
  <c r="L937" i="1"/>
  <c r="I937" i="1"/>
  <c r="J937" i="1" s="1"/>
  <c r="N936" i="1"/>
  <c r="O936" i="1" s="1"/>
  <c r="L936" i="1"/>
  <c r="I936" i="1"/>
  <c r="J936" i="1" s="1"/>
  <c r="N935" i="1"/>
  <c r="O935" i="1" s="1"/>
  <c r="L935" i="1"/>
  <c r="I935" i="1"/>
  <c r="J935" i="1" s="1"/>
  <c r="N934" i="1"/>
  <c r="O934" i="1" s="1"/>
  <c r="L934" i="1"/>
  <c r="I934" i="1"/>
  <c r="J934" i="1" s="1"/>
  <c r="N933" i="1"/>
  <c r="O933" i="1" s="1"/>
  <c r="L933" i="1"/>
  <c r="J933" i="1"/>
  <c r="I933" i="1"/>
  <c r="N932" i="1"/>
  <c r="O932" i="1" s="1"/>
  <c r="L932" i="1"/>
  <c r="J932" i="1"/>
  <c r="I932" i="1"/>
  <c r="N931" i="1"/>
  <c r="O931" i="1" s="1"/>
  <c r="L931" i="1"/>
  <c r="I931" i="1"/>
  <c r="J931" i="1" s="1"/>
  <c r="N930" i="1"/>
  <c r="O930" i="1" s="1"/>
  <c r="L930" i="1"/>
  <c r="I930" i="1"/>
  <c r="J930" i="1" s="1"/>
  <c r="O929" i="1"/>
  <c r="N929" i="1"/>
  <c r="L929" i="1"/>
  <c r="I929" i="1"/>
  <c r="J929" i="1" s="1"/>
  <c r="N928" i="1"/>
  <c r="O928" i="1" s="1"/>
  <c r="L928" i="1"/>
  <c r="I928" i="1"/>
  <c r="J928" i="1" s="1"/>
  <c r="N927" i="1"/>
  <c r="O927" i="1" s="1"/>
  <c r="L927" i="1"/>
  <c r="I927" i="1"/>
  <c r="J927" i="1" s="1"/>
  <c r="N926" i="1"/>
  <c r="O926" i="1" s="1"/>
  <c r="L926" i="1"/>
  <c r="I926" i="1"/>
  <c r="J926" i="1" s="1"/>
  <c r="N925" i="1"/>
  <c r="O925" i="1" s="1"/>
  <c r="L925" i="1"/>
  <c r="J925" i="1"/>
  <c r="I925" i="1"/>
  <c r="N924" i="1"/>
  <c r="O924" i="1" s="1"/>
  <c r="L924" i="1"/>
  <c r="J924" i="1"/>
  <c r="I924" i="1"/>
  <c r="N923" i="1"/>
  <c r="O923" i="1" s="1"/>
  <c r="L923" i="1"/>
  <c r="I923" i="1"/>
  <c r="J923" i="1" s="1"/>
  <c r="N922" i="1"/>
  <c r="O922" i="1" s="1"/>
  <c r="L922" i="1"/>
  <c r="I922" i="1"/>
  <c r="J922" i="1" s="1"/>
  <c r="O921" i="1"/>
  <c r="N921" i="1"/>
  <c r="L921" i="1"/>
  <c r="I921" i="1"/>
  <c r="J921" i="1" s="1"/>
  <c r="N920" i="1"/>
  <c r="O920" i="1" s="1"/>
  <c r="L920" i="1"/>
  <c r="I920" i="1"/>
  <c r="J920" i="1" s="1"/>
  <c r="N919" i="1"/>
  <c r="O919" i="1" s="1"/>
  <c r="L919" i="1"/>
  <c r="I919" i="1"/>
  <c r="J919" i="1" s="1"/>
  <c r="N918" i="1"/>
  <c r="O918" i="1" s="1"/>
  <c r="L918" i="1"/>
  <c r="I918" i="1"/>
  <c r="J918" i="1" s="1"/>
  <c r="N917" i="1"/>
  <c r="O917" i="1" s="1"/>
  <c r="L917" i="1"/>
  <c r="J917" i="1"/>
  <c r="I917" i="1"/>
  <c r="N916" i="1"/>
  <c r="O916" i="1" s="1"/>
  <c r="L916" i="1"/>
  <c r="J916" i="1"/>
  <c r="I916" i="1"/>
  <c r="N915" i="1"/>
  <c r="O915" i="1" s="1"/>
  <c r="L915" i="1"/>
  <c r="I915" i="1"/>
  <c r="J915" i="1" s="1"/>
  <c r="N914" i="1"/>
  <c r="O914" i="1" s="1"/>
  <c r="L914" i="1"/>
  <c r="I914" i="1"/>
  <c r="J914" i="1" s="1"/>
  <c r="O913" i="1"/>
  <c r="N913" i="1"/>
  <c r="L913" i="1"/>
  <c r="I913" i="1"/>
  <c r="J913" i="1" s="1"/>
  <c r="N912" i="1"/>
  <c r="O912" i="1" s="1"/>
  <c r="L912" i="1"/>
  <c r="I912" i="1"/>
  <c r="J912" i="1" s="1"/>
  <c r="N911" i="1"/>
  <c r="O911" i="1" s="1"/>
  <c r="L911" i="1"/>
  <c r="I911" i="1"/>
  <c r="J911" i="1" s="1"/>
  <c r="N910" i="1"/>
  <c r="O910" i="1" s="1"/>
  <c r="L910" i="1"/>
  <c r="I910" i="1"/>
  <c r="J910" i="1" s="1"/>
  <c r="N909" i="1"/>
  <c r="O909" i="1" s="1"/>
  <c r="L909" i="1"/>
  <c r="J909" i="1"/>
  <c r="I909" i="1"/>
  <c r="N908" i="1"/>
  <c r="O908" i="1" s="1"/>
  <c r="L908" i="1"/>
  <c r="J908" i="1"/>
  <c r="I908" i="1"/>
  <c r="N907" i="1"/>
  <c r="O907" i="1" s="1"/>
  <c r="L907" i="1"/>
  <c r="I907" i="1"/>
  <c r="J907" i="1" s="1"/>
  <c r="N906" i="1"/>
  <c r="O906" i="1" s="1"/>
  <c r="L906" i="1"/>
  <c r="I906" i="1"/>
  <c r="J906" i="1" s="1"/>
  <c r="O905" i="1"/>
  <c r="N905" i="1"/>
  <c r="L905" i="1"/>
  <c r="I905" i="1"/>
  <c r="J905" i="1" s="1"/>
  <c r="N904" i="1"/>
  <c r="O904" i="1" s="1"/>
  <c r="L904" i="1"/>
  <c r="I904" i="1"/>
  <c r="J904" i="1" s="1"/>
  <c r="N903" i="1"/>
  <c r="O903" i="1" s="1"/>
  <c r="L903" i="1"/>
  <c r="I903" i="1"/>
  <c r="J903" i="1" s="1"/>
  <c r="N902" i="1"/>
  <c r="O902" i="1" s="1"/>
  <c r="L902" i="1"/>
  <c r="I902" i="1"/>
  <c r="J902" i="1" s="1"/>
  <c r="N901" i="1"/>
  <c r="O901" i="1" s="1"/>
  <c r="L901" i="1"/>
  <c r="J901" i="1"/>
  <c r="I901" i="1"/>
  <c r="N900" i="1"/>
  <c r="O900" i="1" s="1"/>
  <c r="L900" i="1"/>
  <c r="J900" i="1"/>
  <c r="I900" i="1"/>
  <c r="N899" i="1"/>
  <c r="O899" i="1" s="1"/>
  <c r="L899" i="1"/>
  <c r="I899" i="1"/>
  <c r="J899" i="1" s="1"/>
  <c r="N898" i="1"/>
  <c r="O898" i="1" s="1"/>
  <c r="L898" i="1"/>
  <c r="I898" i="1"/>
  <c r="J898" i="1" s="1"/>
  <c r="O897" i="1"/>
  <c r="N897" i="1"/>
  <c r="L897" i="1"/>
  <c r="I897" i="1"/>
  <c r="J897" i="1" s="1"/>
  <c r="N896" i="1"/>
  <c r="O896" i="1" s="1"/>
  <c r="L896" i="1"/>
  <c r="I896" i="1"/>
  <c r="J896" i="1" s="1"/>
  <c r="N895" i="1"/>
  <c r="O895" i="1" s="1"/>
  <c r="L895" i="1"/>
  <c r="I895" i="1"/>
  <c r="J895" i="1" s="1"/>
  <c r="N894" i="1"/>
  <c r="O894" i="1" s="1"/>
  <c r="L894" i="1"/>
  <c r="I894" i="1"/>
  <c r="J894" i="1" s="1"/>
  <c r="N893" i="1"/>
  <c r="O893" i="1" s="1"/>
  <c r="L893" i="1"/>
  <c r="J893" i="1"/>
  <c r="I893" i="1"/>
  <c r="N892" i="1"/>
  <c r="O892" i="1" s="1"/>
  <c r="L892" i="1"/>
  <c r="J892" i="1"/>
  <c r="I892" i="1"/>
  <c r="N891" i="1"/>
  <c r="O891" i="1" s="1"/>
  <c r="L891" i="1"/>
  <c r="I891" i="1"/>
  <c r="J891" i="1" s="1"/>
  <c r="N890" i="1"/>
  <c r="O890" i="1" s="1"/>
  <c r="L890" i="1"/>
  <c r="I890" i="1"/>
  <c r="J890" i="1" s="1"/>
  <c r="O889" i="1"/>
  <c r="N889" i="1"/>
  <c r="L889" i="1"/>
  <c r="I889" i="1"/>
  <c r="J889" i="1" s="1"/>
  <c r="N888" i="1"/>
  <c r="O888" i="1" s="1"/>
  <c r="L888" i="1"/>
  <c r="I888" i="1"/>
  <c r="J888" i="1" s="1"/>
  <c r="N887" i="1"/>
  <c r="O887" i="1" s="1"/>
  <c r="L887" i="1"/>
  <c r="I887" i="1"/>
  <c r="J887" i="1" s="1"/>
  <c r="N886" i="1"/>
  <c r="O886" i="1" s="1"/>
  <c r="L886" i="1"/>
  <c r="I886" i="1"/>
  <c r="J886" i="1" s="1"/>
  <c r="N885" i="1"/>
  <c r="O885" i="1" s="1"/>
  <c r="L885" i="1"/>
  <c r="J885" i="1"/>
  <c r="I885" i="1"/>
  <c r="N884" i="1"/>
  <c r="O884" i="1" s="1"/>
  <c r="L884" i="1"/>
  <c r="J884" i="1"/>
  <c r="I884" i="1"/>
  <c r="N883" i="1"/>
  <c r="O883" i="1" s="1"/>
  <c r="L883" i="1"/>
  <c r="I883" i="1"/>
  <c r="J883" i="1" s="1"/>
  <c r="N882" i="1"/>
  <c r="O882" i="1" s="1"/>
  <c r="L882" i="1"/>
  <c r="I882" i="1"/>
  <c r="J882" i="1" s="1"/>
  <c r="O881" i="1"/>
  <c r="N881" i="1"/>
  <c r="L881" i="1"/>
  <c r="I881" i="1"/>
  <c r="J881" i="1" s="1"/>
  <c r="N880" i="1"/>
  <c r="O880" i="1" s="1"/>
  <c r="L880" i="1"/>
  <c r="I880" i="1"/>
  <c r="J880" i="1" s="1"/>
  <c r="N879" i="1"/>
  <c r="O879" i="1" s="1"/>
  <c r="L879" i="1"/>
  <c r="I879" i="1"/>
  <c r="J879" i="1" s="1"/>
  <c r="N878" i="1"/>
  <c r="O878" i="1" s="1"/>
  <c r="L878" i="1"/>
  <c r="I878" i="1"/>
  <c r="J878" i="1" s="1"/>
  <c r="N877" i="1"/>
  <c r="O877" i="1" s="1"/>
  <c r="L877" i="1"/>
  <c r="J877" i="1"/>
  <c r="I877" i="1"/>
  <c r="N876" i="1"/>
  <c r="O876" i="1" s="1"/>
  <c r="L876" i="1"/>
  <c r="J876" i="1"/>
  <c r="I876" i="1"/>
  <c r="N875" i="1"/>
  <c r="O875" i="1" s="1"/>
  <c r="L875" i="1"/>
  <c r="I875" i="1"/>
  <c r="J875" i="1" s="1"/>
  <c r="N874" i="1"/>
  <c r="O874" i="1" s="1"/>
  <c r="L874" i="1"/>
  <c r="I874" i="1"/>
  <c r="J874" i="1" s="1"/>
  <c r="O873" i="1"/>
  <c r="N873" i="1"/>
  <c r="L873" i="1"/>
  <c r="I873" i="1"/>
  <c r="J873" i="1" s="1"/>
  <c r="N872" i="1"/>
  <c r="O872" i="1" s="1"/>
  <c r="L872" i="1"/>
  <c r="I872" i="1"/>
  <c r="J872" i="1" s="1"/>
  <c r="N871" i="1"/>
  <c r="O871" i="1" s="1"/>
  <c r="L871" i="1"/>
  <c r="I871" i="1"/>
  <c r="J871" i="1" s="1"/>
  <c r="N870" i="1"/>
  <c r="O870" i="1" s="1"/>
  <c r="L870" i="1"/>
  <c r="I870" i="1"/>
  <c r="J870" i="1" s="1"/>
  <c r="N869" i="1"/>
  <c r="O869" i="1" s="1"/>
  <c r="L869" i="1"/>
  <c r="J869" i="1"/>
  <c r="I869" i="1"/>
  <c r="N868" i="1"/>
  <c r="O868" i="1" s="1"/>
  <c r="L868" i="1"/>
  <c r="J868" i="1"/>
  <c r="I868" i="1"/>
  <c r="N867" i="1"/>
  <c r="O867" i="1" s="1"/>
  <c r="L867" i="1"/>
  <c r="I867" i="1"/>
  <c r="J867" i="1" s="1"/>
  <c r="N866" i="1"/>
  <c r="O866" i="1" s="1"/>
  <c r="L866" i="1"/>
  <c r="I866" i="1"/>
  <c r="J866" i="1" s="1"/>
  <c r="O865" i="1"/>
  <c r="N865" i="1"/>
  <c r="L865" i="1"/>
  <c r="I865" i="1"/>
  <c r="J865" i="1" s="1"/>
  <c r="N864" i="1"/>
  <c r="O864" i="1" s="1"/>
  <c r="L864" i="1"/>
  <c r="I864" i="1"/>
  <c r="J864" i="1" s="1"/>
  <c r="N863" i="1"/>
  <c r="O863" i="1" s="1"/>
  <c r="L863" i="1"/>
  <c r="I863" i="1"/>
  <c r="J863" i="1" s="1"/>
  <c r="N862" i="1"/>
  <c r="O862" i="1" s="1"/>
  <c r="L862" i="1"/>
  <c r="I862" i="1"/>
  <c r="J862" i="1" s="1"/>
  <c r="N861" i="1"/>
  <c r="O861" i="1" s="1"/>
  <c r="L861" i="1"/>
  <c r="J861" i="1"/>
  <c r="I861" i="1"/>
  <c r="N860" i="1"/>
  <c r="O860" i="1" s="1"/>
  <c r="L860" i="1"/>
  <c r="J860" i="1"/>
  <c r="I860" i="1"/>
  <c r="N859" i="1"/>
  <c r="O859" i="1" s="1"/>
  <c r="L859" i="1"/>
  <c r="I859" i="1"/>
  <c r="J859" i="1" s="1"/>
  <c r="N858" i="1"/>
  <c r="O858" i="1" s="1"/>
  <c r="L858" i="1"/>
  <c r="I858" i="1"/>
  <c r="J858" i="1" s="1"/>
  <c r="N857" i="1"/>
  <c r="O857" i="1" s="1"/>
  <c r="L857" i="1"/>
  <c r="I857" i="1"/>
  <c r="J857" i="1" s="1"/>
  <c r="N856" i="1"/>
  <c r="O856" i="1" s="1"/>
  <c r="L856" i="1"/>
  <c r="I856" i="1"/>
  <c r="J856" i="1" s="1"/>
  <c r="N855" i="1"/>
  <c r="O855" i="1" s="1"/>
  <c r="L855" i="1"/>
  <c r="I855" i="1"/>
  <c r="J855" i="1" s="1"/>
  <c r="N854" i="1"/>
  <c r="O854" i="1" s="1"/>
  <c r="L854" i="1"/>
  <c r="J854" i="1"/>
  <c r="I854" i="1"/>
  <c r="O853" i="1"/>
  <c r="N853" i="1"/>
  <c r="L853" i="1"/>
  <c r="I853" i="1"/>
  <c r="J853" i="1" s="1"/>
  <c r="N852" i="1"/>
  <c r="O852" i="1" s="1"/>
  <c r="L852" i="1"/>
  <c r="J852" i="1"/>
  <c r="I852" i="1"/>
  <c r="N851" i="1"/>
  <c r="O851" i="1" s="1"/>
  <c r="L851" i="1"/>
  <c r="I851" i="1"/>
  <c r="J851" i="1" s="1"/>
  <c r="N850" i="1"/>
  <c r="O850" i="1" s="1"/>
  <c r="L850" i="1"/>
  <c r="I850" i="1"/>
  <c r="J850" i="1" s="1"/>
  <c r="N849" i="1"/>
  <c r="O849" i="1" s="1"/>
  <c r="L849" i="1"/>
  <c r="I849" i="1"/>
  <c r="J849" i="1" s="1"/>
  <c r="N848" i="1"/>
  <c r="O848" i="1" s="1"/>
  <c r="L848" i="1"/>
  <c r="I848" i="1"/>
  <c r="J848" i="1" s="1"/>
  <c r="N847" i="1"/>
  <c r="O847" i="1" s="1"/>
  <c r="L847" i="1"/>
  <c r="I847" i="1"/>
  <c r="J847" i="1" s="1"/>
  <c r="N846" i="1"/>
  <c r="O846" i="1" s="1"/>
  <c r="L846" i="1"/>
  <c r="J846" i="1"/>
  <c r="I846" i="1"/>
  <c r="O845" i="1"/>
  <c r="N845" i="1"/>
  <c r="L845" i="1"/>
  <c r="I845" i="1"/>
  <c r="J845" i="1" s="1"/>
  <c r="N844" i="1"/>
  <c r="O844" i="1" s="1"/>
  <c r="L844" i="1"/>
  <c r="J844" i="1"/>
  <c r="I844" i="1"/>
  <c r="N843" i="1"/>
  <c r="O843" i="1" s="1"/>
  <c r="L843" i="1"/>
  <c r="I843" i="1"/>
  <c r="J843" i="1" s="1"/>
  <c r="N842" i="1"/>
  <c r="O842" i="1" s="1"/>
  <c r="L842" i="1"/>
  <c r="I842" i="1"/>
  <c r="J842" i="1" s="1"/>
  <c r="N841" i="1"/>
  <c r="O841" i="1" s="1"/>
  <c r="L841" i="1"/>
  <c r="I841" i="1"/>
  <c r="J841" i="1" s="1"/>
  <c r="N840" i="1"/>
  <c r="O840" i="1" s="1"/>
  <c r="L840" i="1"/>
  <c r="I840" i="1"/>
  <c r="J840" i="1" s="1"/>
  <c r="N839" i="1"/>
  <c r="O839" i="1" s="1"/>
  <c r="L839" i="1"/>
  <c r="I839" i="1"/>
  <c r="J839" i="1" s="1"/>
  <c r="N838" i="1"/>
  <c r="O838" i="1" s="1"/>
  <c r="L838" i="1"/>
  <c r="J838" i="1"/>
  <c r="I838" i="1"/>
  <c r="O837" i="1"/>
  <c r="N837" i="1"/>
  <c r="L837" i="1"/>
  <c r="I837" i="1"/>
  <c r="J837" i="1" s="1"/>
  <c r="N836" i="1"/>
  <c r="O836" i="1" s="1"/>
  <c r="L836" i="1"/>
  <c r="J836" i="1"/>
  <c r="I836" i="1"/>
  <c r="N835" i="1"/>
  <c r="O835" i="1" s="1"/>
  <c r="L835" i="1"/>
  <c r="I835" i="1"/>
  <c r="J835" i="1" s="1"/>
  <c r="N834" i="1"/>
  <c r="O834" i="1" s="1"/>
  <c r="L834" i="1"/>
  <c r="I834" i="1"/>
  <c r="J834" i="1" s="1"/>
  <c r="N833" i="1"/>
  <c r="O833" i="1" s="1"/>
  <c r="L833" i="1"/>
  <c r="I833" i="1"/>
  <c r="J833" i="1" s="1"/>
  <c r="N832" i="1"/>
  <c r="O832" i="1" s="1"/>
  <c r="L832" i="1"/>
  <c r="I832" i="1"/>
  <c r="J832" i="1" s="1"/>
  <c r="N831" i="1"/>
  <c r="O831" i="1" s="1"/>
  <c r="L831" i="1"/>
  <c r="I831" i="1"/>
  <c r="J831" i="1" s="1"/>
  <c r="N830" i="1"/>
  <c r="O830" i="1" s="1"/>
  <c r="L830" i="1"/>
  <c r="J830" i="1"/>
  <c r="I830" i="1"/>
  <c r="O829" i="1"/>
  <c r="N829" i="1"/>
  <c r="L829" i="1"/>
  <c r="I829" i="1"/>
  <c r="J829" i="1" s="1"/>
  <c r="N828" i="1"/>
  <c r="O828" i="1" s="1"/>
  <c r="L828" i="1"/>
  <c r="J828" i="1"/>
  <c r="I828" i="1"/>
  <c r="N827" i="1"/>
  <c r="O827" i="1" s="1"/>
  <c r="L827" i="1"/>
  <c r="I827" i="1"/>
  <c r="J827" i="1" s="1"/>
  <c r="N826" i="1"/>
  <c r="O826" i="1" s="1"/>
  <c r="L826" i="1"/>
  <c r="I826" i="1"/>
  <c r="J826" i="1" s="1"/>
  <c r="N825" i="1"/>
  <c r="O825" i="1" s="1"/>
  <c r="L825" i="1"/>
  <c r="I825" i="1"/>
  <c r="J825" i="1" s="1"/>
  <c r="N824" i="1"/>
  <c r="O824" i="1" s="1"/>
  <c r="L824" i="1"/>
  <c r="I824" i="1"/>
  <c r="J824" i="1" s="1"/>
  <c r="N823" i="1"/>
  <c r="O823" i="1" s="1"/>
  <c r="L823" i="1"/>
  <c r="I823" i="1"/>
  <c r="J823" i="1" s="1"/>
  <c r="N822" i="1"/>
  <c r="O822" i="1" s="1"/>
  <c r="L822" i="1"/>
  <c r="J822" i="1"/>
  <c r="I822" i="1"/>
  <c r="O821" i="1"/>
  <c r="N821" i="1"/>
  <c r="L821" i="1"/>
  <c r="I821" i="1"/>
  <c r="J821" i="1" s="1"/>
  <c r="N820" i="1"/>
  <c r="O820" i="1" s="1"/>
  <c r="L820" i="1"/>
  <c r="J820" i="1"/>
  <c r="I820" i="1"/>
  <c r="N819" i="1"/>
  <c r="O819" i="1" s="1"/>
  <c r="L819" i="1"/>
  <c r="I819" i="1"/>
  <c r="J819" i="1" s="1"/>
  <c r="N818" i="1"/>
  <c r="O818" i="1" s="1"/>
  <c r="L818" i="1"/>
  <c r="I818" i="1"/>
  <c r="J818" i="1" s="1"/>
  <c r="N817" i="1"/>
  <c r="O817" i="1" s="1"/>
  <c r="L817" i="1"/>
  <c r="I817" i="1"/>
  <c r="J817" i="1" s="1"/>
  <c r="N816" i="1"/>
  <c r="O816" i="1" s="1"/>
  <c r="L816" i="1"/>
  <c r="I816" i="1"/>
  <c r="J816" i="1" s="1"/>
  <c r="N815" i="1"/>
  <c r="O815" i="1" s="1"/>
  <c r="L815" i="1"/>
  <c r="I815" i="1"/>
  <c r="J815" i="1" s="1"/>
  <c r="N814" i="1"/>
  <c r="O814" i="1" s="1"/>
  <c r="L814" i="1"/>
  <c r="J814" i="1"/>
  <c r="I814" i="1"/>
  <c r="O813" i="1"/>
  <c r="N813" i="1"/>
  <c r="L813" i="1"/>
  <c r="I813" i="1"/>
  <c r="J813" i="1" s="1"/>
  <c r="N812" i="1"/>
  <c r="O812" i="1" s="1"/>
  <c r="L812" i="1"/>
  <c r="J812" i="1"/>
  <c r="I812" i="1"/>
  <c r="N811" i="1"/>
  <c r="O811" i="1" s="1"/>
  <c r="L811" i="1"/>
  <c r="I811" i="1"/>
  <c r="J811" i="1" s="1"/>
  <c r="N810" i="1"/>
  <c r="O810" i="1" s="1"/>
  <c r="L810" i="1"/>
  <c r="I810" i="1"/>
  <c r="J810" i="1" s="1"/>
  <c r="N809" i="1"/>
  <c r="O809" i="1" s="1"/>
  <c r="L809" i="1"/>
  <c r="I809" i="1"/>
  <c r="J809" i="1" s="1"/>
  <c r="N808" i="1"/>
  <c r="O808" i="1" s="1"/>
  <c r="L808" i="1"/>
  <c r="I808" i="1"/>
  <c r="J808" i="1" s="1"/>
  <c r="N807" i="1"/>
  <c r="O807" i="1" s="1"/>
  <c r="L807" i="1"/>
  <c r="J807" i="1"/>
  <c r="I807" i="1"/>
  <c r="O806" i="1"/>
  <c r="N806" i="1"/>
  <c r="L806" i="1"/>
  <c r="I806" i="1"/>
  <c r="J806" i="1" s="1"/>
  <c r="N805" i="1"/>
  <c r="O805" i="1" s="1"/>
  <c r="L805" i="1"/>
  <c r="J805" i="1"/>
  <c r="I805" i="1"/>
  <c r="O804" i="1"/>
  <c r="N804" i="1"/>
  <c r="L804" i="1"/>
  <c r="I804" i="1"/>
  <c r="J804" i="1" s="1"/>
  <c r="N803" i="1"/>
  <c r="O803" i="1" s="1"/>
  <c r="L803" i="1"/>
  <c r="J803" i="1"/>
  <c r="I803" i="1"/>
  <c r="O802" i="1"/>
  <c r="N802" i="1"/>
  <c r="L802" i="1"/>
  <c r="I802" i="1"/>
  <c r="J802" i="1" s="1"/>
  <c r="N801" i="1"/>
  <c r="O801" i="1" s="1"/>
  <c r="L801" i="1"/>
  <c r="J801" i="1"/>
  <c r="I801" i="1"/>
  <c r="O800" i="1"/>
  <c r="N800" i="1"/>
  <c r="L800" i="1"/>
  <c r="I800" i="1"/>
  <c r="J800" i="1" s="1"/>
  <c r="N799" i="1"/>
  <c r="O799" i="1" s="1"/>
  <c r="L799" i="1"/>
  <c r="J799" i="1"/>
  <c r="I799" i="1"/>
  <c r="O798" i="1"/>
  <c r="N798" i="1"/>
  <c r="L798" i="1"/>
  <c r="I798" i="1"/>
  <c r="J798" i="1" s="1"/>
  <c r="N797" i="1"/>
  <c r="O797" i="1" s="1"/>
  <c r="L797" i="1"/>
  <c r="J797" i="1"/>
  <c r="I797" i="1"/>
  <c r="O796" i="1"/>
  <c r="N796" i="1"/>
  <c r="L796" i="1"/>
  <c r="I796" i="1"/>
  <c r="J796" i="1" s="1"/>
  <c r="N795" i="1"/>
  <c r="O795" i="1" s="1"/>
  <c r="L795" i="1"/>
  <c r="J795" i="1"/>
  <c r="I795" i="1"/>
  <c r="O794" i="1"/>
  <c r="N794" i="1"/>
  <c r="L794" i="1"/>
  <c r="I794" i="1"/>
  <c r="J794" i="1" s="1"/>
  <c r="N793" i="1"/>
  <c r="O793" i="1" s="1"/>
  <c r="L793" i="1"/>
  <c r="J793" i="1"/>
  <c r="I793" i="1"/>
  <c r="O792" i="1"/>
  <c r="N792" i="1"/>
  <c r="L792" i="1"/>
  <c r="I792" i="1"/>
  <c r="J792" i="1" s="1"/>
  <c r="N791" i="1"/>
  <c r="O791" i="1" s="1"/>
  <c r="L791" i="1"/>
  <c r="J791" i="1"/>
  <c r="I791" i="1"/>
  <c r="O790" i="1"/>
  <c r="N790" i="1"/>
  <c r="L790" i="1"/>
  <c r="I790" i="1"/>
  <c r="J790" i="1" s="1"/>
  <c r="N789" i="1"/>
  <c r="O789" i="1" s="1"/>
  <c r="L789" i="1"/>
  <c r="J789" i="1"/>
  <c r="I789" i="1"/>
  <c r="O788" i="1"/>
  <c r="N788" i="1"/>
  <c r="L788" i="1"/>
  <c r="I788" i="1"/>
  <c r="J788" i="1" s="1"/>
  <c r="N787" i="1"/>
  <c r="O787" i="1" s="1"/>
  <c r="L787" i="1"/>
  <c r="J787" i="1"/>
  <c r="I787" i="1"/>
  <c r="O786" i="1"/>
  <c r="N786" i="1"/>
  <c r="L786" i="1"/>
  <c r="I786" i="1"/>
  <c r="J786" i="1" s="1"/>
  <c r="N785" i="1"/>
  <c r="O785" i="1" s="1"/>
  <c r="L785" i="1"/>
  <c r="J785" i="1"/>
  <c r="I785" i="1"/>
  <c r="O784" i="1"/>
  <c r="N784" i="1"/>
  <c r="L784" i="1"/>
  <c r="I784" i="1"/>
  <c r="J784" i="1" s="1"/>
  <c r="N783" i="1"/>
  <c r="O783" i="1" s="1"/>
  <c r="L783" i="1"/>
  <c r="J783" i="1"/>
  <c r="I783" i="1"/>
  <c r="O782" i="1"/>
  <c r="N782" i="1"/>
  <c r="L782" i="1"/>
  <c r="I782" i="1"/>
  <c r="J782" i="1" s="1"/>
  <c r="N781" i="1"/>
  <c r="O781" i="1" s="1"/>
  <c r="L781" i="1"/>
  <c r="J781" i="1"/>
  <c r="I781" i="1"/>
  <c r="O780" i="1"/>
  <c r="N780" i="1"/>
  <c r="L780" i="1"/>
  <c r="I780" i="1"/>
  <c r="J780" i="1" s="1"/>
  <c r="N779" i="1"/>
  <c r="O779" i="1" s="1"/>
  <c r="L779" i="1"/>
  <c r="J779" i="1"/>
  <c r="I779" i="1"/>
  <c r="O778" i="1"/>
  <c r="N778" i="1"/>
  <c r="L778" i="1"/>
  <c r="I778" i="1"/>
  <c r="J778" i="1" s="1"/>
  <c r="N777" i="1"/>
  <c r="O777" i="1" s="1"/>
  <c r="L777" i="1"/>
  <c r="J777" i="1"/>
  <c r="I777" i="1"/>
  <c r="O776" i="1"/>
  <c r="N776" i="1"/>
  <c r="L776" i="1"/>
  <c r="I776" i="1"/>
  <c r="J776" i="1" s="1"/>
  <c r="N775" i="1"/>
  <c r="O775" i="1" s="1"/>
  <c r="L775" i="1"/>
  <c r="J775" i="1"/>
  <c r="I775" i="1"/>
  <c r="O774" i="1"/>
  <c r="N774" i="1"/>
  <c r="L774" i="1"/>
  <c r="I774" i="1"/>
  <c r="J774" i="1" s="1"/>
  <c r="N773" i="1"/>
  <c r="O773" i="1" s="1"/>
  <c r="L773" i="1"/>
  <c r="J773" i="1"/>
  <c r="I773" i="1"/>
  <c r="O772" i="1"/>
  <c r="N772" i="1"/>
  <c r="L772" i="1"/>
  <c r="I772" i="1"/>
  <c r="J772" i="1" s="1"/>
  <c r="N771" i="1"/>
  <c r="O771" i="1" s="1"/>
  <c r="L771" i="1"/>
  <c r="J771" i="1"/>
  <c r="I771" i="1"/>
  <c r="O770" i="1"/>
  <c r="N770" i="1"/>
  <c r="L770" i="1"/>
  <c r="I770" i="1"/>
  <c r="J770" i="1" s="1"/>
  <c r="N769" i="1"/>
  <c r="O769" i="1" s="1"/>
  <c r="L769" i="1"/>
  <c r="J769" i="1"/>
  <c r="I769" i="1"/>
  <c r="O768" i="1"/>
  <c r="N768" i="1"/>
  <c r="L768" i="1"/>
  <c r="I768" i="1"/>
  <c r="J768" i="1" s="1"/>
  <c r="N767" i="1"/>
  <c r="O767" i="1" s="1"/>
  <c r="L767" i="1"/>
  <c r="J767" i="1"/>
  <c r="I767" i="1"/>
  <c r="O766" i="1"/>
  <c r="N766" i="1"/>
  <c r="L766" i="1"/>
  <c r="I766" i="1"/>
  <c r="J766" i="1" s="1"/>
  <c r="N765" i="1"/>
  <c r="O765" i="1" s="1"/>
  <c r="L765" i="1"/>
  <c r="J765" i="1"/>
  <c r="I765" i="1"/>
  <c r="O764" i="1"/>
  <c r="N764" i="1"/>
  <c r="L764" i="1"/>
  <c r="I764" i="1"/>
  <c r="J764" i="1" s="1"/>
  <c r="N763" i="1"/>
  <c r="O763" i="1" s="1"/>
  <c r="L763" i="1"/>
  <c r="J763" i="1"/>
  <c r="I763" i="1"/>
  <c r="O762" i="1"/>
  <c r="N762" i="1"/>
  <c r="L762" i="1"/>
  <c r="I762" i="1"/>
  <c r="J762" i="1" s="1"/>
  <c r="N761" i="1"/>
  <c r="O761" i="1" s="1"/>
  <c r="L761" i="1"/>
  <c r="J761" i="1"/>
  <c r="I761" i="1"/>
  <c r="O760" i="1"/>
  <c r="N760" i="1"/>
  <c r="L760" i="1"/>
  <c r="I760" i="1"/>
  <c r="J760" i="1" s="1"/>
  <c r="N759" i="1"/>
  <c r="O759" i="1" s="1"/>
  <c r="L759" i="1"/>
  <c r="J759" i="1"/>
  <c r="I759" i="1"/>
  <c r="O758" i="1"/>
  <c r="N758" i="1"/>
  <c r="L758" i="1"/>
  <c r="I758" i="1"/>
  <c r="J758" i="1" s="1"/>
  <c r="N757" i="1"/>
  <c r="O757" i="1" s="1"/>
  <c r="L757" i="1"/>
  <c r="J757" i="1"/>
  <c r="I757" i="1"/>
  <c r="O756" i="1"/>
  <c r="N756" i="1"/>
  <c r="L756" i="1"/>
  <c r="I756" i="1"/>
  <c r="J756" i="1" s="1"/>
  <c r="N755" i="1"/>
  <c r="O755" i="1" s="1"/>
  <c r="L755" i="1"/>
  <c r="J755" i="1"/>
  <c r="I755" i="1"/>
  <c r="O754" i="1"/>
  <c r="N754" i="1"/>
  <c r="L754" i="1"/>
  <c r="I754" i="1"/>
  <c r="J754" i="1" s="1"/>
  <c r="N753" i="1"/>
  <c r="O753" i="1" s="1"/>
  <c r="L753" i="1"/>
  <c r="J753" i="1"/>
  <c r="I753" i="1"/>
  <c r="O752" i="1"/>
  <c r="N752" i="1"/>
  <c r="L752" i="1"/>
  <c r="I752" i="1"/>
  <c r="J752" i="1" s="1"/>
  <c r="N751" i="1"/>
  <c r="O751" i="1" s="1"/>
  <c r="L751" i="1"/>
  <c r="J751" i="1"/>
  <c r="I751" i="1"/>
  <c r="O750" i="1"/>
  <c r="N750" i="1"/>
  <c r="L750" i="1"/>
  <c r="I750" i="1"/>
  <c r="J750" i="1" s="1"/>
  <c r="N749" i="1"/>
  <c r="O749" i="1" s="1"/>
  <c r="L749" i="1"/>
  <c r="J749" i="1"/>
  <c r="I749" i="1"/>
  <c r="O748" i="1"/>
  <c r="N748" i="1"/>
  <c r="L748" i="1"/>
  <c r="I748" i="1"/>
  <c r="J748" i="1" s="1"/>
  <c r="N747" i="1"/>
  <c r="O747" i="1" s="1"/>
  <c r="L747" i="1"/>
  <c r="J747" i="1"/>
  <c r="I747" i="1"/>
  <c r="O746" i="1"/>
  <c r="N746" i="1"/>
  <c r="L746" i="1"/>
  <c r="I746" i="1"/>
  <c r="J746" i="1" s="1"/>
  <c r="N745" i="1"/>
  <c r="O745" i="1" s="1"/>
  <c r="L745" i="1"/>
  <c r="J745" i="1"/>
  <c r="I745" i="1"/>
  <c r="O744" i="1"/>
  <c r="N744" i="1"/>
  <c r="L744" i="1"/>
  <c r="I744" i="1"/>
  <c r="J744" i="1" s="1"/>
  <c r="N743" i="1"/>
  <c r="O743" i="1" s="1"/>
  <c r="L743" i="1"/>
  <c r="J743" i="1"/>
  <c r="I743" i="1"/>
  <c r="O742" i="1"/>
  <c r="N742" i="1"/>
  <c r="L742" i="1"/>
  <c r="I742" i="1"/>
  <c r="J742" i="1" s="1"/>
  <c r="N741" i="1"/>
  <c r="O741" i="1" s="1"/>
  <c r="L741" i="1"/>
  <c r="J741" i="1"/>
  <c r="I741" i="1"/>
  <c r="O740" i="1"/>
  <c r="N740" i="1"/>
  <c r="L740" i="1"/>
  <c r="I740" i="1"/>
  <c r="J740" i="1" s="1"/>
  <c r="N739" i="1"/>
  <c r="O739" i="1" s="1"/>
  <c r="L739" i="1"/>
  <c r="J739" i="1"/>
  <c r="I739" i="1"/>
  <c r="O738" i="1"/>
  <c r="N738" i="1"/>
  <c r="L738" i="1"/>
  <c r="I738" i="1"/>
  <c r="J738" i="1" s="1"/>
  <c r="N737" i="1"/>
  <c r="O737" i="1" s="1"/>
  <c r="L737" i="1"/>
  <c r="J737" i="1"/>
  <c r="I737" i="1"/>
  <c r="O736" i="1"/>
  <c r="N736" i="1"/>
  <c r="L736" i="1"/>
  <c r="I736" i="1"/>
  <c r="J736" i="1" s="1"/>
  <c r="N735" i="1"/>
  <c r="O735" i="1" s="1"/>
  <c r="L735" i="1"/>
  <c r="J735" i="1"/>
  <c r="I735" i="1"/>
  <c r="O734" i="1"/>
  <c r="N734" i="1"/>
  <c r="L734" i="1"/>
  <c r="I734" i="1"/>
  <c r="J734" i="1" s="1"/>
  <c r="N733" i="1"/>
  <c r="O733" i="1" s="1"/>
  <c r="L733" i="1"/>
  <c r="J733" i="1"/>
  <c r="I733" i="1"/>
  <c r="O732" i="1"/>
  <c r="N732" i="1"/>
  <c r="L732" i="1"/>
  <c r="I732" i="1"/>
  <c r="J732" i="1" s="1"/>
  <c r="N731" i="1"/>
  <c r="O731" i="1" s="1"/>
  <c r="L731" i="1"/>
  <c r="J731" i="1"/>
  <c r="I731" i="1"/>
  <c r="O730" i="1"/>
  <c r="N730" i="1"/>
  <c r="L730" i="1"/>
  <c r="I730" i="1"/>
  <c r="J730" i="1" s="1"/>
  <c r="N729" i="1"/>
  <c r="O729" i="1" s="1"/>
  <c r="L729" i="1"/>
  <c r="J729" i="1"/>
  <c r="I729" i="1"/>
  <c r="O728" i="1"/>
  <c r="N728" i="1"/>
  <c r="L728" i="1"/>
  <c r="I728" i="1"/>
  <c r="J728" i="1" s="1"/>
  <c r="N727" i="1"/>
  <c r="O727" i="1" s="1"/>
  <c r="L727" i="1"/>
  <c r="J727" i="1"/>
  <c r="I727" i="1"/>
  <c r="O726" i="1"/>
  <c r="N726" i="1"/>
  <c r="L726" i="1"/>
  <c r="I726" i="1"/>
  <c r="J726" i="1" s="1"/>
  <c r="N725" i="1"/>
  <c r="O725" i="1" s="1"/>
  <c r="L725" i="1"/>
  <c r="J725" i="1"/>
  <c r="I725" i="1"/>
  <c r="O724" i="1"/>
  <c r="N724" i="1"/>
  <c r="L724" i="1"/>
  <c r="I724" i="1"/>
  <c r="J724" i="1" s="1"/>
  <c r="N723" i="1"/>
  <c r="O723" i="1" s="1"/>
  <c r="L723" i="1"/>
  <c r="J723" i="1"/>
  <c r="I723" i="1"/>
  <c r="O722" i="1"/>
  <c r="N722" i="1"/>
  <c r="L722" i="1"/>
  <c r="I722" i="1"/>
  <c r="J722" i="1" s="1"/>
  <c r="N721" i="1"/>
  <c r="O721" i="1" s="1"/>
  <c r="L721" i="1"/>
  <c r="J721" i="1"/>
  <c r="I721" i="1"/>
  <c r="O720" i="1"/>
  <c r="N720" i="1"/>
  <c r="L720" i="1"/>
  <c r="I720" i="1"/>
  <c r="J720" i="1" s="1"/>
  <c r="N719" i="1"/>
  <c r="O719" i="1" s="1"/>
  <c r="L719" i="1"/>
  <c r="J719" i="1"/>
  <c r="I719" i="1"/>
  <c r="O718" i="1"/>
  <c r="N718" i="1"/>
  <c r="L718" i="1"/>
  <c r="I718" i="1"/>
  <c r="J718" i="1" s="1"/>
  <c r="N717" i="1"/>
  <c r="O717" i="1" s="1"/>
  <c r="L717" i="1"/>
  <c r="J717" i="1"/>
  <c r="I717" i="1"/>
  <c r="O716" i="1"/>
  <c r="N716" i="1"/>
  <c r="L716" i="1"/>
  <c r="I716" i="1"/>
  <c r="J716" i="1" s="1"/>
  <c r="N715" i="1"/>
  <c r="O715" i="1" s="1"/>
  <c r="L715" i="1"/>
  <c r="J715" i="1"/>
  <c r="I715" i="1"/>
  <c r="O714" i="1"/>
  <c r="N714" i="1"/>
  <c r="L714" i="1"/>
  <c r="I714" i="1"/>
  <c r="J714" i="1" s="1"/>
  <c r="N713" i="1"/>
  <c r="O713" i="1" s="1"/>
  <c r="L713" i="1"/>
  <c r="J713" i="1"/>
  <c r="I713" i="1"/>
  <c r="O712" i="1"/>
  <c r="N712" i="1"/>
  <c r="L712" i="1"/>
  <c r="I712" i="1"/>
  <c r="J712" i="1" s="1"/>
  <c r="N711" i="1"/>
  <c r="O711" i="1" s="1"/>
  <c r="L711" i="1"/>
  <c r="J711" i="1"/>
  <c r="I711" i="1"/>
  <c r="O710" i="1"/>
  <c r="N710" i="1"/>
  <c r="L710" i="1"/>
  <c r="I710" i="1"/>
  <c r="J710" i="1" s="1"/>
  <c r="N709" i="1"/>
  <c r="O709" i="1" s="1"/>
  <c r="L709" i="1"/>
  <c r="J709" i="1"/>
  <c r="I709" i="1"/>
  <c r="O708" i="1"/>
  <c r="N708" i="1"/>
  <c r="L708" i="1"/>
  <c r="I708" i="1"/>
  <c r="J708" i="1" s="1"/>
  <c r="N707" i="1"/>
  <c r="O707" i="1" s="1"/>
  <c r="L707" i="1"/>
  <c r="J707" i="1"/>
  <c r="I707" i="1"/>
  <c r="O706" i="1"/>
  <c r="N706" i="1"/>
  <c r="L706" i="1"/>
  <c r="I706" i="1"/>
  <c r="J706" i="1" s="1"/>
  <c r="N705" i="1"/>
  <c r="O705" i="1" s="1"/>
  <c r="L705" i="1"/>
  <c r="J705" i="1"/>
  <c r="I705" i="1"/>
  <c r="O704" i="1"/>
  <c r="N704" i="1"/>
  <c r="L704" i="1"/>
  <c r="I704" i="1"/>
  <c r="J704" i="1" s="1"/>
  <c r="N703" i="1"/>
  <c r="O703" i="1" s="1"/>
  <c r="L703" i="1"/>
  <c r="J703" i="1"/>
  <c r="I703" i="1"/>
  <c r="O702" i="1"/>
  <c r="N702" i="1"/>
  <c r="L702" i="1"/>
  <c r="I702" i="1"/>
  <c r="J702" i="1" s="1"/>
  <c r="N701" i="1"/>
  <c r="O701" i="1" s="1"/>
  <c r="L701" i="1"/>
  <c r="J701" i="1"/>
  <c r="I701" i="1"/>
  <c r="O700" i="1"/>
  <c r="N700" i="1"/>
  <c r="L700" i="1"/>
  <c r="I700" i="1"/>
  <c r="J700" i="1" s="1"/>
  <c r="N699" i="1"/>
  <c r="O699" i="1" s="1"/>
  <c r="L699" i="1"/>
  <c r="J699" i="1"/>
  <c r="I699" i="1"/>
  <c r="O698" i="1"/>
  <c r="N698" i="1"/>
  <c r="L698" i="1"/>
  <c r="I698" i="1"/>
  <c r="J698" i="1" s="1"/>
  <c r="N697" i="1"/>
  <c r="O697" i="1" s="1"/>
  <c r="L697" i="1"/>
  <c r="J697" i="1"/>
  <c r="I697" i="1"/>
  <c r="O696" i="1"/>
  <c r="N696" i="1"/>
  <c r="L696" i="1"/>
  <c r="I696" i="1"/>
  <c r="J696" i="1" s="1"/>
  <c r="N695" i="1"/>
  <c r="O695" i="1" s="1"/>
  <c r="L695" i="1"/>
  <c r="J695" i="1"/>
  <c r="I695" i="1"/>
  <c r="O694" i="1"/>
  <c r="N694" i="1"/>
  <c r="L694" i="1"/>
  <c r="I694" i="1"/>
  <c r="J694" i="1" s="1"/>
  <c r="N693" i="1"/>
  <c r="O693" i="1" s="1"/>
  <c r="L693" i="1"/>
  <c r="J693" i="1"/>
  <c r="I693" i="1"/>
  <c r="O692" i="1"/>
  <c r="N692" i="1"/>
  <c r="L692" i="1"/>
  <c r="I692" i="1"/>
  <c r="J692" i="1" s="1"/>
  <c r="N691" i="1"/>
  <c r="O691" i="1" s="1"/>
  <c r="L691" i="1"/>
  <c r="J691" i="1"/>
  <c r="I691" i="1"/>
  <c r="O690" i="1"/>
  <c r="N690" i="1"/>
  <c r="L690" i="1"/>
  <c r="I690" i="1"/>
  <c r="J690" i="1" s="1"/>
  <c r="N689" i="1"/>
  <c r="O689" i="1" s="1"/>
  <c r="L689" i="1"/>
  <c r="J689" i="1"/>
  <c r="I689" i="1"/>
  <c r="O688" i="1"/>
  <c r="N688" i="1"/>
  <c r="L688" i="1"/>
  <c r="I688" i="1"/>
  <c r="J688" i="1" s="1"/>
  <c r="N687" i="1"/>
  <c r="O687" i="1" s="1"/>
  <c r="L687" i="1"/>
  <c r="J687" i="1"/>
  <c r="I687" i="1"/>
  <c r="O686" i="1"/>
  <c r="N686" i="1"/>
  <c r="L686" i="1"/>
  <c r="I686" i="1"/>
  <c r="J686" i="1" s="1"/>
  <c r="N685" i="1"/>
  <c r="O685" i="1" s="1"/>
  <c r="L685" i="1"/>
  <c r="J685" i="1"/>
  <c r="I685" i="1"/>
  <c r="O684" i="1"/>
  <c r="N684" i="1"/>
  <c r="L684" i="1"/>
  <c r="I684" i="1"/>
  <c r="J684" i="1" s="1"/>
  <c r="N683" i="1"/>
  <c r="O683" i="1" s="1"/>
  <c r="L683" i="1"/>
  <c r="J683" i="1"/>
  <c r="I683" i="1"/>
  <c r="O682" i="1"/>
  <c r="N682" i="1"/>
  <c r="L682" i="1"/>
  <c r="I682" i="1"/>
  <c r="J682" i="1" s="1"/>
  <c r="N681" i="1"/>
  <c r="O681" i="1" s="1"/>
  <c r="L681" i="1"/>
  <c r="J681" i="1"/>
  <c r="I681" i="1"/>
  <c r="O680" i="1"/>
  <c r="N680" i="1"/>
  <c r="L680" i="1"/>
  <c r="I680" i="1"/>
  <c r="J680" i="1" s="1"/>
  <c r="N679" i="1"/>
  <c r="O679" i="1" s="1"/>
  <c r="L679" i="1"/>
  <c r="J679" i="1"/>
  <c r="I679" i="1"/>
  <c r="O678" i="1"/>
  <c r="N678" i="1"/>
  <c r="L678" i="1"/>
  <c r="I678" i="1"/>
  <c r="J678" i="1" s="1"/>
  <c r="N677" i="1"/>
  <c r="O677" i="1" s="1"/>
  <c r="L677" i="1"/>
  <c r="J677" i="1"/>
  <c r="I677" i="1"/>
  <c r="O676" i="1"/>
  <c r="N676" i="1"/>
  <c r="L676" i="1"/>
  <c r="I676" i="1"/>
  <c r="J676" i="1" s="1"/>
  <c r="N675" i="1"/>
  <c r="O675" i="1" s="1"/>
  <c r="L675" i="1"/>
  <c r="J675" i="1"/>
  <c r="I675" i="1"/>
  <c r="O674" i="1"/>
  <c r="N674" i="1"/>
  <c r="L674" i="1"/>
  <c r="I674" i="1"/>
  <c r="J674" i="1" s="1"/>
  <c r="N673" i="1"/>
  <c r="O673" i="1" s="1"/>
  <c r="L673" i="1"/>
  <c r="J673" i="1"/>
  <c r="I673" i="1"/>
  <c r="O672" i="1"/>
  <c r="N672" i="1"/>
  <c r="L672" i="1"/>
  <c r="I672" i="1"/>
  <c r="J672" i="1" s="1"/>
  <c r="N671" i="1"/>
  <c r="O671" i="1" s="1"/>
  <c r="L671" i="1"/>
  <c r="J671" i="1"/>
  <c r="I671" i="1"/>
  <c r="O670" i="1"/>
  <c r="N670" i="1"/>
  <c r="L670" i="1"/>
  <c r="I670" i="1"/>
  <c r="J670" i="1" s="1"/>
  <c r="N669" i="1"/>
  <c r="O669" i="1" s="1"/>
  <c r="L669" i="1"/>
  <c r="J669" i="1"/>
  <c r="I669" i="1"/>
  <c r="O668" i="1"/>
  <c r="N668" i="1"/>
  <c r="L668" i="1"/>
  <c r="I668" i="1"/>
  <c r="J668" i="1" s="1"/>
  <c r="N667" i="1"/>
  <c r="O667" i="1" s="1"/>
  <c r="L667" i="1"/>
  <c r="J667" i="1"/>
  <c r="I667" i="1"/>
  <c r="O666" i="1"/>
  <c r="N666" i="1"/>
  <c r="L666" i="1"/>
  <c r="I666" i="1"/>
  <c r="J666" i="1" s="1"/>
  <c r="N665" i="1"/>
  <c r="O665" i="1" s="1"/>
  <c r="L665" i="1"/>
  <c r="J665" i="1"/>
  <c r="I665" i="1"/>
  <c r="O664" i="1"/>
  <c r="N664" i="1"/>
  <c r="L664" i="1"/>
  <c r="I664" i="1"/>
  <c r="J664" i="1" s="1"/>
  <c r="N663" i="1"/>
  <c r="O663" i="1" s="1"/>
  <c r="L663" i="1"/>
  <c r="J663" i="1"/>
  <c r="I663" i="1"/>
  <c r="O662" i="1"/>
  <c r="N662" i="1"/>
  <c r="L662" i="1"/>
  <c r="I662" i="1"/>
  <c r="J662" i="1" s="1"/>
  <c r="N661" i="1"/>
  <c r="O661" i="1" s="1"/>
  <c r="L661" i="1"/>
  <c r="J661" i="1"/>
  <c r="I661" i="1"/>
  <c r="O660" i="1"/>
  <c r="N660" i="1"/>
  <c r="L660" i="1"/>
  <c r="I660" i="1"/>
  <c r="J660" i="1" s="1"/>
  <c r="N659" i="1"/>
  <c r="O659" i="1" s="1"/>
  <c r="L659" i="1"/>
  <c r="J659" i="1"/>
  <c r="I659" i="1"/>
  <c r="O658" i="1"/>
  <c r="N658" i="1"/>
  <c r="L658" i="1"/>
  <c r="I658" i="1"/>
  <c r="J658" i="1" s="1"/>
  <c r="N657" i="1"/>
  <c r="O657" i="1" s="1"/>
  <c r="L657" i="1"/>
  <c r="J657" i="1"/>
  <c r="I657" i="1"/>
  <c r="O656" i="1"/>
  <c r="N656" i="1"/>
  <c r="L656" i="1"/>
  <c r="I656" i="1"/>
  <c r="J656" i="1" s="1"/>
  <c r="N655" i="1"/>
  <c r="O655" i="1" s="1"/>
  <c r="L655" i="1"/>
  <c r="J655" i="1"/>
  <c r="I655" i="1"/>
  <c r="O654" i="1"/>
  <c r="N654" i="1"/>
  <c r="L654" i="1"/>
  <c r="I654" i="1"/>
  <c r="J654" i="1" s="1"/>
  <c r="N653" i="1"/>
  <c r="O653" i="1" s="1"/>
  <c r="L653" i="1"/>
  <c r="J653" i="1"/>
  <c r="I653" i="1"/>
  <c r="O652" i="1"/>
  <c r="N652" i="1"/>
  <c r="L652" i="1"/>
  <c r="I652" i="1"/>
  <c r="J652" i="1" s="1"/>
  <c r="N651" i="1"/>
  <c r="O651" i="1" s="1"/>
  <c r="L651" i="1"/>
  <c r="J651" i="1"/>
  <c r="I651" i="1"/>
  <c r="O650" i="1"/>
  <c r="N650" i="1"/>
  <c r="L650" i="1"/>
  <c r="I650" i="1"/>
  <c r="J650" i="1" s="1"/>
  <c r="N649" i="1"/>
  <c r="O649" i="1" s="1"/>
  <c r="L649" i="1"/>
  <c r="J649" i="1"/>
  <c r="I649" i="1"/>
  <c r="O648" i="1"/>
  <c r="N648" i="1"/>
  <c r="L648" i="1"/>
  <c r="I648" i="1"/>
  <c r="J648" i="1" s="1"/>
  <c r="N647" i="1"/>
  <c r="O647" i="1" s="1"/>
  <c r="L647" i="1"/>
  <c r="J647" i="1"/>
  <c r="I647" i="1"/>
  <c r="O646" i="1"/>
  <c r="N646" i="1"/>
  <c r="L646" i="1"/>
  <c r="I646" i="1"/>
  <c r="J646" i="1" s="1"/>
  <c r="N645" i="1"/>
  <c r="O645" i="1" s="1"/>
  <c r="L645" i="1"/>
  <c r="J645" i="1"/>
  <c r="I645" i="1"/>
  <c r="O644" i="1"/>
  <c r="N644" i="1"/>
  <c r="L644" i="1"/>
  <c r="I644" i="1"/>
  <c r="J644" i="1" s="1"/>
  <c r="N643" i="1"/>
  <c r="O643" i="1" s="1"/>
  <c r="L643" i="1"/>
  <c r="J643" i="1"/>
  <c r="I643" i="1"/>
  <c r="O642" i="1"/>
  <c r="N642" i="1"/>
  <c r="L642" i="1"/>
  <c r="I642" i="1"/>
  <c r="J642" i="1" s="1"/>
  <c r="N641" i="1"/>
  <c r="O641" i="1" s="1"/>
  <c r="L641" i="1"/>
  <c r="J641" i="1"/>
  <c r="I641" i="1"/>
  <c r="O640" i="1"/>
  <c r="N640" i="1"/>
  <c r="L640" i="1"/>
  <c r="I640" i="1"/>
  <c r="J640" i="1" s="1"/>
  <c r="N639" i="1"/>
  <c r="O639" i="1" s="1"/>
  <c r="L639" i="1"/>
  <c r="J639" i="1"/>
  <c r="I639" i="1"/>
  <c r="O638" i="1"/>
  <c r="N638" i="1"/>
  <c r="L638" i="1"/>
  <c r="I638" i="1"/>
  <c r="J638" i="1" s="1"/>
  <c r="N637" i="1"/>
  <c r="O637" i="1" s="1"/>
  <c r="L637" i="1"/>
  <c r="J637" i="1"/>
  <c r="I637" i="1"/>
  <c r="O636" i="1"/>
  <c r="N636" i="1"/>
  <c r="L636" i="1"/>
  <c r="I636" i="1"/>
  <c r="J636" i="1" s="1"/>
  <c r="N635" i="1"/>
  <c r="O635" i="1" s="1"/>
  <c r="L635" i="1"/>
  <c r="J635" i="1"/>
  <c r="I635" i="1"/>
  <c r="O634" i="1"/>
  <c r="N634" i="1"/>
  <c r="L634" i="1"/>
  <c r="I634" i="1"/>
  <c r="J634" i="1" s="1"/>
  <c r="N633" i="1"/>
  <c r="O633" i="1" s="1"/>
  <c r="L633" i="1"/>
  <c r="J633" i="1"/>
  <c r="I633" i="1"/>
  <c r="O632" i="1"/>
  <c r="N632" i="1"/>
  <c r="L632" i="1"/>
  <c r="I632" i="1"/>
  <c r="J632" i="1" s="1"/>
  <c r="N631" i="1"/>
  <c r="O631" i="1" s="1"/>
  <c r="L631" i="1"/>
  <c r="J631" i="1"/>
  <c r="I631" i="1"/>
  <c r="O630" i="1"/>
  <c r="N630" i="1"/>
  <c r="L630" i="1"/>
  <c r="I630" i="1"/>
  <c r="J630" i="1" s="1"/>
  <c r="N629" i="1"/>
  <c r="O629" i="1" s="1"/>
  <c r="L629" i="1"/>
  <c r="J629" i="1"/>
  <c r="I629" i="1"/>
  <c r="O628" i="1"/>
  <c r="N628" i="1"/>
  <c r="L628" i="1"/>
  <c r="I628" i="1"/>
  <c r="J628" i="1" s="1"/>
  <c r="N627" i="1"/>
  <c r="O627" i="1" s="1"/>
  <c r="L627" i="1"/>
  <c r="J627" i="1"/>
  <c r="I627" i="1"/>
  <c r="O626" i="1"/>
  <c r="N626" i="1"/>
  <c r="L626" i="1"/>
  <c r="I626" i="1"/>
  <c r="J626" i="1" s="1"/>
  <c r="N625" i="1"/>
  <c r="O625" i="1" s="1"/>
  <c r="L625" i="1"/>
  <c r="J625" i="1"/>
  <c r="I625" i="1"/>
  <c r="O624" i="1"/>
  <c r="N624" i="1"/>
  <c r="L624" i="1"/>
  <c r="I624" i="1"/>
  <c r="J624" i="1" s="1"/>
  <c r="N623" i="1"/>
  <c r="O623" i="1" s="1"/>
  <c r="L623" i="1"/>
  <c r="J623" i="1"/>
  <c r="I623" i="1"/>
  <c r="O622" i="1"/>
  <c r="N622" i="1"/>
  <c r="L622" i="1"/>
  <c r="I622" i="1"/>
  <c r="J622" i="1" s="1"/>
  <c r="N621" i="1"/>
  <c r="O621" i="1" s="1"/>
  <c r="L621" i="1"/>
  <c r="J621" i="1"/>
  <c r="I621" i="1"/>
  <c r="O620" i="1"/>
  <c r="N620" i="1"/>
  <c r="L620" i="1"/>
  <c r="I620" i="1"/>
  <c r="J620" i="1" s="1"/>
  <c r="N619" i="1"/>
  <c r="O619" i="1" s="1"/>
  <c r="L619" i="1"/>
  <c r="J619" i="1"/>
  <c r="I619" i="1"/>
  <c r="O618" i="1"/>
  <c r="N618" i="1"/>
  <c r="L618" i="1"/>
  <c r="I618" i="1"/>
  <c r="J618" i="1" s="1"/>
  <c r="N617" i="1"/>
  <c r="O617" i="1" s="1"/>
  <c r="L617" i="1"/>
  <c r="J617" i="1"/>
  <c r="I617" i="1"/>
  <c r="O616" i="1"/>
  <c r="N616" i="1"/>
  <c r="L616" i="1"/>
  <c r="I616" i="1"/>
  <c r="J616" i="1" s="1"/>
  <c r="N615" i="1"/>
  <c r="O615" i="1" s="1"/>
  <c r="L615" i="1"/>
  <c r="J615" i="1"/>
  <c r="I615" i="1"/>
  <c r="O614" i="1"/>
  <c r="N614" i="1"/>
  <c r="L614" i="1"/>
  <c r="I614" i="1"/>
  <c r="J614" i="1" s="1"/>
  <c r="N613" i="1"/>
  <c r="O613" i="1" s="1"/>
  <c r="L613" i="1"/>
  <c r="J613" i="1"/>
  <c r="I613" i="1"/>
  <c r="O612" i="1"/>
  <c r="N612" i="1"/>
  <c r="L612" i="1"/>
  <c r="I612" i="1"/>
  <c r="J612" i="1" s="1"/>
  <c r="N611" i="1"/>
  <c r="O611" i="1" s="1"/>
  <c r="L611" i="1"/>
  <c r="J611" i="1"/>
  <c r="I611" i="1"/>
  <c r="O610" i="1"/>
  <c r="N610" i="1"/>
  <c r="L610" i="1"/>
  <c r="I610" i="1"/>
  <c r="J610" i="1" s="1"/>
  <c r="N609" i="1"/>
  <c r="O609" i="1" s="1"/>
  <c r="L609" i="1"/>
  <c r="J609" i="1"/>
  <c r="I609" i="1"/>
  <c r="O608" i="1"/>
  <c r="N608" i="1"/>
  <c r="L608" i="1"/>
  <c r="I608" i="1"/>
  <c r="J608" i="1" s="1"/>
  <c r="N607" i="1"/>
  <c r="O607" i="1" s="1"/>
  <c r="L607" i="1"/>
  <c r="J607" i="1"/>
  <c r="I607" i="1"/>
  <c r="O606" i="1"/>
  <c r="N606" i="1"/>
  <c r="L606" i="1"/>
  <c r="I606" i="1"/>
  <c r="J606" i="1" s="1"/>
  <c r="N605" i="1"/>
  <c r="O605" i="1" s="1"/>
  <c r="L605" i="1"/>
  <c r="J605" i="1"/>
  <c r="I605" i="1"/>
  <c r="O604" i="1"/>
  <c r="N604" i="1"/>
  <c r="L604" i="1"/>
  <c r="I604" i="1"/>
  <c r="J604" i="1" s="1"/>
  <c r="N603" i="1"/>
  <c r="O603" i="1" s="1"/>
  <c r="L603" i="1"/>
  <c r="J603" i="1"/>
  <c r="I603" i="1"/>
  <c r="O602" i="1"/>
  <c r="N602" i="1"/>
  <c r="L602" i="1"/>
  <c r="I602" i="1"/>
  <c r="J602" i="1" s="1"/>
  <c r="N601" i="1"/>
  <c r="O601" i="1" s="1"/>
  <c r="L601" i="1"/>
  <c r="J601" i="1"/>
  <c r="I601" i="1"/>
  <c r="O600" i="1"/>
  <c r="N600" i="1"/>
  <c r="L600" i="1"/>
  <c r="I600" i="1"/>
  <c r="J600" i="1" s="1"/>
  <c r="N599" i="1"/>
  <c r="O599" i="1" s="1"/>
  <c r="L599" i="1"/>
  <c r="J599" i="1"/>
  <c r="I599" i="1"/>
  <c r="O598" i="1"/>
  <c r="N598" i="1"/>
  <c r="L598" i="1"/>
  <c r="I598" i="1"/>
  <c r="J598" i="1" s="1"/>
  <c r="N597" i="1"/>
  <c r="O597" i="1" s="1"/>
  <c r="L597" i="1"/>
  <c r="J597" i="1"/>
  <c r="I597" i="1"/>
  <c r="O596" i="1"/>
  <c r="N596" i="1"/>
  <c r="L596" i="1"/>
  <c r="I596" i="1"/>
  <c r="J596" i="1" s="1"/>
  <c r="N595" i="1"/>
  <c r="O595" i="1" s="1"/>
  <c r="L595" i="1"/>
  <c r="J595" i="1"/>
  <c r="I595" i="1"/>
  <c r="O594" i="1"/>
  <c r="N594" i="1"/>
  <c r="L594" i="1"/>
  <c r="I594" i="1"/>
  <c r="J594" i="1" s="1"/>
  <c r="N593" i="1"/>
  <c r="O593" i="1" s="1"/>
  <c r="L593" i="1"/>
  <c r="J593" i="1"/>
  <c r="I593" i="1"/>
  <c r="O592" i="1"/>
  <c r="N592" i="1"/>
  <c r="L592" i="1"/>
  <c r="I592" i="1"/>
  <c r="J592" i="1" s="1"/>
  <c r="N591" i="1"/>
  <c r="O591" i="1" s="1"/>
  <c r="L591" i="1"/>
  <c r="J591" i="1"/>
  <c r="I591" i="1"/>
  <c r="O590" i="1"/>
  <c r="N590" i="1"/>
  <c r="L590" i="1"/>
  <c r="I590" i="1"/>
  <c r="J590" i="1" s="1"/>
  <c r="N589" i="1"/>
  <c r="O589" i="1" s="1"/>
  <c r="L589" i="1"/>
  <c r="J589" i="1"/>
  <c r="I589" i="1"/>
  <c r="O588" i="1"/>
  <c r="N588" i="1"/>
  <c r="L588" i="1"/>
  <c r="I588" i="1"/>
  <c r="J588" i="1" s="1"/>
  <c r="N587" i="1"/>
  <c r="O587" i="1" s="1"/>
  <c r="L587" i="1"/>
  <c r="J587" i="1"/>
  <c r="I587" i="1"/>
  <c r="O586" i="1"/>
  <c r="N586" i="1"/>
  <c r="L586" i="1"/>
  <c r="I586" i="1"/>
  <c r="J586" i="1" s="1"/>
  <c r="N585" i="1"/>
  <c r="O585" i="1" s="1"/>
  <c r="L585" i="1"/>
  <c r="J585" i="1"/>
  <c r="I585" i="1"/>
  <c r="O584" i="1"/>
  <c r="N584" i="1"/>
  <c r="L584" i="1"/>
  <c r="I584" i="1"/>
  <c r="J584" i="1" s="1"/>
  <c r="N583" i="1"/>
  <c r="O583" i="1" s="1"/>
  <c r="L583" i="1"/>
  <c r="J583" i="1"/>
  <c r="I583" i="1"/>
  <c r="O582" i="1"/>
  <c r="N582" i="1"/>
  <c r="L582" i="1"/>
  <c r="I582" i="1"/>
  <c r="J582" i="1" s="1"/>
  <c r="N581" i="1"/>
  <c r="O581" i="1" s="1"/>
  <c r="L581" i="1"/>
  <c r="J581" i="1"/>
  <c r="I581" i="1"/>
  <c r="O580" i="1"/>
  <c r="N580" i="1"/>
  <c r="L580" i="1"/>
  <c r="I580" i="1"/>
  <c r="J580" i="1" s="1"/>
  <c r="N579" i="1"/>
  <c r="O579" i="1" s="1"/>
  <c r="L579" i="1"/>
  <c r="J579" i="1"/>
  <c r="I579" i="1"/>
  <c r="O578" i="1"/>
  <c r="N578" i="1"/>
  <c r="L578" i="1"/>
  <c r="I578" i="1"/>
  <c r="J578" i="1" s="1"/>
  <c r="N577" i="1"/>
  <c r="O577" i="1" s="1"/>
  <c r="L577" i="1"/>
  <c r="J577" i="1"/>
  <c r="I577" i="1"/>
  <c r="O576" i="1"/>
  <c r="N576" i="1"/>
  <c r="L576" i="1"/>
  <c r="I576" i="1"/>
  <c r="J576" i="1" s="1"/>
  <c r="N575" i="1"/>
  <c r="O575" i="1" s="1"/>
  <c r="L575" i="1"/>
  <c r="J575" i="1"/>
  <c r="I575" i="1"/>
  <c r="O574" i="1"/>
  <c r="N574" i="1"/>
  <c r="L574" i="1"/>
  <c r="I574" i="1"/>
  <c r="J574" i="1" s="1"/>
  <c r="N573" i="1"/>
  <c r="O573" i="1" s="1"/>
  <c r="L573" i="1"/>
  <c r="J573" i="1"/>
  <c r="I573" i="1"/>
  <c r="O572" i="1"/>
  <c r="N572" i="1"/>
  <c r="L572" i="1"/>
  <c r="I572" i="1"/>
  <c r="J572" i="1" s="1"/>
  <c r="N571" i="1"/>
  <c r="O571" i="1" s="1"/>
  <c r="L571" i="1"/>
  <c r="J571" i="1"/>
  <c r="I571" i="1"/>
  <c r="O570" i="1"/>
  <c r="N570" i="1"/>
  <c r="L570" i="1"/>
  <c r="I570" i="1"/>
  <c r="J570" i="1" s="1"/>
  <c r="N569" i="1"/>
  <c r="O569" i="1" s="1"/>
  <c r="L569" i="1"/>
  <c r="J569" i="1"/>
  <c r="I569" i="1"/>
  <c r="O568" i="1"/>
  <c r="N568" i="1"/>
  <c r="L568" i="1"/>
  <c r="I568" i="1"/>
  <c r="J568" i="1" s="1"/>
  <c r="N567" i="1"/>
  <c r="O567" i="1" s="1"/>
  <c r="L567" i="1"/>
  <c r="J567" i="1"/>
  <c r="I567" i="1"/>
  <c r="O566" i="1"/>
  <c r="N566" i="1"/>
  <c r="L566" i="1"/>
  <c r="I566" i="1"/>
  <c r="J566" i="1" s="1"/>
  <c r="N565" i="1"/>
  <c r="O565" i="1" s="1"/>
  <c r="L565" i="1"/>
  <c r="J565" i="1"/>
  <c r="I565" i="1"/>
  <c r="O564" i="1"/>
  <c r="N564" i="1"/>
  <c r="L564" i="1"/>
  <c r="I564" i="1"/>
  <c r="J564" i="1" s="1"/>
  <c r="N563" i="1"/>
  <c r="O563" i="1" s="1"/>
  <c r="L563" i="1"/>
  <c r="J563" i="1"/>
  <c r="I563" i="1"/>
  <c r="O562" i="1"/>
  <c r="N562" i="1"/>
  <c r="L562" i="1"/>
  <c r="I562" i="1"/>
  <c r="J562" i="1" s="1"/>
  <c r="N561" i="1"/>
  <c r="O561" i="1" s="1"/>
  <c r="L561" i="1"/>
  <c r="J561" i="1"/>
  <c r="I561" i="1"/>
  <c r="O560" i="1"/>
  <c r="N560" i="1"/>
  <c r="L560" i="1"/>
  <c r="I560" i="1"/>
  <c r="J560" i="1" s="1"/>
  <c r="N559" i="1"/>
  <c r="O559" i="1" s="1"/>
  <c r="L559" i="1"/>
  <c r="J559" i="1"/>
  <c r="I559" i="1"/>
  <c r="O558" i="1"/>
  <c r="N558" i="1"/>
  <c r="L558" i="1"/>
  <c r="I558" i="1"/>
  <c r="J558" i="1" s="1"/>
  <c r="N557" i="1"/>
  <c r="O557" i="1" s="1"/>
  <c r="L557" i="1"/>
  <c r="J557" i="1"/>
  <c r="I557" i="1"/>
  <c r="O556" i="1"/>
  <c r="N556" i="1"/>
  <c r="L556" i="1"/>
  <c r="I556" i="1"/>
  <c r="J556" i="1" s="1"/>
  <c r="N555" i="1"/>
  <c r="O555" i="1" s="1"/>
  <c r="L555" i="1"/>
  <c r="J555" i="1"/>
  <c r="I555" i="1"/>
  <c r="O554" i="1"/>
  <c r="N554" i="1"/>
  <c r="L554" i="1"/>
  <c r="I554" i="1"/>
  <c r="J554" i="1" s="1"/>
  <c r="N553" i="1"/>
  <c r="O553" i="1" s="1"/>
  <c r="L553" i="1"/>
  <c r="J553" i="1"/>
  <c r="I553" i="1"/>
  <c r="O552" i="1"/>
  <c r="N552" i="1"/>
  <c r="L552" i="1"/>
  <c r="I552" i="1"/>
  <c r="J552" i="1" s="1"/>
  <c r="N551" i="1"/>
  <c r="O551" i="1" s="1"/>
  <c r="L551" i="1"/>
  <c r="J551" i="1"/>
  <c r="I551" i="1"/>
  <c r="O550" i="1"/>
  <c r="N550" i="1"/>
  <c r="L550" i="1"/>
  <c r="I550" i="1"/>
  <c r="J550" i="1" s="1"/>
  <c r="N549" i="1"/>
  <c r="O549" i="1" s="1"/>
  <c r="L549" i="1"/>
  <c r="J549" i="1"/>
  <c r="I549" i="1"/>
  <c r="O548" i="1"/>
  <c r="N548" i="1"/>
  <c r="L548" i="1"/>
  <c r="I548" i="1"/>
  <c r="J548" i="1" s="1"/>
  <c r="N547" i="1"/>
  <c r="O547" i="1" s="1"/>
  <c r="L547" i="1"/>
  <c r="J547" i="1"/>
  <c r="I547" i="1"/>
  <c r="O546" i="1"/>
  <c r="N546" i="1"/>
  <c r="L546" i="1"/>
  <c r="I546" i="1"/>
  <c r="J546" i="1" s="1"/>
  <c r="N545" i="1"/>
  <c r="O545" i="1" s="1"/>
  <c r="L545" i="1"/>
  <c r="J545" i="1"/>
  <c r="I545" i="1"/>
  <c r="O544" i="1"/>
  <c r="N544" i="1"/>
  <c r="L544" i="1"/>
  <c r="I544" i="1"/>
  <c r="J544" i="1" s="1"/>
  <c r="N543" i="1"/>
  <c r="O543" i="1" s="1"/>
  <c r="L543" i="1"/>
  <c r="J543" i="1"/>
  <c r="I543" i="1"/>
  <c r="O542" i="1"/>
  <c r="N542" i="1"/>
  <c r="L542" i="1"/>
  <c r="I542" i="1"/>
  <c r="J542" i="1" s="1"/>
  <c r="N541" i="1"/>
  <c r="O541" i="1" s="1"/>
  <c r="L541" i="1"/>
  <c r="J541" i="1"/>
  <c r="I541" i="1"/>
  <c r="O540" i="1"/>
  <c r="N540" i="1"/>
  <c r="L540" i="1"/>
  <c r="I540" i="1"/>
  <c r="J540" i="1" s="1"/>
  <c r="N539" i="1"/>
  <c r="O539" i="1" s="1"/>
  <c r="L539" i="1"/>
  <c r="J539" i="1"/>
  <c r="I539" i="1"/>
  <c r="O538" i="1"/>
  <c r="N538" i="1"/>
  <c r="L538" i="1"/>
  <c r="I538" i="1"/>
  <c r="J538" i="1" s="1"/>
  <c r="N537" i="1"/>
  <c r="O537" i="1" s="1"/>
  <c r="L537" i="1"/>
  <c r="J537" i="1"/>
  <c r="I537" i="1"/>
  <c r="O536" i="1"/>
  <c r="N536" i="1"/>
  <c r="L536" i="1"/>
  <c r="I536" i="1"/>
  <c r="J536" i="1" s="1"/>
  <c r="N535" i="1"/>
  <c r="O535" i="1" s="1"/>
  <c r="L535" i="1"/>
  <c r="J535" i="1"/>
  <c r="I535" i="1"/>
  <c r="O534" i="1"/>
  <c r="N534" i="1"/>
  <c r="L534" i="1"/>
  <c r="I534" i="1"/>
  <c r="J534" i="1" s="1"/>
  <c r="N533" i="1"/>
  <c r="O533" i="1" s="1"/>
  <c r="L533" i="1"/>
  <c r="J533" i="1"/>
  <c r="I533" i="1"/>
  <c r="O532" i="1"/>
  <c r="N532" i="1"/>
  <c r="L532" i="1"/>
  <c r="I532" i="1"/>
  <c r="J532" i="1" s="1"/>
  <c r="N531" i="1"/>
  <c r="O531" i="1" s="1"/>
  <c r="L531" i="1"/>
  <c r="J531" i="1"/>
  <c r="I531" i="1"/>
  <c r="O530" i="1"/>
  <c r="N530" i="1"/>
  <c r="L530" i="1"/>
  <c r="I530" i="1"/>
  <c r="J530" i="1" s="1"/>
  <c r="N529" i="1"/>
  <c r="O529" i="1" s="1"/>
  <c r="L529" i="1"/>
  <c r="J529" i="1"/>
  <c r="I529" i="1"/>
  <c r="O528" i="1"/>
  <c r="N528" i="1"/>
  <c r="L528" i="1"/>
  <c r="I528" i="1"/>
  <c r="J528" i="1" s="1"/>
  <c r="N527" i="1"/>
  <c r="O527" i="1" s="1"/>
  <c r="L527" i="1"/>
  <c r="J527" i="1"/>
  <c r="I527" i="1"/>
  <c r="O526" i="1"/>
  <c r="N526" i="1"/>
  <c r="L526" i="1"/>
  <c r="I526" i="1"/>
  <c r="J526" i="1" s="1"/>
  <c r="N525" i="1"/>
  <c r="O525" i="1" s="1"/>
  <c r="L525" i="1"/>
  <c r="J525" i="1"/>
  <c r="I525" i="1"/>
  <c r="O524" i="1"/>
  <c r="N524" i="1"/>
  <c r="L524" i="1"/>
  <c r="I524" i="1"/>
  <c r="J524" i="1" s="1"/>
  <c r="N523" i="1"/>
  <c r="O523" i="1" s="1"/>
  <c r="L523" i="1"/>
  <c r="J523" i="1"/>
  <c r="I523" i="1"/>
  <c r="O522" i="1"/>
  <c r="N522" i="1"/>
  <c r="L522" i="1"/>
  <c r="I522" i="1"/>
  <c r="J522" i="1" s="1"/>
  <c r="N521" i="1"/>
  <c r="O521" i="1" s="1"/>
  <c r="L521" i="1"/>
  <c r="J521" i="1"/>
  <c r="I521" i="1"/>
  <c r="O520" i="1"/>
  <c r="N520" i="1"/>
  <c r="L520" i="1"/>
  <c r="I520" i="1"/>
  <c r="J520" i="1" s="1"/>
  <c r="N519" i="1"/>
  <c r="O519" i="1" s="1"/>
  <c r="L519" i="1"/>
  <c r="J519" i="1"/>
  <c r="I519" i="1"/>
  <c r="O518" i="1"/>
  <c r="N518" i="1"/>
  <c r="L518" i="1"/>
  <c r="I518" i="1"/>
  <c r="J518" i="1" s="1"/>
  <c r="N517" i="1"/>
  <c r="O517" i="1" s="1"/>
  <c r="L517" i="1"/>
  <c r="J517" i="1"/>
  <c r="I517" i="1"/>
  <c r="O516" i="1"/>
  <c r="N516" i="1"/>
  <c r="L516" i="1"/>
  <c r="I516" i="1"/>
  <c r="J516" i="1" s="1"/>
  <c r="N515" i="1"/>
  <c r="O515" i="1" s="1"/>
  <c r="L515" i="1"/>
  <c r="J515" i="1"/>
  <c r="I515" i="1"/>
  <c r="O514" i="1"/>
  <c r="N514" i="1"/>
  <c r="L514" i="1"/>
  <c r="I514" i="1"/>
  <c r="J514" i="1" s="1"/>
  <c r="N513" i="1"/>
  <c r="O513" i="1" s="1"/>
  <c r="L513" i="1"/>
  <c r="J513" i="1"/>
  <c r="I513" i="1"/>
  <c r="O512" i="1"/>
  <c r="N512" i="1"/>
  <c r="L512" i="1"/>
  <c r="I512" i="1"/>
  <c r="J512" i="1" s="1"/>
  <c r="N511" i="1"/>
  <c r="O511" i="1" s="1"/>
  <c r="L511" i="1"/>
  <c r="J511" i="1"/>
  <c r="I511" i="1"/>
  <c r="O510" i="1"/>
  <c r="N510" i="1"/>
  <c r="L510" i="1"/>
  <c r="I510" i="1"/>
  <c r="J510" i="1" s="1"/>
  <c r="N509" i="1"/>
  <c r="O509" i="1" s="1"/>
  <c r="L509" i="1"/>
  <c r="J509" i="1"/>
  <c r="I509" i="1"/>
  <c r="O508" i="1"/>
  <c r="N508" i="1"/>
  <c r="L508" i="1"/>
  <c r="I508" i="1"/>
  <c r="J508" i="1" s="1"/>
  <c r="N507" i="1"/>
  <c r="O507" i="1" s="1"/>
  <c r="L507" i="1"/>
  <c r="J507" i="1"/>
  <c r="I507" i="1"/>
  <c r="O506" i="1"/>
  <c r="N506" i="1"/>
  <c r="L506" i="1"/>
  <c r="I506" i="1"/>
  <c r="J506" i="1" s="1"/>
  <c r="N505" i="1"/>
  <c r="O505" i="1" s="1"/>
  <c r="L505" i="1"/>
  <c r="J505" i="1"/>
  <c r="I505" i="1"/>
  <c r="O504" i="1"/>
  <c r="N504" i="1"/>
  <c r="L504" i="1"/>
  <c r="I504" i="1"/>
  <c r="J504" i="1" s="1"/>
  <c r="N503" i="1"/>
  <c r="O503" i="1" s="1"/>
  <c r="L503" i="1"/>
  <c r="J503" i="1"/>
  <c r="I503" i="1"/>
  <c r="O502" i="1"/>
  <c r="N502" i="1"/>
  <c r="L502" i="1"/>
  <c r="I502" i="1"/>
  <c r="J502" i="1" s="1"/>
  <c r="N501" i="1"/>
  <c r="O501" i="1" s="1"/>
  <c r="L501" i="1"/>
  <c r="J501" i="1"/>
  <c r="I501" i="1"/>
  <c r="O500" i="1"/>
  <c r="N500" i="1"/>
  <c r="L500" i="1"/>
  <c r="I500" i="1"/>
  <c r="J500" i="1" s="1"/>
  <c r="N499" i="1"/>
  <c r="O499" i="1" s="1"/>
  <c r="L499" i="1"/>
  <c r="I499" i="1"/>
  <c r="J499" i="1" s="1"/>
  <c r="O498" i="1"/>
  <c r="N498" i="1"/>
  <c r="L498" i="1"/>
  <c r="I498" i="1"/>
  <c r="J498" i="1" s="1"/>
  <c r="N497" i="1"/>
  <c r="O497" i="1" s="1"/>
  <c r="L497" i="1"/>
  <c r="I497" i="1"/>
  <c r="J497" i="1" s="1"/>
  <c r="O496" i="1"/>
  <c r="N496" i="1"/>
  <c r="L496" i="1"/>
  <c r="I496" i="1"/>
  <c r="J496" i="1" s="1"/>
  <c r="N495" i="1"/>
  <c r="O495" i="1" s="1"/>
  <c r="L495" i="1"/>
  <c r="I495" i="1"/>
  <c r="J495" i="1" s="1"/>
  <c r="O494" i="1"/>
  <c r="N494" i="1"/>
  <c r="L494" i="1"/>
  <c r="I494" i="1"/>
  <c r="J494" i="1" s="1"/>
  <c r="N493" i="1"/>
  <c r="O493" i="1" s="1"/>
  <c r="L493" i="1"/>
  <c r="I493" i="1"/>
  <c r="J493" i="1" s="1"/>
  <c r="O492" i="1"/>
  <c r="N492" i="1"/>
  <c r="L492" i="1"/>
  <c r="I492" i="1"/>
  <c r="J492" i="1" s="1"/>
  <c r="N491" i="1"/>
  <c r="O491" i="1" s="1"/>
  <c r="L491" i="1"/>
  <c r="I491" i="1"/>
  <c r="J491" i="1" s="1"/>
  <c r="O490" i="1"/>
  <c r="N490" i="1"/>
  <c r="L490" i="1"/>
  <c r="I490" i="1"/>
  <c r="J490" i="1" s="1"/>
  <c r="N489" i="1"/>
  <c r="O489" i="1" s="1"/>
  <c r="L489" i="1"/>
  <c r="I489" i="1"/>
  <c r="J489" i="1" s="1"/>
  <c r="O488" i="1"/>
  <c r="N488" i="1"/>
  <c r="L488" i="1"/>
  <c r="I488" i="1"/>
  <c r="J488" i="1" s="1"/>
  <c r="N487" i="1"/>
  <c r="O487" i="1" s="1"/>
  <c r="L487" i="1"/>
  <c r="I487" i="1"/>
  <c r="J487" i="1" s="1"/>
  <c r="O486" i="1"/>
  <c r="N486" i="1"/>
  <c r="L486" i="1"/>
  <c r="I486" i="1"/>
  <c r="J486" i="1" s="1"/>
  <c r="N485" i="1"/>
  <c r="O485" i="1" s="1"/>
  <c r="L485" i="1"/>
  <c r="I485" i="1"/>
  <c r="J485" i="1" s="1"/>
  <c r="O484" i="1"/>
  <c r="N484" i="1"/>
  <c r="L484" i="1"/>
  <c r="I484" i="1"/>
  <c r="J484" i="1" s="1"/>
  <c r="N483" i="1"/>
  <c r="O483" i="1" s="1"/>
  <c r="L483" i="1"/>
  <c r="I483" i="1"/>
  <c r="J483" i="1" s="1"/>
  <c r="O482" i="1"/>
  <c r="N482" i="1"/>
  <c r="L482" i="1"/>
  <c r="I482" i="1"/>
  <c r="J482" i="1" s="1"/>
  <c r="N481" i="1"/>
  <c r="O481" i="1" s="1"/>
  <c r="L481" i="1"/>
  <c r="I481" i="1"/>
  <c r="J481" i="1" s="1"/>
  <c r="O480" i="1"/>
  <c r="N480" i="1"/>
  <c r="L480" i="1"/>
  <c r="I480" i="1"/>
  <c r="J480" i="1" s="1"/>
  <c r="N479" i="1"/>
  <c r="O479" i="1" s="1"/>
  <c r="L479" i="1"/>
  <c r="I479" i="1"/>
  <c r="J479" i="1" s="1"/>
  <c r="O478" i="1"/>
  <c r="N478" i="1"/>
  <c r="L478" i="1"/>
  <c r="I478" i="1"/>
  <c r="J478" i="1" s="1"/>
  <c r="N477" i="1"/>
  <c r="O477" i="1" s="1"/>
  <c r="L477" i="1"/>
  <c r="I477" i="1"/>
  <c r="J477" i="1" s="1"/>
  <c r="O476" i="1"/>
  <c r="N476" i="1"/>
  <c r="L476" i="1"/>
  <c r="I476" i="1"/>
  <c r="J476" i="1" s="1"/>
  <c r="N475" i="1"/>
  <c r="O475" i="1" s="1"/>
  <c r="L475" i="1"/>
  <c r="I475" i="1"/>
  <c r="J475" i="1" s="1"/>
  <c r="O474" i="1"/>
  <c r="N474" i="1"/>
  <c r="L474" i="1"/>
  <c r="I474" i="1"/>
  <c r="J474" i="1" s="1"/>
  <c r="N473" i="1"/>
  <c r="O473" i="1" s="1"/>
  <c r="L473" i="1"/>
  <c r="I473" i="1"/>
  <c r="J473" i="1" s="1"/>
  <c r="O472" i="1"/>
  <c r="N472" i="1"/>
  <c r="L472" i="1"/>
  <c r="I472" i="1"/>
  <c r="J472" i="1" s="1"/>
  <c r="N471" i="1"/>
  <c r="O471" i="1" s="1"/>
  <c r="L471" i="1"/>
  <c r="I471" i="1"/>
  <c r="J471" i="1" s="1"/>
  <c r="O470" i="1"/>
  <c r="N470" i="1"/>
  <c r="L470" i="1"/>
  <c r="I470" i="1"/>
  <c r="J470" i="1" s="1"/>
  <c r="N469" i="1"/>
  <c r="O469" i="1" s="1"/>
  <c r="L469" i="1"/>
  <c r="I469" i="1"/>
  <c r="J469" i="1" s="1"/>
  <c r="O468" i="1"/>
  <c r="N468" i="1"/>
  <c r="L468" i="1"/>
  <c r="I468" i="1"/>
  <c r="J468" i="1" s="1"/>
  <c r="N467" i="1"/>
  <c r="O467" i="1" s="1"/>
  <c r="L467" i="1"/>
  <c r="I467" i="1"/>
  <c r="J467" i="1" s="1"/>
  <c r="O466" i="1"/>
  <c r="N466" i="1"/>
  <c r="L466" i="1"/>
  <c r="I466" i="1"/>
  <c r="J466" i="1" s="1"/>
  <c r="N465" i="1"/>
  <c r="O465" i="1" s="1"/>
  <c r="L465" i="1"/>
  <c r="I465" i="1"/>
  <c r="J465" i="1" s="1"/>
  <c r="O464" i="1"/>
  <c r="N464" i="1"/>
  <c r="L464" i="1"/>
  <c r="I464" i="1"/>
  <c r="J464" i="1" s="1"/>
  <c r="O463" i="1"/>
  <c r="N463" i="1"/>
  <c r="L463" i="1"/>
  <c r="J463" i="1"/>
  <c r="I463" i="1"/>
  <c r="N462" i="1"/>
  <c r="O462" i="1" s="1"/>
  <c r="L462" i="1"/>
  <c r="J462" i="1"/>
  <c r="I462" i="1"/>
  <c r="N461" i="1"/>
  <c r="O461" i="1" s="1"/>
  <c r="L461" i="1"/>
  <c r="J461" i="1"/>
  <c r="I461" i="1"/>
  <c r="O460" i="1"/>
  <c r="N460" i="1"/>
  <c r="L460" i="1"/>
  <c r="I460" i="1"/>
  <c r="J460" i="1" s="1"/>
  <c r="O459" i="1"/>
  <c r="N459" i="1"/>
  <c r="L459" i="1"/>
  <c r="I459" i="1"/>
  <c r="J459" i="1" s="1"/>
  <c r="O458" i="1"/>
  <c r="N458" i="1"/>
  <c r="L458" i="1"/>
  <c r="I458" i="1"/>
  <c r="J458" i="1" s="1"/>
  <c r="N457" i="1"/>
  <c r="O457" i="1" s="1"/>
  <c r="L457" i="1"/>
  <c r="I457" i="1"/>
  <c r="J457" i="1" s="1"/>
  <c r="N456" i="1"/>
  <c r="O456" i="1" s="1"/>
  <c r="L456" i="1"/>
  <c r="I456" i="1"/>
  <c r="J456" i="1" s="1"/>
  <c r="N455" i="1"/>
  <c r="O455" i="1" s="1"/>
  <c r="L455" i="1"/>
  <c r="J455" i="1"/>
  <c r="I455" i="1"/>
  <c r="O454" i="1"/>
  <c r="N454" i="1"/>
  <c r="L454" i="1"/>
  <c r="I454" i="1"/>
  <c r="J454" i="1" s="1"/>
  <c r="N453" i="1"/>
  <c r="O453" i="1" s="1"/>
  <c r="L453" i="1"/>
  <c r="I453" i="1"/>
  <c r="J453" i="1" s="1"/>
  <c r="N452" i="1"/>
  <c r="O452" i="1" s="1"/>
  <c r="L452" i="1"/>
  <c r="I452" i="1"/>
  <c r="J452" i="1" s="1"/>
  <c r="N451" i="1"/>
  <c r="O451" i="1" s="1"/>
  <c r="L451" i="1"/>
  <c r="I451" i="1"/>
  <c r="J451" i="1" s="1"/>
  <c r="N450" i="1"/>
  <c r="O450" i="1" s="1"/>
  <c r="L450" i="1"/>
  <c r="J450" i="1"/>
  <c r="I450" i="1"/>
  <c r="N449" i="1"/>
  <c r="O449" i="1" s="1"/>
  <c r="L449" i="1"/>
  <c r="J449" i="1"/>
  <c r="I449" i="1"/>
  <c r="N448" i="1"/>
  <c r="O448" i="1" s="1"/>
  <c r="L448" i="1"/>
  <c r="I448" i="1"/>
  <c r="J448" i="1" s="1"/>
  <c r="N447" i="1"/>
  <c r="O447" i="1" s="1"/>
  <c r="L447" i="1"/>
  <c r="I447" i="1"/>
  <c r="J447" i="1" s="1"/>
  <c r="N446" i="1"/>
  <c r="O446" i="1" s="1"/>
  <c r="L446" i="1"/>
  <c r="J446" i="1"/>
  <c r="I446" i="1"/>
  <c r="N445" i="1"/>
  <c r="O445" i="1" s="1"/>
  <c r="L445" i="1"/>
  <c r="J445" i="1"/>
  <c r="I445" i="1"/>
  <c r="O444" i="1"/>
  <c r="N444" i="1"/>
  <c r="L444" i="1"/>
  <c r="I444" i="1"/>
  <c r="J444" i="1" s="1"/>
  <c r="O443" i="1"/>
  <c r="N443" i="1"/>
  <c r="L443" i="1"/>
  <c r="I443" i="1"/>
  <c r="J443" i="1" s="1"/>
  <c r="O442" i="1"/>
  <c r="N442" i="1"/>
  <c r="L442" i="1"/>
  <c r="I442" i="1"/>
  <c r="J442" i="1" s="1"/>
  <c r="N441" i="1"/>
  <c r="O441" i="1" s="1"/>
  <c r="L441" i="1"/>
  <c r="I441" i="1"/>
  <c r="J441" i="1" s="1"/>
  <c r="N440" i="1"/>
  <c r="O440" i="1" s="1"/>
  <c r="L440" i="1"/>
  <c r="I440" i="1"/>
  <c r="J440" i="1" s="1"/>
  <c r="N439" i="1"/>
  <c r="O439" i="1" s="1"/>
  <c r="L439" i="1"/>
  <c r="J439" i="1"/>
  <c r="I439" i="1"/>
  <c r="O438" i="1"/>
  <c r="N438" i="1"/>
  <c r="L438" i="1"/>
  <c r="I438" i="1"/>
  <c r="J438" i="1" s="1"/>
  <c r="N437" i="1"/>
  <c r="O437" i="1" s="1"/>
  <c r="L437" i="1"/>
  <c r="I437" i="1"/>
  <c r="J437" i="1" s="1"/>
  <c r="N436" i="1"/>
  <c r="O436" i="1" s="1"/>
  <c r="L436" i="1"/>
  <c r="I436" i="1"/>
  <c r="J436" i="1" s="1"/>
  <c r="N435" i="1"/>
  <c r="O435" i="1" s="1"/>
  <c r="L435" i="1"/>
  <c r="I435" i="1"/>
  <c r="J435" i="1" s="1"/>
  <c r="N434" i="1"/>
  <c r="O434" i="1" s="1"/>
  <c r="L434" i="1"/>
  <c r="J434" i="1"/>
  <c r="I434" i="1"/>
  <c r="N433" i="1"/>
  <c r="O433" i="1" s="1"/>
  <c r="L433" i="1"/>
  <c r="J433" i="1"/>
  <c r="I433" i="1"/>
  <c r="O432" i="1"/>
  <c r="N432" i="1"/>
  <c r="L432" i="1"/>
  <c r="I432" i="1"/>
  <c r="J432" i="1" s="1"/>
  <c r="O431" i="1"/>
  <c r="N431" i="1"/>
  <c r="L431" i="1"/>
  <c r="I431" i="1"/>
  <c r="J431" i="1" s="1"/>
  <c r="N430" i="1"/>
  <c r="O430" i="1" s="1"/>
  <c r="L430" i="1"/>
  <c r="J430" i="1"/>
  <c r="I430" i="1"/>
  <c r="N429" i="1"/>
  <c r="O429" i="1" s="1"/>
  <c r="L429" i="1"/>
  <c r="J429" i="1"/>
  <c r="I429" i="1"/>
  <c r="N428" i="1"/>
  <c r="O428" i="1" s="1"/>
  <c r="L428" i="1"/>
  <c r="I428" i="1"/>
  <c r="J428" i="1" s="1"/>
  <c r="N427" i="1"/>
  <c r="O427" i="1" s="1"/>
  <c r="L427" i="1"/>
  <c r="I427" i="1"/>
  <c r="J427" i="1" s="1"/>
  <c r="N426" i="1"/>
  <c r="O426" i="1" s="1"/>
  <c r="L426" i="1"/>
  <c r="I426" i="1"/>
  <c r="J426" i="1" s="1"/>
  <c r="N425" i="1"/>
  <c r="O425" i="1" s="1"/>
  <c r="L425" i="1"/>
  <c r="I425" i="1"/>
  <c r="J425" i="1" s="1"/>
  <c r="O424" i="1"/>
  <c r="N424" i="1"/>
  <c r="L424" i="1"/>
  <c r="I424" i="1"/>
  <c r="J424" i="1" s="1"/>
  <c r="O423" i="1"/>
  <c r="N423" i="1"/>
  <c r="L423" i="1"/>
  <c r="I423" i="1"/>
  <c r="J423" i="1" s="1"/>
  <c r="O422" i="1"/>
  <c r="N422" i="1"/>
  <c r="L422" i="1"/>
  <c r="J422" i="1"/>
  <c r="I422" i="1"/>
  <c r="N421" i="1"/>
  <c r="O421" i="1" s="1"/>
  <c r="L421" i="1"/>
  <c r="J421" i="1"/>
  <c r="I421" i="1"/>
  <c r="N420" i="1"/>
  <c r="O420" i="1" s="1"/>
  <c r="L420" i="1"/>
  <c r="I420" i="1"/>
  <c r="J420" i="1" s="1"/>
  <c r="N419" i="1"/>
  <c r="O419" i="1" s="1"/>
  <c r="L419" i="1"/>
  <c r="I419" i="1"/>
  <c r="J419" i="1" s="1"/>
  <c r="N418" i="1"/>
  <c r="O418" i="1" s="1"/>
  <c r="L418" i="1"/>
  <c r="J418" i="1"/>
  <c r="I418" i="1"/>
  <c r="N417" i="1"/>
  <c r="O417" i="1" s="1"/>
  <c r="L417" i="1"/>
  <c r="J417" i="1"/>
  <c r="I417" i="1"/>
  <c r="O416" i="1"/>
  <c r="N416" i="1"/>
  <c r="L416" i="1"/>
  <c r="I416" i="1"/>
  <c r="J416" i="1" s="1"/>
  <c r="O415" i="1"/>
  <c r="N415" i="1"/>
  <c r="L415" i="1"/>
  <c r="I415" i="1"/>
  <c r="J415" i="1" s="1"/>
  <c r="O414" i="1"/>
  <c r="N414" i="1"/>
  <c r="L414" i="1"/>
  <c r="I414" i="1"/>
  <c r="J414" i="1" s="1"/>
  <c r="N413" i="1"/>
  <c r="O413" i="1" s="1"/>
  <c r="L413" i="1"/>
  <c r="I413" i="1"/>
  <c r="J413" i="1" s="1"/>
  <c r="O412" i="1"/>
  <c r="N412" i="1"/>
  <c r="L412" i="1"/>
  <c r="I412" i="1"/>
  <c r="J412" i="1" s="1"/>
  <c r="O411" i="1"/>
  <c r="N411" i="1"/>
  <c r="L411" i="1"/>
  <c r="I411" i="1"/>
  <c r="J411" i="1" s="1"/>
  <c r="O410" i="1"/>
  <c r="N410" i="1"/>
  <c r="L410" i="1"/>
  <c r="J410" i="1"/>
  <c r="I410" i="1"/>
  <c r="N409" i="1"/>
  <c r="O409" i="1" s="1"/>
  <c r="L409" i="1"/>
  <c r="J409" i="1"/>
  <c r="I409" i="1"/>
  <c r="N408" i="1"/>
  <c r="O408" i="1" s="1"/>
  <c r="L408" i="1"/>
  <c r="I408" i="1"/>
  <c r="J408" i="1" s="1"/>
  <c r="N407" i="1"/>
  <c r="O407" i="1" s="1"/>
  <c r="L407" i="1"/>
  <c r="J407" i="1"/>
  <c r="I407" i="1"/>
  <c r="N406" i="1"/>
  <c r="O406" i="1" s="1"/>
  <c r="L406" i="1"/>
  <c r="I406" i="1"/>
  <c r="J406" i="1" s="1"/>
  <c r="N405" i="1"/>
  <c r="O405" i="1" s="1"/>
  <c r="L405" i="1"/>
  <c r="I405" i="1"/>
  <c r="J405" i="1" s="1"/>
  <c r="O404" i="1"/>
  <c r="N404" i="1"/>
  <c r="L404" i="1"/>
  <c r="I404" i="1"/>
  <c r="J404" i="1" s="1"/>
  <c r="O403" i="1"/>
  <c r="N403" i="1"/>
  <c r="L403" i="1"/>
  <c r="I403" i="1"/>
  <c r="J403" i="1" s="1"/>
  <c r="O402" i="1"/>
  <c r="N402" i="1"/>
  <c r="L402" i="1"/>
  <c r="I402" i="1"/>
  <c r="J402" i="1" s="1"/>
  <c r="N401" i="1"/>
  <c r="O401" i="1" s="1"/>
  <c r="L401" i="1"/>
  <c r="I401" i="1"/>
  <c r="J401" i="1" s="1"/>
  <c r="O400" i="1"/>
  <c r="N400" i="1"/>
  <c r="L400" i="1"/>
  <c r="I400" i="1"/>
  <c r="J400" i="1" s="1"/>
  <c r="O399" i="1"/>
  <c r="N399" i="1"/>
  <c r="L399" i="1"/>
  <c r="J399" i="1"/>
  <c r="I399" i="1"/>
  <c r="N398" i="1"/>
  <c r="O398" i="1" s="1"/>
  <c r="L398" i="1"/>
  <c r="J398" i="1"/>
  <c r="I398" i="1"/>
  <c r="N397" i="1"/>
  <c r="O397" i="1" s="1"/>
  <c r="L397" i="1"/>
  <c r="J397" i="1"/>
  <c r="I397" i="1"/>
  <c r="O396" i="1"/>
  <c r="N396" i="1"/>
  <c r="L396" i="1"/>
  <c r="I396" i="1"/>
  <c r="J396" i="1" s="1"/>
  <c r="O395" i="1"/>
  <c r="N395" i="1"/>
  <c r="L395" i="1"/>
  <c r="I395" i="1"/>
  <c r="J395" i="1" s="1"/>
  <c r="O394" i="1"/>
  <c r="N394" i="1"/>
  <c r="L394" i="1"/>
  <c r="I394" i="1"/>
  <c r="J394" i="1" s="1"/>
  <c r="N393" i="1"/>
  <c r="O393" i="1" s="1"/>
  <c r="L393" i="1"/>
  <c r="I393" i="1"/>
  <c r="J393" i="1" s="1"/>
  <c r="N392" i="1"/>
  <c r="O392" i="1" s="1"/>
  <c r="L392" i="1"/>
  <c r="I392" i="1"/>
  <c r="J392" i="1" s="1"/>
  <c r="N391" i="1"/>
  <c r="O391" i="1" s="1"/>
  <c r="L391" i="1"/>
  <c r="J391" i="1"/>
  <c r="I391" i="1"/>
  <c r="O390" i="1"/>
  <c r="N390" i="1"/>
  <c r="L390" i="1"/>
  <c r="I390" i="1"/>
  <c r="J390" i="1" s="1"/>
  <c r="N389" i="1"/>
  <c r="O389" i="1" s="1"/>
  <c r="L389" i="1"/>
  <c r="I389" i="1"/>
  <c r="J389" i="1" s="1"/>
  <c r="N388" i="1"/>
  <c r="O388" i="1" s="1"/>
  <c r="L388" i="1"/>
  <c r="I388" i="1"/>
  <c r="J388" i="1" s="1"/>
  <c r="N387" i="1"/>
  <c r="O387" i="1" s="1"/>
  <c r="L387" i="1"/>
  <c r="I387" i="1"/>
  <c r="J387" i="1" s="1"/>
  <c r="N386" i="1"/>
  <c r="O386" i="1" s="1"/>
  <c r="L386" i="1"/>
  <c r="J386" i="1"/>
  <c r="I386" i="1"/>
  <c r="N385" i="1"/>
  <c r="O385" i="1" s="1"/>
  <c r="L385" i="1"/>
  <c r="J385" i="1"/>
  <c r="I385" i="1"/>
  <c r="N384" i="1"/>
  <c r="O384" i="1" s="1"/>
  <c r="L384" i="1"/>
  <c r="I384" i="1"/>
  <c r="J384" i="1" s="1"/>
  <c r="N383" i="1"/>
  <c r="O383" i="1" s="1"/>
  <c r="L383" i="1"/>
  <c r="I383" i="1"/>
  <c r="J383" i="1" s="1"/>
  <c r="N382" i="1"/>
  <c r="O382" i="1" s="1"/>
  <c r="L382" i="1"/>
  <c r="J382" i="1"/>
  <c r="I382" i="1"/>
  <c r="N381" i="1"/>
  <c r="O381" i="1" s="1"/>
  <c r="L381" i="1"/>
  <c r="J381" i="1"/>
  <c r="I381" i="1"/>
  <c r="O380" i="1"/>
  <c r="N380" i="1"/>
  <c r="L380" i="1"/>
  <c r="I380" i="1"/>
  <c r="J380" i="1" s="1"/>
  <c r="O379" i="1"/>
  <c r="N379" i="1"/>
  <c r="L379" i="1"/>
  <c r="I379" i="1"/>
  <c r="J379" i="1" s="1"/>
  <c r="O378" i="1"/>
  <c r="N378" i="1"/>
  <c r="L378" i="1"/>
  <c r="I378" i="1"/>
  <c r="J378" i="1" s="1"/>
  <c r="N377" i="1"/>
  <c r="O377" i="1" s="1"/>
  <c r="L377" i="1"/>
  <c r="I377" i="1"/>
  <c r="J377" i="1" s="1"/>
  <c r="N376" i="1"/>
  <c r="O376" i="1" s="1"/>
  <c r="L376" i="1"/>
  <c r="I376" i="1"/>
  <c r="J376" i="1" s="1"/>
  <c r="N375" i="1"/>
  <c r="O375" i="1" s="1"/>
  <c r="L375" i="1"/>
  <c r="J375" i="1"/>
  <c r="I375" i="1"/>
  <c r="O374" i="1"/>
  <c r="N374" i="1"/>
  <c r="L374" i="1"/>
  <c r="I374" i="1"/>
  <c r="J374" i="1" s="1"/>
  <c r="N373" i="1"/>
  <c r="O373" i="1" s="1"/>
  <c r="L373" i="1"/>
  <c r="I373" i="1"/>
  <c r="J373" i="1" s="1"/>
  <c r="N372" i="1"/>
  <c r="O372" i="1" s="1"/>
  <c r="L372" i="1"/>
  <c r="I372" i="1"/>
  <c r="J372" i="1" s="1"/>
  <c r="N371" i="1"/>
  <c r="O371" i="1" s="1"/>
  <c r="L371" i="1"/>
  <c r="I371" i="1"/>
  <c r="J371" i="1" s="1"/>
  <c r="N370" i="1"/>
  <c r="O370" i="1" s="1"/>
  <c r="L370" i="1"/>
  <c r="J370" i="1"/>
  <c r="I370" i="1"/>
  <c r="N369" i="1"/>
  <c r="O369" i="1" s="1"/>
  <c r="L369" i="1"/>
  <c r="J369" i="1"/>
  <c r="I369" i="1"/>
  <c r="O368" i="1"/>
  <c r="N368" i="1"/>
  <c r="L368" i="1"/>
  <c r="I368" i="1"/>
  <c r="J368" i="1" s="1"/>
  <c r="O367" i="1"/>
  <c r="N367" i="1"/>
  <c r="L367" i="1"/>
  <c r="I367" i="1"/>
  <c r="J367" i="1" s="1"/>
  <c r="N366" i="1"/>
  <c r="O366" i="1" s="1"/>
  <c r="L366" i="1"/>
  <c r="J366" i="1"/>
  <c r="I366" i="1"/>
  <c r="N365" i="1"/>
  <c r="O365" i="1" s="1"/>
  <c r="L365" i="1"/>
  <c r="J365" i="1"/>
  <c r="I365" i="1"/>
  <c r="N364" i="1"/>
  <c r="O364" i="1" s="1"/>
  <c r="L364" i="1"/>
  <c r="I364" i="1"/>
  <c r="J364" i="1" s="1"/>
  <c r="N363" i="1"/>
  <c r="O363" i="1" s="1"/>
  <c r="L363" i="1"/>
  <c r="I363" i="1"/>
  <c r="J363" i="1" s="1"/>
  <c r="N362" i="1"/>
  <c r="O362" i="1" s="1"/>
  <c r="L362" i="1"/>
  <c r="I362" i="1"/>
  <c r="J362" i="1" s="1"/>
  <c r="N361" i="1"/>
  <c r="O361" i="1" s="1"/>
  <c r="L361" i="1"/>
  <c r="I361" i="1"/>
  <c r="J361" i="1" s="1"/>
  <c r="O360" i="1"/>
  <c r="N360" i="1"/>
  <c r="L360" i="1"/>
  <c r="I360" i="1"/>
  <c r="J360" i="1" s="1"/>
  <c r="O359" i="1"/>
  <c r="N359" i="1"/>
  <c r="L359" i="1"/>
  <c r="I359" i="1"/>
  <c r="J359" i="1" s="1"/>
  <c r="O358" i="1"/>
  <c r="N358" i="1"/>
  <c r="L358" i="1"/>
  <c r="J358" i="1"/>
  <c r="I358" i="1"/>
  <c r="N357" i="1"/>
  <c r="O357" i="1" s="1"/>
  <c r="L357" i="1"/>
  <c r="J357" i="1"/>
  <c r="I357" i="1"/>
  <c r="N356" i="1"/>
  <c r="O356" i="1" s="1"/>
  <c r="L356" i="1"/>
  <c r="I356" i="1"/>
  <c r="J356" i="1" s="1"/>
  <c r="N355" i="1"/>
  <c r="O355" i="1" s="1"/>
  <c r="L355" i="1"/>
  <c r="I355" i="1"/>
  <c r="J355" i="1" s="1"/>
  <c r="N354" i="1"/>
  <c r="O354" i="1" s="1"/>
  <c r="L354" i="1"/>
  <c r="J354" i="1"/>
  <c r="I354" i="1"/>
  <c r="N353" i="1"/>
  <c r="O353" i="1" s="1"/>
  <c r="L353" i="1"/>
  <c r="J353" i="1"/>
  <c r="I353" i="1"/>
  <c r="O352" i="1"/>
  <c r="N352" i="1"/>
  <c r="L352" i="1"/>
  <c r="I352" i="1"/>
  <c r="J352" i="1" s="1"/>
  <c r="O351" i="1"/>
  <c r="N351" i="1"/>
  <c r="L351" i="1"/>
  <c r="I351" i="1"/>
  <c r="J351" i="1" s="1"/>
  <c r="O350" i="1"/>
  <c r="N350" i="1"/>
  <c r="L350" i="1"/>
  <c r="I350" i="1"/>
  <c r="J350" i="1" s="1"/>
  <c r="N349" i="1"/>
  <c r="O349" i="1" s="1"/>
  <c r="L349" i="1"/>
  <c r="I349" i="1"/>
  <c r="J349" i="1" s="1"/>
  <c r="O348" i="1"/>
  <c r="N348" i="1"/>
  <c r="L348" i="1"/>
  <c r="I348" i="1"/>
  <c r="J348" i="1" s="1"/>
  <c r="O347" i="1"/>
  <c r="N347" i="1"/>
  <c r="L347" i="1"/>
  <c r="I347" i="1"/>
  <c r="J347" i="1" s="1"/>
  <c r="O346" i="1"/>
  <c r="N346" i="1"/>
  <c r="L346" i="1"/>
  <c r="J346" i="1"/>
  <c r="I346" i="1"/>
  <c r="N345" i="1"/>
  <c r="O345" i="1" s="1"/>
  <c r="L345" i="1"/>
  <c r="J345" i="1"/>
  <c r="I345" i="1"/>
  <c r="N344" i="1"/>
  <c r="O344" i="1" s="1"/>
  <c r="L344" i="1"/>
  <c r="I344" i="1"/>
  <c r="J344" i="1" s="1"/>
  <c r="N343" i="1"/>
  <c r="O343" i="1" s="1"/>
  <c r="L343" i="1"/>
  <c r="J343" i="1"/>
  <c r="I343" i="1"/>
  <c r="N342" i="1"/>
  <c r="O342" i="1" s="1"/>
  <c r="L342" i="1"/>
  <c r="I342" i="1"/>
  <c r="J342" i="1" s="1"/>
  <c r="N341" i="1"/>
  <c r="O341" i="1" s="1"/>
  <c r="L341" i="1"/>
  <c r="I341" i="1"/>
  <c r="J341" i="1" s="1"/>
  <c r="O340" i="1"/>
  <c r="N340" i="1"/>
  <c r="L340" i="1"/>
  <c r="I340" i="1"/>
  <c r="J340" i="1" s="1"/>
  <c r="O339" i="1"/>
  <c r="N339" i="1"/>
  <c r="L339" i="1"/>
  <c r="I339" i="1"/>
  <c r="J339" i="1" s="1"/>
  <c r="O338" i="1"/>
  <c r="N338" i="1"/>
  <c r="L338" i="1"/>
  <c r="I338" i="1"/>
  <c r="J338" i="1" s="1"/>
  <c r="N337" i="1"/>
  <c r="O337" i="1" s="1"/>
  <c r="L337" i="1"/>
  <c r="I337" i="1"/>
  <c r="J337" i="1" s="1"/>
  <c r="O336" i="1"/>
  <c r="N336" i="1"/>
  <c r="L336" i="1"/>
  <c r="I336" i="1"/>
  <c r="J336" i="1" s="1"/>
  <c r="O335" i="1"/>
  <c r="N335" i="1"/>
  <c r="L335" i="1"/>
  <c r="J335" i="1"/>
  <c r="I335" i="1"/>
  <c r="N334" i="1"/>
  <c r="O334" i="1" s="1"/>
  <c r="L334" i="1"/>
  <c r="J334" i="1"/>
  <c r="I334" i="1"/>
  <c r="N333" i="1"/>
  <c r="O333" i="1" s="1"/>
  <c r="L333" i="1"/>
  <c r="J333" i="1"/>
  <c r="I333" i="1"/>
  <c r="O332" i="1"/>
  <c r="N332" i="1"/>
  <c r="L332" i="1"/>
  <c r="I332" i="1"/>
  <c r="J332" i="1" s="1"/>
  <c r="O331" i="1"/>
  <c r="N331" i="1"/>
  <c r="L331" i="1"/>
  <c r="I331" i="1"/>
  <c r="J331" i="1" s="1"/>
  <c r="O330" i="1"/>
  <c r="N330" i="1"/>
  <c r="L330" i="1"/>
  <c r="I330" i="1"/>
  <c r="J330" i="1" s="1"/>
  <c r="N329" i="1"/>
  <c r="O329" i="1" s="1"/>
  <c r="L329" i="1"/>
  <c r="I329" i="1"/>
  <c r="J329" i="1" s="1"/>
  <c r="N328" i="1"/>
  <c r="O328" i="1" s="1"/>
  <c r="L328" i="1"/>
  <c r="I328" i="1"/>
  <c r="J328" i="1" s="1"/>
  <c r="N327" i="1"/>
  <c r="O327" i="1" s="1"/>
  <c r="L327" i="1"/>
  <c r="J327" i="1"/>
  <c r="I327" i="1"/>
  <c r="O326" i="1"/>
  <c r="N326" i="1"/>
  <c r="L326" i="1"/>
  <c r="I326" i="1"/>
  <c r="J326" i="1" s="1"/>
  <c r="N325" i="1"/>
  <c r="O325" i="1" s="1"/>
  <c r="L325" i="1"/>
  <c r="I325" i="1"/>
  <c r="J325" i="1" s="1"/>
  <c r="N324" i="1"/>
  <c r="O324" i="1" s="1"/>
  <c r="L324" i="1"/>
  <c r="I324" i="1"/>
  <c r="J324" i="1" s="1"/>
  <c r="N323" i="1"/>
  <c r="O323" i="1" s="1"/>
  <c r="L323" i="1"/>
  <c r="I323" i="1"/>
  <c r="J323" i="1" s="1"/>
  <c r="N322" i="1"/>
  <c r="O322" i="1" s="1"/>
  <c r="L322" i="1"/>
  <c r="J322" i="1"/>
  <c r="I322" i="1"/>
  <c r="N321" i="1"/>
  <c r="O321" i="1" s="1"/>
  <c r="L321" i="1"/>
  <c r="J321" i="1"/>
  <c r="I321" i="1"/>
  <c r="N320" i="1"/>
  <c r="O320" i="1" s="1"/>
  <c r="L320" i="1"/>
  <c r="I320" i="1"/>
  <c r="J320" i="1" s="1"/>
  <c r="N319" i="1"/>
  <c r="O319" i="1" s="1"/>
  <c r="L319" i="1"/>
  <c r="I319" i="1"/>
  <c r="J319" i="1" s="1"/>
  <c r="N318" i="1"/>
  <c r="O318" i="1" s="1"/>
  <c r="L318" i="1"/>
  <c r="J318" i="1"/>
  <c r="I318" i="1"/>
  <c r="N317" i="1"/>
  <c r="O317" i="1" s="1"/>
  <c r="L317" i="1"/>
  <c r="J317" i="1"/>
  <c r="I317" i="1"/>
  <c r="O316" i="1"/>
  <c r="N316" i="1"/>
  <c r="L316" i="1"/>
  <c r="I316" i="1"/>
  <c r="J316" i="1" s="1"/>
  <c r="O315" i="1"/>
  <c r="N315" i="1"/>
  <c r="L315" i="1"/>
  <c r="I315" i="1"/>
  <c r="J315" i="1" s="1"/>
  <c r="O314" i="1"/>
  <c r="N314" i="1"/>
  <c r="L314" i="1"/>
  <c r="I314" i="1"/>
  <c r="J314" i="1" s="1"/>
  <c r="N313" i="1"/>
  <c r="O313" i="1" s="1"/>
  <c r="L313" i="1"/>
  <c r="I313" i="1"/>
  <c r="J313" i="1" s="1"/>
  <c r="N312" i="1"/>
  <c r="O312" i="1" s="1"/>
  <c r="L312" i="1"/>
  <c r="I312" i="1"/>
  <c r="J312" i="1" s="1"/>
  <c r="N311" i="1"/>
  <c r="O311" i="1" s="1"/>
  <c r="L311" i="1"/>
  <c r="J311" i="1"/>
  <c r="I311" i="1"/>
  <c r="O310" i="1"/>
  <c r="N310" i="1"/>
  <c r="L310" i="1"/>
  <c r="I310" i="1"/>
  <c r="J310" i="1" s="1"/>
  <c r="N309" i="1"/>
  <c r="O309" i="1" s="1"/>
  <c r="L309" i="1"/>
  <c r="I309" i="1"/>
  <c r="J309" i="1" s="1"/>
  <c r="N308" i="1"/>
  <c r="O308" i="1" s="1"/>
  <c r="L308" i="1"/>
  <c r="I308" i="1"/>
  <c r="J308" i="1" s="1"/>
  <c r="N307" i="1"/>
  <c r="O307" i="1" s="1"/>
  <c r="L307" i="1"/>
  <c r="I307" i="1"/>
  <c r="J307" i="1" s="1"/>
  <c r="N306" i="1"/>
  <c r="O306" i="1" s="1"/>
  <c r="L306" i="1"/>
  <c r="J306" i="1"/>
  <c r="I306" i="1"/>
  <c r="N305" i="1"/>
  <c r="O305" i="1" s="1"/>
  <c r="L305" i="1"/>
  <c r="J305" i="1"/>
  <c r="I305" i="1"/>
  <c r="O304" i="1"/>
  <c r="N304" i="1"/>
  <c r="L304" i="1"/>
  <c r="I304" i="1"/>
  <c r="J304" i="1" s="1"/>
  <c r="O303" i="1"/>
  <c r="N303" i="1"/>
  <c r="L303" i="1"/>
  <c r="I303" i="1"/>
  <c r="J303" i="1" s="1"/>
  <c r="N302" i="1"/>
  <c r="O302" i="1" s="1"/>
  <c r="L302" i="1"/>
  <c r="I302" i="1"/>
  <c r="J302" i="1" s="1"/>
  <c r="N301" i="1"/>
  <c r="O301" i="1" s="1"/>
  <c r="L301" i="1"/>
  <c r="I301" i="1"/>
  <c r="J301" i="1" s="1"/>
  <c r="N300" i="1"/>
  <c r="O300" i="1" s="1"/>
  <c r="L300" i="1"/>
  <c r="J300" i="1"/>
  <c r="I300" i="1"/>
  <c r="O299" i="1"/>
  <c r="N299" i="1"/>
  <c r="L299" i="1"/>
  <c r="I299" i="1"/>
  <c r="J299" i="1" s="1"/>
  <c r="N298" i="1"/>
  <c r="O298" i="1" s="1"/>
  <c r="L298" i="1"/>
  <c r="I298" i="1"/>
  <c r="J298" i="1" s="1"/>
  <c r="N297" i="1"/>
  <c r="O297" i="1" s="1"/>
  <c r="L297" i="1"/>
  <c r="I297" i="1"/>
  <c r="J297" i="1" s="1"/>
  <c r="N296" i="1"/>
  <c r="O296" i="1" s="1"/>
  <c r="L296" i="1"/>
  <c r="J296" i="1"/>
  <c r="I296" i="1"/>
  <c r="O295" i="1"/>
  <c r="N295" i="1"/>
  <c r="L295" i="1"/>
  <c r="I295" i="1"/>
  <c r="J295" i="1" s="1"/>
  <c r="N294" i="1"/>
  <c r="O294" i="1" s="1"/>
  <c r="L294" i="1"/>
  <c r="I294" i="1"/>
  <c r="J294" i="1" s="1"/>
  <c r="N293" i="1"/>
  <c r="O293" i="1" s="1"/>
  <c r="L293" i="1"/>
  <c r="I293" i="1"/>
  <c r="J293" i="1" s="1"/>
  <c r="N292" i="1"/>
  <c r="O292" i="1" s="1"/>
  <c r="L292" i="1"/>
  <c r="J292" i="1"/>
  <c r="I292" i="1"/>
  <c r="O291" i="1"/>
  <c r="N291" i="1"/>
  <c r="L291" i="1"/>
  <c r="I291" i="1"/>
  <c r="J291" i="1" s="1"/>
  <c r="N290" i="1"/>
  <c r="O290" i="1" s="1"/>
  <c r="L290" i="1"/>
  <c r="I290" i="1"/>
  <c r="J290" i="1" s="1"/>
  <c r="N289" i="1"/>
  <c r="O289" i="1" s="1"/>
  <c r="L289" i="1"/>
  <c r="I289" i="1"/>
  <c r="J289" i="1" s="1"/>
  <c r="N288" i="1"/>
  <c r="O288" i="1" s="1"/>
  <c r="L288" i="1"/>
  <c r="J288" i="1"/>
  <c r="I288" i="1"/>
  <c r="O287" i="1"/>
  <c r="N287" i="1"/>
  <c r="L287" i="1"/>
  <c r="I287" i="1"/>
  <c r="J287" i="1" s="1"/>
  <c r="N286" i="1"/>
  <c r="O286" i="1" s="1"/>
  <c r="L286" i="1"/>
  <c r="I286" i="1"/>
  <c r="J286" i="1" s="1"/>
  <c r="N285" i="1"/>
  <c r="O285" i="1" s="1"/>
  <c r="L285" i="1"/>
  <c r="I285" i="1"/>
  <c r="J285" i="1" s="1"/>
  <c r="N284" i="1"/>
  <c r="O284" i="1" s="1"/>
  <c r="L284" i="1"/>
  <c r="J284" i="1"/>
  <c r="I284" i="1"/>
  <c r="O283" i="1"/>
  <c r="N283" i="1"/>
  <c r="L283" i="1"/>
  <c r="I283" i="1"/>
  <c r="J283" i="1" s="1"/>
  <c r="N282" i="1"/>
  <c r="O282" i="1" s="1"/>
  <c r="L282" i="1"/>
  <c r="I282" i="1"/>
  <c r="J282" i="1" s="1"/>
  <c r="N281" i="1"/>
  <c r="O281" i="1" s="1"/>
  <c r="L281" i="1"/>
  <c r="I281" i="1"/>
  <c r="J281" i="1" s="1"/>
  <c r="N280" i="1"/>
  <c r="O280" i="1" s="1"/>
  <c r="L280" i="1"/>
  <c r="J280" i="1"/>
  <c r="I280" i="1"/>
  <c r="O279" i="1"/>
  <c r="N279" i="1"/>
  <c r="L279" i="1"/>
  <c r="I279" i="1"/>
  <c r="J279" i="1" s="1"/>
  <c r="N278" i="1"/>
  <c r="O278" i="1" s="1"/>
  <c r="L278" i="1"/>
  <c r="I278" i="1"/>
  <c r="J278" i="1" s="1"/>
  <c r="N277" i="1"/>
  <c r="O277" i="1" s="1"/>
  <c r="L277" i="1"/>
  <c r="I277" i="1"/>
  <c r="J277" i="1" s="1"/>
  <c r="N276" i="1"/>
  <c r="O276" i="1" s="1"/>
  <c r="L276" i="1"/>
  <c r="J276" i="1"/>
  <c r="I276" i="1"/>
  <c r="O275" i="1"/>
  <c r="N275" i="1"/>
  <c r="L275" i="1"/>
  <c r="I275" i="1"/>
  <c r="J275" i="1" s="1"/>
  <c r="N274" i="1"/>
  <c r="O274" i="1" s="1"/>
  <c r="L274" i="1"/>
  <c r="I274" i="1"/>
  <c r="J274" i="1" s="1"/>
  <c r="N273" i="1"/>
  <c r="O273" i="1" s="1"/>
  <c r="L273" i="1"/>
  <c r="I273" i="1"/>
  <c r="J273" i="1" s="1"/>
  <c r="N272" i="1"/>
  <c r="O272" i="1" s="1"/>
  <c r="L272" i="1"/>
  <c r="J272" i="1"/>
  <c r="I272" i="1"/>
  <c r="O271" i="1"/>
  <c r="N271" i="1"/>
  <c r="L271" i="1"/>
  <c r="I271" i="1"/>
  <c r="J271" i="1" s="1"/>
  <c r="N270" i="1"/>
  <c r="O270" i="1" s="1"/>
  <c r="L270" i="1"/>
  <c r="I270" i="1"/>
  <c r="J270" i="1" s="1"/>
  <c r="N269" i="1"/>
  <c r="O269" i="1" s="1"/>
  <c r="L269" i="1"/>
  <c r="I269" i="1"/>
  <c r="J269" i="1" s="1"/>
  <c r="N268" i="1"/>
  <c r="O268" i="1" s="1"/>
  <c r="L268" i="1"/>
  <c r="J268" i="1"/>
  <c r="I268" i="1"/>
  <c r="O267" i="1"/>
  <c r="N267" i="1"/>
  <c r="L267" i="1"/>
  <c r="I267" i="1"/>
  <c r="J267" i="1" s="1"/>
  <c r="N266" i="1"/>
  <c r="O266" i="1" s="1"/>
  <c r="L266" i="1"/>
  <c r="I266" i="1"/>
  <c r="J266" i="1" s="1"/>
  <c r="N265" i="1"/>
  <c r="O265" i="1" s="1"/>
  <c r="L265" i="1"/>
  <c r="I265" i="1"/>
  <c r="J265" i="1" s="1"/>
  <c r="N264" i="1"/>
  <c r="O264" i="1" s="1"/>
  <c r="L264" i="1"/>
  <c r="J264" i="1"/>
  <c r="I264" i="1"/>
  <c r="O263" i="1"/>
  <c r="N263" i="1"/>
  <c r="L263" i="1"/>
  <c r="I263" i="1"/>
  <c r="J263" i="1" s="1"/>
  <c r="N262" i="1"/>
  <c r="O262" i="1" s="1"/>
  <c r="L262" i="1"/>
  <c r="I262" i="1"/>
  <c r="J262" i="1" s="1"/>
  <c r="N261" i="1"/>
  <c r="O261" i="1" s="1"/>
  <c r="L261" i="1"/>
  <c r="I261" i="1"/>
  <c r="J261" i="1" s="1"/>
  <c r="N260" i="1"/>
  <c r="O260" i="1" s="1"/>
  <c r="L260" i="1"/>
  <c r="J260" i="1"/>
  <c r="I260" i="1"/>
  <c r="O259" i="1"/>
  <c r="N259" i="1"/>
  <c r="L259" i="1"/>
  <c r="I259" i="1"/>
  <c r="J259" i="1" s="1"/>
  <c r="N258" i="1"/>
  <c r="O258" i="1" s="1"/>
  <c r="L258" i="1"/>
  <c r="I258" i="1"/>
  <c r="J258" i="1" s="1"/>
  <c r="N257" i="1"/>
  <c r="O257" i="1" s="1"/>
  <c r="L257" i="1"/>
  <c r="I257" i="1"/>
  <c r="J257" i="1" s="1"/>
  <c r="N256" i="1"/>
  <c r="O256" i="1" s="1"/>
  <c r="L256" i="1"/>
  <c r="J256" i="1"/>
  <c r="I256" i="1"/>
  <c r="O255" i="1"/>
  <c r="N255" i="1"/>
  <c r="L255" i="1"/>
  <c r="I255" i="1"/>
  <c r="J255" i="1" s="1"/>
  <c r="N254" i="1"/>
  <c r="O254" i="1" s="1"/>
  <c r="L254" i="1"/>
  <c r="I254" i="1"/>
  <c r="J254" i="1" s="1"/>
  <c r="N253" i="1"/>
  <c r="O253" i="1" s="1"/>
  <c r="L253" i="1"/>
  <c r="I253" i="1"/>
  <c r="J253" i="1" s="1"/>
  <c r="N252" i="1"/>
  <c r="O252" i="1" s="1"/>
  <c r="L252" i="1"/>
  <c r="J252" i="1"/>
  <c r="I252" i="1"/>
  <c r="O251" i="1"/>
  <c r="N251" i="1"/>
  <c r="L251" i="1"/>
  <c r="I251" i="1"/>
  <c r="J251" i="1" s="1"/>
  <c r="N250" i="1"/>
  <c r="O250" i="1" s="1"/>
  <c r="L250" i="1"/>
  <c r="I250" i="1"/>
  <c r="J250" i="1" s="1"/>
  <c r="N249" i="1"/>
  <c r="O249" i="1" s="1"/>
  <c r="L249" i="1"/>
  <c r="I249" i="1"/>
  <c r="J249" i="1" s="1"/>
  <c r="N248" i="1"/>
  <c r="O248" i="1" s="1"/>
  <c r="L248" i="1"/>
  <c r="J248" i="1"/>
  <c r="I248" i="1"/>
  <c r="O247" i="1"/>
  <c r="N247" i="1"/>
  <c r="L247" i="1"/>
  <c r="I247" i="1"/>
  <c r="J247" i="1" s="1"/>
  <c r="N246" i="1"/>
  <c r="O246" i="1" s="1"/>
  <c r="L246" i="1"/>
  <c r="I246" i="1"/>
  <c r="J246" i="1" s="1"/>
  <c r="N245" i="1"/>
  <c r="O245" i="1" s="1"/>
  <c r="L245" i="1"/>
  <c r="I245" i="1"/>
  <c r="J245" i="1" s="1"/>
  <c r="N244" i="1"/>
  <c r="O244" i="1" s="1"/>
  <c r="L244" i="1"/>
  <c r="J244" i="1"/>
  <c r="I244" i="1"/>
  <c r="O243" i="1"/>
  <c r="N243" i="1"/>
  <c r="L243" i="1"/>
  <c r="I243" i="1"/>
  <c r="J243" i="1" s="1"/>
  <c r="N242" i="1"/>
  <c r="O242" i="1" s="1"/>
  <c r="L242" i="1"/>
  <c r="I242" i="1"/>
  <c r="J242" i="1" s="1"/>
  <c r="N241" i="1"/>
  <c r="O241" i="1" s="1"/>
  <c r="L241" i="1"/>
  <c r="I241" i="1"/>
  <c r="J241" i="1" s="1"/>
  <c r="N240" i="1"/>
  <c r="O240" i="1" s="1"/>
  <c r="L240" i="1"/>
  <c r="J240" i="1"/>
  <c r="I240" i="1"/>
  <c r="O239" i="1"/>
  <c r="N239" i="1"/>
  <c r="L239" i="1"/>
  <c r="I239" i="1"/>
  <c r="J239" i="1" s="1"/>
  <c r="N238" i="1"/>
  <c r="O238" i="1" s="1"/>
  <c r="L238" i="1"/>
  <c r="I238" i="1"/>
  <c r="J238" i="1" s="1"/>
  <c r="N237" i="1"/>
  <c r="O237" i="1" s="1"/>
  <c r="L237" i="1"/>
  <c r="I237" i="1"/>
  <c r="J237" i="1" s="1"/>
  <c r="N236" i="1"/>
  <c r="O236" i="1" s="1"/>
  <c r="L236" i="1"/>
  <c r="J236" i="1"/>
  <c r="I236" i="1"/>
  <c r="O235" i="1"/>
  <c r="N235" i="1"/>
  <c r="L235" i="1"/>
  <c r="I235" i="1"/>
  <c r="J235" i="1" s="1"/>
  <c r="N234" i="1"/>
  <c r="O234" i="1" s="1"/>
  <c r="L234" i="1"/>
  <c r="I234" i="1"/>
  <c r="J234" i="1" s="1"/>
  <c r="N233" i="1"/>
  <c r="O233" i="1" s="1"/>
  <c r="L233" i="1"/>
  <c r="I233" i="1"/>
  <c r="J233" i="1" s="1"/>
  <c r="N232" i="1"/>
  <c r="O232" i="1" s="1"/>
  <c r="L232" i="1"/>
  <c r="J232" i="1"/>
  <c r="I232" i="1"/>
  <c r="O231" i="1"/>
  <c r="N231" i="1"/>
  <c r="L231" i="1"/>
  <c r="I231" i="1"/>
  <c r="J231" i="1" s="1"/>
  <c r="N230" i="1"/>
  <c r="O230" i="1" s="1"/>
  <c r="L230" i="1"/>
  <c r="I230" i="1"/>
  <c r="J230" i="1" s="1"/>
  <c r="N229" i="1"/>
  <c r="O229" i="1" s="1"/>
  <c r="L229" i="1"/>
  <c r="I229" i="1"/>
  <c r="J229" i="1" s="1"/>
  <c r="N228" i="1"/>
  <c r="O228" i="1" s="1"/>
  <c r="L228" i="1"/>
  <c r="J228" i="1"/>
  <c r="I228" i="1"/>
  <c r="O227" i="1"/>
  <c r="N227" i="1"/>
  <c r="L227" i="1"/>
  <c r="I227" i="1"/>
  <c r="J227" i="1" s="1"/>
  <c r="N226" i="1"/>
  <c r="O226" i="1" s="1"/>
  <c r="L226" i="1"/>
  <c r="I226" i="1"/>
  <c r="J226" i="1" s="1"/>
  <c r="N225" i="1"/>
  <c r="O225" i="1" s="1"/>
  <c r="L225" i="1"/>
  <c r="I225" i="1"/>
  <c r="J225" i="1" s="1"/>
  <c r="N224" i="1"/>
  <c r="O224" i="1" s="1"/>
  <c r="L224" i="1"/>
  <c r="J224" i="1"/>
  <c r="I224" i="1"/>
  <c r="O223" i="1"/>
  <c r="N223" i="1"/>
  <c r="L223" i="1"/>
  <c r="I223" i="1"/>
  <c r="J223" i="1" s="1"/>
  <c r="N222" i="1"/>
  <c r="O222" i="1" s="1"/>
  <c r="L222" i="1"/>
  <c r="I222" i="1"/>
  <c r="J222" i="1" s="1"/>
  <c r="N221" i="1"/>
  <c r="O221" i="1" s="1"/>
  <c r="L221" i="1"/>
  <c r="I221" i="1"/>
  <c r="J221" i="1" s="1"/>
  <c r="N220" i="1"/>
  <c r="O220" i="1" s="1"/>
  <c r="L220" i="1"/>
  <c r="J220" i="1"/>
  <c r="I220" i="1"/>
  <c r="O219" i="1"/>
  <c r="N219" i="1"/>
  <c r="L219" i="1"/>
  <c r="I219" i="1"/>
  <c r="J219" i="1" s="1"/>
  <c r="N218" i="1"/>
  <c r="O218" i="1" s="1"/>
  <c r="L218" i="1"/>
  <c r="I218" i="1"/>
  <c r="J218" i="1" s="1"/>
  <c r="N217" i="1"/>
  <c r="O217" i="1" s="1"/>
  <c r="L217" i="1"/>
  <c r="I217" i="1"/>
  <c r="J217" i="1" s="1"/>
  <c r="N216" i="1"/>
  <c r="O216" i="1" s="1"/>
  <c r="L216" i="1"/>
  <c r="J216" i="1"/>
  <c r="I216" i="1"/>
  <c r="O215" i="1"/>
  <c r="N215" i="1"/>
  <c r="L215" i="1"/>
  <c r="I215" i="1"/>
  <c r="J215" i="1" s="1"/>
  <c r="N214" i="1"/>
  <c r="O214" i="1" s="1"/>
  <c r="L214" i="1"/>
  <c r="I214" i="1"/>
  <c r="J214" i="1" s="1"/>
  <c r="N213" i="1"/>
  <c r="O213" i="1" s="1"/>
  <c r="L213" i="1"/>
  <c r="I213" i="1"/>
  <c r="J213" i="1" s="1"/>
  <c r="N212" i="1"/>
  <c r="O212" i="1" s="1"/>
  <c r="L212" i="1"/>
  <c r="J212" i="1"/>
  <c r="I212" i="1"/>
  <c r="O211" i="1"/>
  <c r="N211" i="1"/>
  <c r="L211" i="1"/>
  <c r="I211" i="1"/>
  <c r="J211" i="1" s="1"/>
  <c r="N210" i="1"/>
  <c r="O210" i="1" s="1"/>
  <c r="L210" i="1"/>
  <c r="I210" i="1"/>
  <c r="J210" i="1" s="1"/>
  <c r="N209" i="1"/>
  <c r="O209" i="1" s="1"/>
  <c r="L209" i="1"/>
  <c r="I209" i="1"/>
  <c r="J209" i="1" s="1"/>
  <c r="N208" i="1"/>
  <c r="O208" i="1" s="1"/>
  <c r="L208" i="1"/>
  <c r="J208" i="1"/>
  <c r="I208" i="1"/>
  <c r="O207" i="1"/>
  <c r="N207" i="1"/>
  <c r="L207" i="1"/>
  <c r="I207" i="1"/>
  <c r="J207" i="1" s="1"/>
  <c r="N206" i="1"/>
  <c r="O206" i="1" s="1"/>
  <c r="L206" i="1"/>
  <c r="I206" i="1"/>
  <c r="J206" i="1" s="1"/>
  <c r="N205" i="1"/>
  <c r="O205" i="1" s="1"/>
  <c r="L205" i="1"/>
  <c r="I205" i="1"/>
  <c r="J205" i="1" s="1"/>
  <c r="N204" i="1"/>
  <c r="O204" i="1" s="1"/>
  <c r="L204" i="1"/>
  <c r="J204" i="1"/>
  <c r="I204" i="1"/>
  <c r="O203" i="1"/>
  <c r="N203" i="1"/>
  <c r="L203" i="1"/>
  <c r="I203" i="1"/>
  <c r="J203" i="1" s="1"/>
  <c r="N202" i="1"/>
  <c r="O202" i="1" s="1"/>
  <c r="L202" i="1"/>
  <c r="I202" i="1"/>
  <c r="J202" i="1" s="1"/>
  <c r="N201" i="1"/>
  <c r="O201" i="1" s="1"/>
  <c r="L201" i="1"/>
  <c r="I201" i="1"/>
  <c r="J201" i="1" s="1"/>
  <c r="N200" i="1"/>
  <c r="O200" i="1" s="1"/>
  <c r="L200" i="1"/>
  <c r="J200" i="1"/>
  <c r="I200" i="1"/>
  <c r="O199" i="1"/>
  <c r="N199" i="1"/>
  <c r="L199" i="1"/>
  <c r="I199" i="1"/>
  <c r="J199" i="1" s="1"/>
  <c r="N198" i="1"/>
  <c r="O198" i="1" s="1"/>
  <c r="L198" i="1"/>
  <c r="I198" i="1"/>
  <c r="J198" i="1" s="1"/>
  <c r="N197" i="1"/>
  <c r="O197" i="1" s="1"/>
  <c r="L197" i="1"/>
  <c r="I197" i="1"/>
  <c r="J197" i="1" s="1"/>
  <c r="N196" i="1"/>
  <c r="O196" i="1" s="1"/>
  <c r="L196" i="1"/>
  <c r="J196" i="1"/>
  <c r="I196" i="1"/>
  <c r="O195" i="1"/>
  <c r="N195" i="1"/>
  <c r="L195" i="1"/>
  <c r="I195" i="1"/>
  <c r="J195" i="1" s="1"/>
  <c r="N194" i="1"/>
  <c r="O194" i="1" s="1"/>
  <c r="L194" i="1"/>
  <c r="I194" i="1"/>
  <c r="J194" i="1" s="1"/>
  <c r="N193" i="1"/>
  <c r="O193" i="1" s="1"/>
  <c r="L193" i="1"/>
  <c r="I193" i="1"/>
  <c r="J193" i="1" s="1"/>
  <c r="N192" i="1"/>
  <c r="O192" i="1" s="1"/>
  <c r="L192" i="1"/>
  <c r="J192" i="1"/>
  <c r="I192" i="1"/>
  <c r="O191" i="1"/>
  <c r="N191" i="1"/>
  <c r="L191" i="1"/>
  <c r="I191" i="1"/>
  <c r="J191" i="1" s="1"/>
  <c r="N190" i="1"/>
  <c r="O190" i="1" s="1"/>
  <c r="L190" i="1"/>
  <c r="I190" i="1"/>
  <c r="J190" i="1" s="1"/>
  <c r="N189" i="1"/>
  <c r="O189" i="1" s="1"/>
  <c r="L189" i="1"/>
  <c r="I189" i="1"/>
  <c r="J189" i="1" s="1"/>
  <c r="N188" i="1"/>
  <c r="O188" i="1" s="1"/>
  <c r="L188" i="1"/>
  <c r="J188" i="1"/>
  <c r="I188" i="1"/>
  <c r="O187" i="1"/>
  <c r="N187" i="1"/>
  <c r="L187" i="1"/>
  <c r="I187" i="1"/>
  <c r="J187" i="1" s="1"/>
  <c r="N186" i="1"/>
  <c r="O186" i="1" s="1"/>
  <c r="L186" i="1"/>
  <c r="I186" i="1"/>
  <c r="J186" i="1" s="1"/>
  <c r="N185" i="1"/>
  <c r="O185" i="1" s="1"/>
  <c r="L185" i="1"/>
  <c r="I185" i="1"/>
  <c r="J185" i="1" s="1"/>
  <c r="N184" i="1"/>
  <c r="O184" i="1" s="1"/>
  <c r="L184" i="1"/>
  <c r="J184" i="1"/>
  <c r="I184" i="1"/>
  <c r="O183" i="1"/>
  <c r="N183" i="1"/>
  <c r="L183" i="1"/>
  <c r="I183" i="1"/>
  <c r="J183" i="1" s="1"/>
  <c r="N182" i="1"/>
  <c r="O182" i="1" s="1"/>
  <c r="L182" i="1"/>
  <c r="I182" i="1"/>
  <c r="J182" i="1" s="1"/>
  <c r="N181" i="1"/>
  <c r="O181" i="1" s="1"/>
  <c r="L181" i="1"/>
  <c r="I181" i="1"/>
  <c r="J181" i="1" s="1"/>
  <c r="N180" i="1"/>
  <c r="O180" i="1" s="1"/>
  <c r="L180" i="1"/>
  <c r="J180" i="1"/>
  <c r="I180" i="1"/>
  <c r="O179" i="1"/>
  <c r="N179" i="1"/>
  <c r="L179" i="1"/>
  <c r="I179" i="1"/>
  <c r="J179" i="1" s="1"/>
  <c r="N178" i="1"/>
  <c r="O178" i="1" s="1"/>
  <c r="L178" i="1"/>
  <c r="I178" i="1"/>
  <c r="J178" i="1" s="1"/>
  <c r="N177" i="1"/>
  <c r="O177" i="1" s="1"/>
  <c r="L177" i="1"/>
  <c r="I177" i="1"/>
  <c r="J177" i="1" s="1"/>
  <c r="N176" i="1"/>
  <c r="O176" i="1" s="1"/>
  <c r="L176" i="1"/>
  <c r="J176" i="1"/>
  <c r="I176" i="1"/>
  <c r="O175" i="1"/>
  <c r="N175" i="1"/>
  <c r="L175" i="1"/>
  <c r="I175" i="1"/>
  <c r="J175" i="1" s="1"/>
  <c r="N174" i="1"/>
  <c r="O174" i="1" s="1"/>
  <c r="L174" i="1"/>
  <c r="I174" i="1"/>
  <c r="J174" i="1" s="1"/>
  <c r="N173" i="1"/>
  <c r="O173" i="1" s="1"/>
  <c r="L173" i="1"/>
  <c r="I173" i="1"/>
  <c r="J173" i="1" s="1"/>
  <c r="N172" i="1"/>
  <c r="O172" i="1" s="1"/>
  <c r="L172" i="1"/>
  <c r="J172" i="1"/>
  <c r="I172" i="1"/>
  <c r="O171" i="1"/>
  <c r="N171" i="1"/>
  <c r="L171" i="1"/>
  <c r="I171" i="1"/>
  <c r="J171" i="1" s="1"/>
  <c r="N170" i="1"/>
  <c r="O170" i="1" s="1"/>
  <c r="L170" i="1"/>
  <c r="I170" i="1"/>
  <c r="J170" i="1" s="1"/>
  <c r="N169" i="1"/>
  <c r="O169" i="1" s="1"/>
  <c r="L169" i="1"/>
  <c r="I169" i="1"/>
  <c r="J169" i="1" s="1"/>
  <c r="N168" i="1"/>
  <c r="O168" i="1" s="1"/>
  <c r="L168" i="1"/>
  <c r="J168" i="1"/>
  <c r="I168" i="1"/>
  <c r="O167" i="1"/>
  <c r="N167" i="1"/>
  <c r="L167" i="1"/>
  <c r="I167" i="1"/>
  <c r="J167" i="1" s="1"/>
  <c r="N166" i="1"/>
  <c r="O166" i="1" s="1"/>
  <c r="L166" i="1"/>
  <c r="I166" i="1"/>
  <c r="J166" i="1" s="1"/>
  <c r="N165" i="1"/>
  <c r="O165" i="1" s="1"/>
  <c r="L165" i="1"/>
  <c r="I165" i="1"/>
  <c r="J165" i="1" s="1"/>
  <c r="O164" i="1"/>
  <c r="N164" i="1"/>
  <c r="L164" i="1"/>
  <c r="I164" i="1"/>
  <c r="J164" i="1" s="1"/>
  <c r="N163" i="1"/>
  <c r="O163" i="1" s="1"/>
  <c r="L163" i="1"/>
  <c r="J163" i="1"/>
  <c r="I163" i="1"/>
  <c r="N162" i="1"/>
  <c r="O162" i="1" s="1"/>
  <c r="L162" i="1"/>
  <c r="J162" i="1"/>
  <c r="I162" i="1"/>
  <c r="O161" i="1"/>
  <c r="N161" i="1"/>
  <c r="L161" i="1"/>
  <c r="I161" i="1"/>
  <c r="J161" i="1" s="1"/>
  <c r="O160" i="1"/>
  <c r="N160" i="1"/>
  <c r="L160" i="1"/>
  <c r="I160" i="1"/>
  <c r="J160" i="1" s="1"/>
  <c r="N159" i="1"/>
  <c r="O159" i="1" s="1"/>
  <c r="L159" i="1"/>
  <c r="J159" i="1"/>
  <c r="I159" i="1"/>
  <c r="N158" i="1"/>
  <c r="O158" i="1" s="1"/>
  <c r="L158" i="1"/>
  <c r="J158" i="1"/>
  <c r="I158" i="1"/>
  <c r="O157" i="1"/>
  <c r="N157" i="1"/>
  <c r="L157" i="1"/>
  <c r="I157" i="1"/>
  <c r="J157" i="1" s="1"/>
  <c r="O156" i="1"/>
  <c r="N156" i="1"/>
  <c r="L156" i="1"/>
  <c r="I156" i="1"/>
  <c r="J156" i="1" s="1"/>
  <c r="N155" i="1"/>
  <c r="O155" i="1" s="1"/>
  <c r="L155" i="1"/>
  <c r="J155" i="1"/>
  <c r="I155" i="1"/>
  <c r="N154" i="1"/>
  <c r="O154" i="1" s="1"/>
  <c r="L154" i="1"/>
  <c r="J154" i="1"/>
  <c r="I154" i="1"/>
  <c r="O153" i="1"/>
  <c r="N153" i="1"/>
  <c r="L153" i="1"/>
  <c r="I153" i="1"/>
  <c r="J153" i="1" s="1"/>
  <c r="O152" i="1"/>
  <c r="N152" i="1"/>
  <c r="L152" i="1"/>
  <c r="I152" i="1"/>
  <c r="J152" i="1" s="1"/>
  <c r="N151" i="1"/>
  <c r="O151" i="1" s="1"/>
  <c r="L151" i="1"/>
  <c r="J151" i="1"/>
  <c r="I151" i="1"/>
  <c r="N150" i="1"/>
  <c r="O150" i="1" s="1"/>
  <c r="L150" i="1"/>
  <c r="J150" i="1"/>
  <c r="I150" i="1"/>
  <c r="O149" i="1"/>
  <c r="N149" i="1"/>
  <c r="L149" i="1"/>
  <c r="I149" i="1"/>
  <c r="J149" i="1" s="1"/>
  <c r="O148" i="1"/>
  <c r="N148" i="1"/>
  <c r="L148" i="1"/>
  <c r="I148" i="1"/>
  <c r="J148" i="1" s="1"/>
  <c r="N147" i="1"/>
  <c r="O147" i="1" s="1"/>
  <c r="L147" i="1"/>
  <c r="J147" i="1"/>
  <c r="I147" i="1"/>
  <c r="N146" i="1"/>
  <c r="O146" i="1" s="1"/>
  <c r="L146" i="1"/>
  <c r="J146" i="1"/>
  <c r="I146" i="1"/>
  <c r="O145" i="1"/>
  <c r="N145" i="1"/>
  <c r="L145" i="1"/>
  <c r="I145" i="1"/>
  <c r="J145" i="1" s="1"/>
  <c r="O144" i="1"/>
  <c r="N144" i="1"/>
  <c r="L144" i="1"/>
  <c r="I144" i="1"/>
  <c r="J144" i="1" s="1"/>
  <c r="N143" i="1"/>
  <c r="O143" i="1" s="1"/>
  <c r="L143" i="1"/>
  <c r="J143" i="1"/>
  <c r="I143" i="1"/>
  <c r="N142" i="1"/>
  <c r="O142" i="1" s="1"/>
  <c r="L142" i="1"/>
  <c r="J142" i="1"/>
  <c r="I142" i="1"/>
  <c r="O141" i="1"/>
  <c r="N141" i="1"/>
  <c r="L141" i="1"/>
  <c r="I141" i="1"/>
  <c r="J141" i="1" s="1"/>
  <c r="O140" i="1"/>
  <c r="N140" i="1"/>
  <c r="L140" i="1"/>
  <c r="I140" i="1"/>
  <c r="J140" i="1" s="1"/>
  <c r="N139" i="1"/>
  <c r="O139" i="1" s="1"/>
  <c r="L139" i="1"/>
  <c r="J139" i="1"/>
  <c r="I139" i="1"/>
  <c r="N138" i="1"/>
  <c r="O138" i="1" s="1"/>
  <c r="L138" i="1"/>
  <c r="J138" i="1"/>
  <c r="I138" i="1"/>
  <c r="O137" i="1"/>
  <c r="N137" i="1"/>
  <c r="L137" i="1"/>
  <c r="I137" i="1"/>
  <c r="J137" i="1" s="1"/>
  <c r="O136" i="1"/>
  <c r="N136" i="1"/>
  <c r="L136" i="1"/>
  <c r="I136" i="1"/>
  <c r="J136" i="1" s="1"/>
  <c r="N135" i="1"/>
  <c r="O135" i="1" s="1"/>
  <c r="L135" i="1"/>
  <c r="J135" i="1"/>
  <c r="I135" i="1"/>
  <c r="N134" i="1"/>
  <c r="O134" i="1" s="1"/>
  <c r="L134" i="1"/>
  <c r="J134" i="1"/>
  <c r="I134" i="1"/>
  <c r="O133" i="1"/>
  <c r="N133" i="1"/>
  <c r="L133" i="1"/>
  <c r="I133" i="1"/>
  <c r="J133" i="1" s="1"/>
  <c r="O132" i="1"/>
  <c r="N132" i="1"/>
  <c r="L132" i="1"/>
  <c r="I132" i="1"/>
  <c r="J132" i="1" s="1"/>
  <c r="N131" i="1"/>
  <c r="O131" i="1" s="1"/>
  <c r="L131" i="1"/>
  <c r="J131" i="1"/>
  <c r="I131" i="1"/>
  <c r="N130" i="1"/>
  <c r="O130" i="1" s="1"/>
  <c r="L130" i="1"/>
  <c r="J130" i="1"/>
  <c r="I130" i="1"/>
  <c r="O129" i="1"/>
  <c r="N129" i="1"/>
  <c r="L129" i="1"/>
  <c r="I129" i="1"/>
  <c r="J129" i="1" s="1"/>
  <c r="O128" i="1"/>
  <c r="N128" i="1"/>
  <c r="L128" i="1"/>
  <c r="I128" i="1"/>
  <c r="J128" i="1" s="1"/>
  <c r="N127" i="1"/>
  <c r="O127" i="1" s="1"/>
  <c r="L127" i="1"/>
  <c r="J127" i="1"/>
  <c r="I127" i="1"/>
  <c r="N126" i="1"/>
  <c r="O126" i="1" s="1"/>
  <c r="L126" i="1"/>
  <c r="J126" i="1"/>
  <c r="I126" i="1"/>
  <c r="O125" i="1"/>
  <c r="N125" i="1"/>
  <c r="L125" i="1"/>
  <c r="I125" i="1"/>
  <c r="J125" i="1" s="1"/>
  <c r="O124" i="1"/>
  <c r="N124" i="1"/>
  <c r="L124" i="1"/>
  <c r="I124" i="1"/>
  <c r="J124" i="1" s="1"/>
  <c r="N123" i="1"/>
  <c r="O123" i="1" s="1"/>
  <c r="L123" i="1"/>
  <c r="J123" i="1"/>
  <c r="I123" i="1"/>
  <c r="N122" i="1"/>
  <c r="O122" i="1" s="1"/>
  <c r="L122" i="1"/>
  <c r="J122" i="1"/>
  <c r="I122" i="1"/>
  <c r="O121" i="1"/>
  <c r="N121" i="1"/>
  <c r="L121" i="1"/>
  <c r="I121" i="1"/>
  <c r="J121" i="1" s="1"/>
  <c r="O120" i="1"/>
  <c r="N120" i="1"/>
  <c r="L120" i="1"/>
  <c r="I120" i="1"/>
  <c r="J120" i="1" s="1"/>
  <c r="N119" i="1"/>
  <c r="O119" i="1" s="1"/>
  <c r="L119" i="1"/>
  <c r="J119" i="1"/>
  <c r="I119" i="1"/>
  <c r="N118" i="1"/>
  <c r="O118" i="1" s="1"/>
  <c r="L118" i="1"/>
  <c r="J118" i="1"/>
  <c r="I118" i="1"/>
  <c r="O117" i="1"/>
  <c r="N117" i="1"/>
  <c r="L117" i="1"/>
  <c r="I117" i="1"/>
  <c r="J117" i="1" s="1"/>
  <c r="O116" i="1"/>
  <c r="N116" i="1"/>
  <c r="L116" i="1"/>
  <c r="I116" i="1"/>
  <c r="J116" i="1" s="1"/>
  <c r="N115" i="1"/>
  <c r="O115" i="1" s="1"/>
  <c r="L115" i="1"/>
  <c r="J115" i="1"/>
  <c r="I115" i="1"/>
  <c r="N114" i="1"/>
  <c r="O114" i="1" s="1"/>
  <c r="L114" i="1"/>
  <c r="J114" i="1"/>
  <c r="I114" i="1"/>
  <c r="O113" i="1"/>
  <c r="N113" i="1"/>
  <c r="L113" i="1"/>
  <c r="I113" i="1"/>
  <c r="J113" i="1" s="1"/>
  <c r="O112" i="1"/>
  <c r="N112" i="1"/>
  <c r="L112" i="1"/>
  <c r="I112" i="1"/>
  <c r="J112" i="1" s="1"/>
  <c r="N111" i="1"/>
  <c r="O111" i="1" s="1"/>
  <c r="L111" i="1"/>
  <c r="J111" i="1"/>
  <c r="I111" i="1"/>
  <c r="N110" i="1"/>
  <c r="O110" i="1" s="1"/>
  <c r="L110" i="1"/>
  <c r="J110" i="1"/>
  <c r="I110" i="1"/>
  <c r="O109" i="1"/>
  <c r="N109" i="1"/>
  <c r="L109" i="1"/>
  <c r="I109" i="1"/>
  <c r="J109" i="1" s="1"/>
  <c r="O108" i="1"/>
  <c r="N108" i="1"/>
  <c r="L108" i="1"/>
  <c r="I108" i="1"/>
  <c r="J108" i="1" s="1"/>
  <c r="N107" i="1"/>
  <c r="O107" i="1" s="1"/>
  <c r="L107" i="1"/>
  <c r="J107" i="1"/>
  <c r="I107" i="1"/>
  <c r="N106" i="1"/>
  <c r="O106" i="1" s="1"/>
  <c r="L106" i="1"/>
  <c r="J106" i="1"/>
  <c r="I106" i="1"/>
  <c r="O105" i="1"/>
  <c r="N105" i="1"/>
  <c r="L105" i="1"/>
  <c r="I105" i="1"/>
  <c r="J105" i="1" s="1"/>
  <c r="O104" i="1"/>
  <c r="N104" i="1"/>
  <c r="L104" i="1"/>
  <c r="I104" i="1"/>
  <c r="J104" i="1" s="1"/>
  <c r="N103" i="1"/>
  <c r="O103" i="1" s="1"/>
  <c r="L103" i="1"/>
  <c r="J103" i="1"/>
  <c r="I103" i="1"/>
  <c r="N102" i="1"/>
  <c r="O102" i="1" s="1"/>
  <c r="L102" i="1"/>
  <c r="J102" i="1"/>
  <c r="I102" i="1"/>
  <c r="O101" i="1"/>
  <c r="N101" i="1"/>
  <c r="L101" i="1"/>
  <c r="I101" i="1"/>
  <c r="J101" i="1" s="1"/>
  <c r="O100" i="1"/>
  <c r="N100" i="1"/>
  <c r="L100" i="1"/>
  <c r="I100" i="1"/>
  <c r="J100" i="1" s="1"/>
  <c r="N99" i="1"/>
  <c r="O99" i="1" s="1"/>
  <c r="L99" i="1"/>
  <c r="J99" i="1"/>
  <c r="I99" i="1"/>
  <c r="N98" i="1"/>
  <c r="O98" i="1" s="1"/>
  <c r="L98" i="1"/>
  <c r="J98" i="1"/>
  <c r="I98" i="1"/>
  <c r="O97" i="1"/>
  <c r="N97" i="1"/>
  <c r="L97" i="1"/>
  <c r="I97" i="1"/>
  <c r="J97" i="1" s="1"/>
  <c r="O96" i="1"/>
  <c r="N96" i="1"/>
  <c r="L96" i="1"/>
  <c r="I96" i="1"/>
  <c r="J96" i="1" s="1"/>
  <c r="N95" i="1"/>
  <c r="O95" i="1" s="1"/>
  <c r="L95" i="1"/>
  <c r="J95" i="1"/>
  <c r="I95" i="1"/>
  <c r="N94" i="1"/>
  <c r="O94" i="1" s="1"/>
  <c r="L94" i="1"/>
  <c r="J94" i="1"/>
  <c r="I94" i="1"/>
  <c r="O93" i="1"/>
  <c r="N93" i="1"/>
  <c r="L93" i="1"/>
  <c r="I93" i="1"/>
  <c r="J93" i="1" s="1"/>
  <c r="O92" i="1"/>
  <c r="N92" i="1"/>
  <c r="L92" i="1"/>
  <c r="I92" i="1"/>
  <c r="J92" i="1" s="1"/>
  <c r="N91" i="1"/>
  <c r="O91" i="1" s="1"/>
  <c r="L91" i="1"/>
  <c r="J91" i="1"/>
  <c r="I91" i="1"/>
  <c r="N90" i="1"/>
  <c r="O90" i="1" s="1"/>
  <c r="L90" i="1"/>
  <c r="J90" i="1"/>
  <c r="I90" i="1"/>
  <c r="O89" i="1"/>
  <c r="N89" i="1"/>
  <c r="L89" i="1"/>
  <c r="I89" i="1"/>
  <c r="J89" i="1" s="1"/>
  <c r="O88" i="1"/>
  <c r="N88" i="1"/>
  <c r="L88" i="1"/>
  <c r="I88" i="1"/>
  <c r="J88" i="1" s="1"/>
  <c r="N87" i="1"/>
  <c r="O87" i="1" s="1"/>
  <c r="L87" i="1"/>
  <c r="J87" i="1"/>
  <c r="I87" i="1"/>
  <c r="N86" i="1"/>
  <c r="O86" i="1" s="1"/>
  <c r="L86" i="1"/>
  <c r="J86" i="1"/>
  <c r="I86" i="1"/>
  <c r="O85" i="1"/>
  <c r="N85" i="1"/>
  <c r="L85" i="1"/>
  <c r="I85" i="1"/>
  <c r="J85" i="1" s="1"/>
  <c r="O84" i="1"/>
  <c r="N84" i="1"/>
  <c r="L84" i="1"/>
  <c r="I84" i="1"/>
  <c r="J84" i="1" s="1"/>
  <c r="N83" i="1"/>
  <c r="O83" i="1" s="1"/>
  <c r="L83" i="1"/>
  <c r="J83" i="1"/>
  <c r="I83" i="1"/>
  <c r="N82" i="1"/>
  <c r="O82" i="1" s="1"/>
  <c r="L82" i="1"/>
  <c r="J82" i="1"/>
  <c r="I82" i="1"/>
  <c r="O81" i="1"/>
  <c r="N81" i="1"/>
  <c r="L81" i="1"/>
  <c r="I81" i="1"/>
  <c r="J81" i="1" s="1"/>
  <c r="O80" i="1"/>
  <c r="N80" i="1"/>
  <c r="L80" i="1"/>
  <c r="I80" i="1"/>
  <c r="J80" i="1" s="1"/>
  <c r="N79" i="1"/>
  <c r="O79" i="1" s="1"/>
  <c r="L79" i="1"/>
  <c r="J79" i="1"/>
  <c r="I79" i="1"/>
  <c r="N78" i="1"/>
  <c r="O78" i="1" s="1"/>
  <c r="L78" i="1"/>
  <c r="J78" i="1"/>
  <c r="I78" i="1"/>
  <c r="O77" i="1"/>
  <c r="N77" i="1"/>
  <c r="L77" i="1"/>
  <c r="I77" i="1"/>
  <c r="J77" i="1" s="1"/>
  <c r="O76" i="1"/>
  <c r="N76" i="1"/>
  <c r="L76" i="1"/>
  <c r="I76" i="1"/>
  <c r="J76" i="1" s="1"/>
  <c r="N75" i="1"/>
  <c r="O75" i="1" s="1"/>
  <c r="L75" i="1"/>
  <c r="J75" i="1"/>
  <c r="I75" i="1"/>
  <c r="N74" i="1"/>
  <c r="O74" i="1" s="1"/>
  <c r="L74" i="1"/>
  <c r="J74" i="1"/>
  <c r="I74" i="1"/>
  <c r="O73" i="1"/>
  <c r="N73" i="1"/>
  <c r="L73" i="1"/>
  <c r="I73" i="1"/>
  <c r="J73" i="1" s="1"/>
  <c r="O72" i="1"/>
  <c r="N72" i="1"/>
  <c r="L72" i="1"/>
  <c r="I72" i="1"/>
  <c r="J72" i="1" s="1"/>
  <c r="N71" i="1"/>
  <c r="O71" i="1" s="1"/>
  <c r="L71" i="1"/>
  <c r="J71" i="1"/>
  <c r="I71" i="1"/>
  <c r="N70" i="1"/>
  <c r="O70" i="1" s="1"/>
  <c r="L70" i="1"/>
  <c r="J70" i="1"/>
  <c r="I70" i="1"/>
  <c r="O69" i="1"/>
  <c r="N69" i="1"/>
  <c r="L69" i="1"/>
  <c r="I69" i="1"/>
  <c r="J69" i="1" s="1"/>
  <c r="O68" i="1"/>
  <c r="N68" i="1"/>
  <c r="L68" i="1"/>
  <c r="I68" i="1"/>
  <c r="J68" i="1" s="1"/>
  <c r="N67" i="1"/>
  <c r="O67" i="1" s="1"/>
  <c r="L67" i="1"/>
  <c r="J67" i="1"/>
  <c r="I67" i="1"/>
  <c r="N66" i="1"/>
  <c r="O66" i="1" s="1"/>
  <c r="L66" i="1"/>
  <c r="J66" i="1"/>
  <c r="I66" i="1"/>
  <c r="O65" i="1"/>
  <c r="N65" i="1"/>
  <c r="L65" i="1"/>
  <c r="I65" i="1"/>
  <c r="J65" i="1" s="1"/>
  <c r="O64" i="1"/>
  <c r="N64" i="1"/>
  <c r="L64" i="1"/>
  <c r="I64" i="1"/>
  <c r="J64" i="1" s="1"/>
  <c r="N63" i="1"/>
  <c r="O63" i="1" s="1"/>
  <c r="L63" i="1"/>
  <c r="J63" i="1"/>
  <c r="I63" i="1"/>
  <c r="N62" i="1"/>
  <c r="O62" i="1" s="1"/>
  <c r="L62" i="1"/>
  <c r="J62" i="1"/>
  <c r="I62" i="1"/>
  <c r="O61" i="1"/>
  <c r="N61" i="1"/>
  <c r="L61" i="1"/>
  <c r="I61" i="1"/>
  <c r="J61" i="1" s="1"/>
  <c r="O60" i="1"/>
  <c r="N60" i="1"/>
  <c r="L60" i="1"/>
  <c r="I60" i="1"/>
  <c r="J60" i="1" s="1"/>
  <c r="N59" i="1"/>
  <c r="O59" i="1" s="1"/>
  <c r="L59" i="1"/>
  <c r="J59" i="1"/>
  <c r="I59" i="1"/>
  <c r="N58" i="1"/>
  <c r="O58" i="1" s="1"/>
  <c r="L58" i="1"/>
  <c r="J58" i="1"/>
  <c r="I58" i="1"/>
  <c r="O57" i="1"/>
  <c r="N57" i="1"/>
  <c r="L57" i="1"/>
  <c r="I57" i="1"/>
  <c r="J57" i="1" s="1"/>
  <c r="O56" i="1"/>
  <c r="N56" i="1"/>
  <c r="L56" i="1"/>
  <c r="I56" i="1"/>
  <c r="J56" i="1" s="1"/>
  <c r="N55" i="1"/>
  <c r="O55" i="1" s="1"/>
  <c r="L55" i="1"/>
  <c r="J55" i="1"/>
  <c r="I55" i="1"/>
  <c r="N54" i="1"/>
  <c r="O54" i="1" s="1"/>
  <c r="L54" i="1"/>
  <c r="J54" i="1"/>
  <c r="I54" i="1"/>
  <c r="O53" i="1"/>
  <c r="N53" i="1"/>
  <c r="L53" i="1"/>
  <c r="I53" i="1"/>
  <c r="J53" i="1" s="1"/>
  <c r="O52" i="1"/>
  <c r="N52" i="1"/>
  <c r="L52" i="1"/>
  <c r="I52" i="1"/>
  <c r="J52" i="1" s="1"/>
  <c r="N51" i="1"/>
  <c r="O51" i="1" s="1"/>
  <c r="L51" i="1"/>
  <c r="J51" i="1"/>
  <c r="I51" i="1"/>
  <c r="N50" i="1"/>
  <c r="O50" i="1" s="1"/>
  <c r="L50" i="1"/>
  <c r="J50" i="1"/>
  <c r="I50" i="1"/>
  <c r="O49" i="1"/>
  <c r="N49" i="1"/>
  <c r="L49" i="1"/>
  <c r="I49" i="1"/>
  <c r="J49" i="1" s="1"/>
  <c r="O48" i="1"/>
  <c r="N48" i="1"/>
  <c r="L48" i="1"/>
  <c r="I48" i="1"/>
  <c r="J48" i="1" s="1"/>
  <c r="N47" i="1"/>
  <c r="O47" i="1" s="1"/>
  <c r="L47" i="1"/>
  <c r="J47" i="1"/>
  <c r="I47" i="1"/>
  <c r="N46" i="1"/>
  <c r="O46" i="1" s="1"/>
  <c r="L46" i="1"/>
  <c r="J46" i="1"/>
  <c r="I46" i="1"/>
  <c r="O45" i="1"/>
  <c r="N45" i="1"/>
  <c r="L45" i="1"/>
  <c r="I45" i="1"/>
  <c r="J45" i="1" s="1"/>
  <c r="O44" i="1"/>
  <c r="N44" i="1"/>
  <c r="L44" i="1"/>
  <c r="I44" i="1"/>
  <c r="J44" i="1" s="1"/>
  <c r="N43" i="1"/>
  <c r="O43" i="1" s="1"/>
  <c r="L43" i="1"/>
  <c r="J43" i="1"/>
  <c r="I43" i="1"/>
  <c r="N42" i="1"/>
  <c r="O42" i="1" s="1"/>
  <c r="L42" i="1"/>
  <c r="J42" i="1"/>
  <c r="I42" i="1"/>
  <c r="O41" i="1"/>
  <c r="N41" i="1"/>
  <c r="L41" i="1"/>
  <c r="I41" i="1"/>
  <c r="J41" i="1" s="1"/>
  <c r="O40" i="1"/>
  <c r="N40" i="1"/>
  <c r="L40" i="1"/>
  <c r="I40" i="1"/>
  <c r="J40" i="1" s="1"/>
  <c r="N39" i="1"/>
  <c r="O39" i="1" s="1"/>
  <c r="L39" i="1"/>
  <c r="J39" i="1"/>
  <c r="I39" i="1"/>
  <c r="N38" i="1"/>
  <c r="O38" i="1" s="1"/>
  <c r="L38" i="1"/>
  <c r="J38" i="1"/>
  <c r="I38" i="1"/>
  <c r="O37" i="1"/>
  <c r="N37" i="1"/>
  <c r="L37" i="1"/>
  <c r="I37" i="1"/>
  <c r="J37" i="1" s="1"/>
  <c r="O36" i="1"/>
  <c r="N36" i="1"/>
  <c r="L36" i="1"/>
  <c r="I36" i="1"/>
  <c r="J36" i="1" s="1"/>
  <c r="N35" i="1"/>
  <c r="O35" i="1" s="1"/>
  <c r="L35" i="1"/>
  <c r="J35" i="1"/>
  <c r="I35" i="1"/>
  <c r="N34" i="1"/>
  <c r="O34" i="1" s="1"/>
  <c r="L34" i="1"/>
  <c r="J34" i="1"/>
  <c r="I34" i="1"/>
  <c r="N33" i="1"/>
  <c r="O33" i="1" s="1"/>
  <c r="L33" i="1"/>
  <c r="I33" i="1"/>
  <c r="J33" i="1" s="1"/>
  <c r="N32" i="1"/>
  <c r="O32" i="1" s="1"/>
  <c r="L32" i="1"/>
  <c r="I32" i="1"/>
  <c r="J32" i="1" s="1"/>
  <c r="N31" i="1"/>
  <c r="O31" i="1" s="1"/>
  <c r="L31" i="1"/>
  <c r="I31" i="1"/>
  <c r="J31" i="1" s="1"/>
  <c r="N30" i="1"/>
  <c r="O30" i="1" s="1"/>
  <c r="L30" i="1"/>
  <c r="I30" i="1"/>
  <c r="J30" i="1" s="1"/>
  <c r="O29" i="1"/>
  <c r="N29" i="1"/>
  <c r="L29" i="1"/>
  <c r="I29" i="1"/>
  <c r="J29" i="1" s="1"/>
  <c r="O28" i="1"/>
  <c r="N28" i="1"/>
  <c r="L28" i="1"/>
  <c r="I28" i="1"/>
  <c r="J28" i="1" s="1"/>
  <c r="N27" i="1"/>
  <c r="O27" i="1" s="1"/>
  <c r="L27" i="1"/>
  <c r="J27" i="1"/>
  <c r="I27" i="1"/>
  <c r="N26" i="1"/>
  <c r="O26" i="1" s="1"/>
  <c r="L26" i="1"/>
  <c r="J26" i="1"/>
  <c r="I26" i="1"/>
  <c r="N25" i="1"/>
  <c r="O25" i="1" s="1"/>
  <c r="L25" i="1"/>
  <c r="I25" i="1"/>
  <c r="J25" i="1" s="1"/>
  <c r="N24" i="1"/>
  <c r="O24" i="1" s="1"/>
  <c r="L24" i="1"/>
  <c r="I24" i="1"/>
  <c r="J24" i="1" s="1"/>
  <c r="N23" i="1"/>
  <c r="O23" i="1" s="1"/>
  <c r="L23" i="1"/>
  <c r="I23" i="1"/>
  <c r="J23" i="1" s="1"/>
  <c r="N22" i="1"/>
  <c r="O22" i="1" s="1"/>
  <c r="L22" i="1"/>
  <c r="I22" i="1"/>
  <c r="J22" i="1" s="1"/>
  <c r="O21" i="1"/>
  <c r="N21" i="1"/>
  <c r="L21" i="1"/>
  <c r="I21" i="1"/>
  <c r="J21" i="1" s="1"/>
  <c r="O20" i="1"/>
  <c r="N20" i="1"/>
  <c r="L20" i="1"/>
  <c r="I20" i="1"/>
  <c r="J20" i="1" s="1"/>
  <c r="N19" i="1"/>
  <c r="O19" i="1" s="1"/>
  <c r="L19" i="1"/>
  <c r="J19" i="1"/>
  <c r="I19" i="1"/>
  <c r="N18" i="1"/>
  <c r="O18" i="1" s="1"/>
  <c r="L18" i="1"/>
  <c r="J18" i="1"/>
  <c r="I18" i="1"/>
  <c r="N17" i="1"/>
  <c r="O17" i="1" s="1"/>
  <c r="L17" i="1"/>
  <c r="I17" i="1"/>
  <c r="J17" i="1" s="1"/>
  <c r="N16" i="1"/>
  <c r="O16" i="1" s="1"/>
  <c r="L16" i="1"/>
  <c r="I16" i="1"/>
  <c r="J16" i="1" s="1"/>
  <c r="N15" i="1"/>
  <c r="O15" i="1" s="1"/>
  <c r="L15" i="1"/>
  <c r="I15" i="1"/>
  <c r="J15" i="1" s="1"/>
  <c r="N14" i="1"/>
  <c r="O14" i="1" s="1"/>
  <c r="L14" i="1"/>
  <c r="I14" i="1"/>
  <c r="J14" i="1" s="1"/>
  <c r="O13" i="1"/>
  <c r="N13" i="1"/>
  <c r="L13" i="1"/>
  <c r="I13" i="1"/>
  <c r="J13" i="1" s="1"/>
  <c r="O12" i="1"/>
  <c r="N12" i="1"/>
  <c r="L12" i="1"/>
  <c r="I12" i="1"/>
  <c r="J12" i="1" s="1"/>
  <c r="N11" i="1"/>
  <c r="O11" i="1" s="1"/>
  <c r="L11" i="1"/>
  <c r="J11" i="1"/>
  <c r="I11" i="1"/>
  <c r="N10" i="1"/>
  <c r="O10" i="1" s="1"/>
  <c r="L10" i="1"/>
  <c r="J10" i="1"/>
  <c r="I10" i="1"/>
  <c r="N9" i="1"/>
  <c r="O9" i="1" s="1"/>
  <c r="L9" i="1"/>
  <c r="I9" i="1"/>
  <c r="J9" i="1" s="1"/>
  <c r="N8" i="1"/>
  <c r="O8" i="1" s="1"/>
  <c r="L8" i="1"/>
  <c r="I8" i="1"/>
  <c r="J8" i="1" s="1"/>
  <c r="N7" i="1"/>
  <c r="O7" i="1" s="1"/>
  <c r="L7" i="1"/>
  <c r="I7" i="1"/>
  <c r="J7" i="1" s="1"/>
  <c r="N6" i="1"/>
  <c r="O6" i="1" s="1"/>
  <c r="L6" i="1"/>
  <c r="I6" i="1"/>
  <c r="J6" i="1" s="1"/>
  <c r="O5" i="1"/>
  <c r="N5" i="1"/>
  <c r="L5" i="1"/>
  <c r="I5" i="1"/>
  <c r="J5" i="1" s="1"/>
  <c r="O4" i="1"/>
  <c r="N4" i="1"/>
  <c r="L4" i="1"/>
  <c r="I4" i="1"/>
  <c r="J4" i="1" s="1"/>
  <c r="N3" i="1"/>
  <c r="O3" i="1" s="1"/>
  <c r="L3" i="1"/>
  <c r="J3" i="1"/>
  <c r="I3" i="1"/>
  <c r="N2" i="1"/>
  <c r="O2" i="1" s="1"/>
  <c r="L2" i="1"/>
  <c r="J2" i="1"/>
  <c r="I2" i="1"/>
</calcChain>
</file>

<file path=xl/sharedStrings.xml><?xml version="1.0" encoding="utf-8"?>
<sst xmlns="http://schemas.openxmlformats.org/spreadsheetml/2006/main" count="27015" uniqueCount="20266">
  <si>
    <t>Full name</t>
  </si>
  <si>
    <t>Email</t>
  </si>
  <si>
    <t>State</t>
  </si>
  <si>
    <t>Phone Number</t>
  </si>
  <si>
    <t>Address</t>
  </si>
  <si>
    <t>Job Title</t>
  </si>
  <si>
    <t>Company</t>
  </si>
  <si>
    <t>Date of Birth</t>
  </si>
  <si>
    <t>Age</t>
  </si>
  <si>
    <t>Age Group</t>
  </si>
  <si>
    <t>Salary</t>
  </si>
  <si>
    <t>Salary Band</t>
  </si>
  <si>
    <t>Join Date</t>
  </si>
  <si>
    <t>Years in Service</t>
  </si>
  <si>
    <t>Tenure grouping</t>
  </si>
  <si>
    <t>John Black</t>
  </si>
  <si>
    <t>vanessa62@simmons.com</t>
  </si>
  <si>
    <t>Oklahoma</t>
  </si>
  <si>
    <t>001-319-748-3533x0306</t>
  </si>
  <si>
    <t>Unit 4701 Box 3213, DPO AP 18895</t>
  </si>
  <si>
    <t>Probation officer</t>
  </si>
  <si>
    <t>Beck, Thomas and Blankenship</t>
  </si>
  <si>
    <t>1983-12-22</t>
  </si>
  <si>
    <t>2023-10-23</t>
  </si>
  <si>
    <t>Lori James</t>
  </si>
  <si>
    <t>william44@nguyen.com</t>
  </si>
  <si>
    <t>Hawaii</t>
  </si>
  <si>
    <t>022-870-2427</t>
  </si>
  <si>
    <t>9182 Kenneth Run, Longside, HI 82574</t>
  </si>
  <si>
    <t>Television production assistant</t>
  </si>
  <si>
    <t>Jordan LLC</t>
  </si>
  <si>
    <t>2000-09-10</t>
  </si>
  <si>
    <t>2019-07-29</t>
  </si>
  <si>
    <t>Sharon Larson</t>
  </si>
  <si>
    <t>virginiatorres@ward.net</t>
  </si>
  <si>
    <t>Wyoming</t>
  </si>
  <si>
    <t>+1-596-635-9800x3454</t>
  </si>
  <si>
    <t>6220 Kara Knoll Suite 579, New Judith, DC 23756</t>
  </si>
  <si>
    <t>Estate manager/land agent</t>
  </si>
  <si>
    <t>Wade PLC</t>
  </si>
  <si>
    <t>2002-02-22</t>
  </si>
  <si>
    <t>2020-02-06</t>
  </si>
  <si>
    <t>Alyssa Collins</t>
  </si>
  <si>
    <t>jackie70@hotmail.com</t>
  </si>
  <si>
    <t>Wisconsin</t>
  </si>
  <si>
    <t>6270884142</t>
  </si>
  <si>
    <t>550 Donna Lights Suite 626, Lake Chelsea, MI 93634</t>
  </si>
  <si>
    <t>Engineer, broadcasting (operations)</t>
  </si>
  <si>
    <t>Wheeler-Schultz</t>
  </si>
  <si>
    <t>1990-03-26</t>
  </si>
  <si>
    <t>2024-03-03</t>
  </si>
  <si>
    <t>Miguel Butler</t>
  </si>
  <si>
    <t>wallacematthew@higgins.com</t>
  </si>
  <si>
    <t>+1-039-608-4887x972</t>
  </si>
  <si>
    <t>563 Porter Junctions Apt. 595, Powellmouth, NC 03496</t>
  </si>
  <si>
    <t>Biomedical scientist</t>
  </si>
  <si>
    <t>George Inc</t>
  </si>
  <si>
    <t>1987-11-28</t>
  </si>
  <si>
    <t>2019-06-01</t>
  </si>
  <si>
    <t>Cody Wiley</t>
  </si>
  <si>
    <t>wjones@yahoo.com</t>
  </si>
  <si>
    <t>Massachusetts</t>
  </si>
  <si>
    <t>978.107.5536x0836</t>
  </si>
  <si>
    <t>055 Smith Gateway, Nicholasberg, HI 90358</t>
  </si>
  <si>
    <t>Press sub</t>
  </si>
  <si>
    <t>Barajas, Ayala and Ramos</t>
  </si>
  <si>
    <t>1960-08-17</t>
  </si>
  <si>
    <t>2020-08-16</t>
  </si>
  <si>
    <t>Donna Fernandez</t>
  </si>
  <si>
    <t>fcabrera@gmail.com</t>
  </si>
  <si>
    <t>Oregon</t>
  </si>
  <si>
    <t>247.540.5780</t>
  </si>
  <si>
    <t>8106 Katherine Ramp, Garrettville, OR 16714</t>
  </si>
  <si>
    <t>Estate agent</t>
  </si>
  <si>
    <t>Hayes, Smith and Duarte</t>
  </si>
  <si>
    <t>1983-04-24</t>
  </si>
  <si>
    <t>2015-10-19</t>
  </si>
  <si>
    <t>Kaylee Wood</t>
  </si>
  <si>
    <t>hbell@bullock.biz</t>
  </si>
  <si>
    <t>Indiana</t>
  </si>
  <si>
    <t>209-112-1336x3626</t>
  </si>
  <si>
    <t>c</t>
  </si>
  <si>
    <t>Osteopath</t>
  </si>
  <si>
    <t>Lane-Schwartz</t>
  </si>
  <si>
    <t>1986-09-13</t>
  </si>
  <si>
    <t>2019-08-12</t>
  </si>
  <si>
    <t>Hannah Stephenson</t>
  </si>
  <si>
    <t>kylebarry@meyers.com</t>
  </si>
  <si>
    <t>Washington</t>
  </si>
  <si>
    <t>001-291-501-2668</t>
  </si>
  <si>
    <t>USS Lozano, FPO AP 62707</t>
  </si>
  <si>
    <t>Doctor, hospital</t>
  </si>
  <si>
    <t>Robinson Inc</t>
  </si>
  <si>
    <t>1978-10-12</t>
  </si>
  <si>
    <t>2022-03-05</t>
  </si>
  <si>
    <t>Travis Levy</t>
  </si>
  <si>
    <t>steven17@chen.net</t>
  </si>
  <si>
    <t>North Carolina</t>
  </si>
  <si>
    <t>+1-014-852-2329x2245</t>
  </si>
  <si>
    <t>13246 Brown Extension Suite 782, Lindabury, CA 59333</t>
  </si>
  <si>
    <t>Environmental health practitioner</t>
  </si>
  <si>
    <t>Crane-Powell</t>
  </si>
  <si>
    <t>1986-01-11</t>
  </si>
  <si>
    <t>2016-06-07</t>
  </si>
  <si>
    <t>Hannah Singleton</t>
  </si>
  <si>
    <t>daniel58@yahoo.com</t>
  </si>
  <si>
    <t>Nevada</t>
  </si>
  <si>
    <t>7679578635</t>
  </si>
  <si>
    <t>911 Nelson Walk, Deborahland, SC 98344</t>
  </si>
  <si>
    <t>Paramedic</t>
  </si>
  <si>
    <t>Perez, Hines and Johnson</t>
  </si>
  <si>
    <t>1983-04-21</t>
  </si>
  <si>
    <t>2022-04-01</t>
  </si>
  <si>
    <t>Barbara Campbell</t>
  </si>
  <si>
    <t>charles58@gmail.com</t>
  </si>
  <si>
    <t>New Mexico</t>
  </si>
  <si>
    <t>(321)736-1326x3265</t>
  </si>
  <si>
    <t>6129 William Islands, Fullerfurt, CO 29677</t>
  </si>
  <si>
    <t>Accountant, chartered public finance</t>
  </si>
  <si>
    <t>Miles Inc</t>
  </si>
  <si>
    <t>1991-07-20</t>
  </si>
  <si>
    <t>2022-08-13</t>
  </si>
  <si>
    <t>Jacob Johnson</t>
  </si>
  <si>
    <t>fwoodward@yahoo.com</t>
  </si>
  <si>
    <t>Georgia</t>
  </si>
  <si>
    <t>974.625.9199x8653</t>
  </si>
  <si>
    <t>196 Lee Island, North Shaneside, MA 89079</t>
  </si>
  <si>
    <t>Restaurant manager</t>
  </si>
  <si>
    <t>Ortega and Sons</t>
  </si>
  <si>
    <t>1993-11-08</t>
  </si>
  <si>
    <t>2024-10-15</t>
  </si>
  <si>
    <t>Jason Shepard</t>
  </si>
  <si>
    <t>carolynbrooks@mann.com</t>
  </si>
  <si>
    <t>Michigan</t>
  </si>
  <si>
    <t>(216)847-8601x322</t>
  </si>
  <si>
    <t>2315 Matthew Lights Apt. 385, Lake Briana, MN 74429</t>
  </si>
  <si>
    <t>IT sales professional</t>
  </si>
  <si>
    <t>Montoya, Rojas and Hurst</t>
  </si>
  <si>
    <t>1981-09-25</t>
  </si>
  <si>
    <t>2019-11-19</t>
  </si>
  <si>
    <t>Joe Jackson</t>
  </si>
  <si>
    <t>ljohnson@yahoo.com</t>
  </si>
  <si>
    <t>Illinois</t>
  </si>
  <si>
    <t>5805557985</t>
  </si>
  <si>
    <t>USNV Smith, FPO AE 48597</t>
  </si>
  <si>
    <t>Psychiatric nurse</t>
  </si>
  <si>
    <t>Dennis, Todd and Perez</t>
  </si>
  <si>
    <t>1995-09-06</t>
  </si>
  <si>
    <t>2016-05-23</t>
  </si>
  <si>
    <t>Amy Mcintosh</t>
  </si>
  <si>
    <t>jclark@gmail.com</t>
  </si>
  <si>
    <t>Kentucky</t>
  </si>
  <si>
    <t>001-980-052-5802x06648</t>
  </si>
  <si>
    <t>2386 Michelle Prairie Apt. 302, South Jeremy, FL 85822</t>
  </si>
  <si>
    <t>Chartered legal executive (England and Wales)</t>
  </si>
  <si>
    <t>Green-Thomas</t>
  </si>
  <si>
    <t>1962-03-02</t>
  </si>
  <si>
    <t>2017-11-08</t>
  </si>
  <si>
    <t>Janice Bullock</t>
  </si>
  <si>
    <t>greynolds@yahoo.com</t>
  </si>
  <si>
    <t>West Virginia</t>
  </si>
  <si>
    <t>(937)130-7119</t>
  </si>
  <si>
    <t>441 Brian Radial Suite 141, South Marcmouth, OH 44135</t>
  </si>
  <si>
    <t>English as a second language teacher</t>
  </si>
  <si>
    <t>Kramer-Marshall</t>
  </si>
  <si>
    <t>1988-08-16</t>
  </si>
  <si>
    <t>2022-04-17</t>
  </si>
  <si>
    <t>Meghan Weber</t>
  </si>
  <si>
    <t>michael27@white-andersen.com</t>
  </si>
  <si>
    <t>South Dakota</t>
  </si>
  <si>
    <t>3090000305</t>
  </si>
  <si>
    <t>119 Daniel Rapids, Lake Josephton, OK 57179</t>
  </si>
  <si>
    <t>Chiropractor</t>
  </si>
  <si>
    <t>Smith, Davis and Parrish</t>
  </si>
  <si>
    <t>2001-08-15</t>
  </si>
  <si>
    <t>2020-06-09</t>
  </si>
  <si>
    <t>Christopher Hughes</t>
  </si>
  <si>
    <t>nmoore@perry-ingram.org</t>
  </si>
  <si>
    <t>Utah</t>
  </si>
  <si>
    <t>001-859-479-1027</t>
  </si>
  <si>
    <t>65296 Cheryl Haven Apt. 853, Williamberg, NJ 88670</t>
  </si>
  <si>
    <t>Sales professional, IT</t>
  </si>
  <si>
    <t>Hendricks LLC</t>
  </si>
  <si>
    <t>1971-12-08</t>
  </si>
  <si>
    <t>2023-09-29</t>
  </si>
  <si>
    <t>Joshua Herman</t>
  </si>
  <si>
    <t>charlescruz@gmail.com</t>
  </si>
  <si>
    <t>Connecticut</t>
  </si>
  <si>
    <t>1134627706</t>
  </si>
  <si>
    <t>4283 Beard Vista Apt. 209, Duncanmouth, SD 05464</t>
  </si>
  <si>
    <t>Teacher, secondary school</t>
  </si>
  <si>
    <t>Brown, Williams and Wilson</t>
  </si>
  <si>
    <t>1974-10-05</t>
  </si>
  <si>
    <t>2024-08-22</t>
  </si>
  <si>
    <t>Rebecca Brooks Phd</t>
  </si>
  <si>
    <t>mperez@moore.com</t>
  </si>
  <si>
    <t>Alabama</t>
  </si>
  <si>
    <t>+1-901-962-1956x570</t>
  </si>
  <si>
    <t>904 Spencer Lane, East Kristiburgh, WV 54602</t>
  </si>
  <si>
    <t>Charity officer</t>
  </si>
  <si>
    <t>Thomas, Wright and Vega</t>
  </si>
  <si>
    <t>2002-06-06</t>
  </si>
  <si>
    <t>2016-06-09</t>
  </si>
  <si>
    <t>Robert Hart</t>
  </si>
  <si>
    <t>williamedwards@matthews-chang.com</t>
  </si>
  <si>
    <t>261.468.1762</t>
  </si>
  <si>
    <t>USS Weaver, FPO AE 80719</t>
  </si>
  <si>
    <t>Trade mark attorney</t>
  </si>
  <si>
    <t>Campbell Ltd</t>
  </si>
  <si>
    <t>1999-03-16</t>
  </si>
  <si>
    <t>2016-03-15</t>
  </si>
  <si>
    <t>James Williams</t>
  </si>
  <si>
    <t>chriswhite@perez.biz</t>
  </si>
  <si>
    <t>California</t>
  </si>
  <si>
    <t>(410)595-9306</t>
  </si>
  <si>
    <t>02581 Cuevas Rest, Ronaldtown, CA 24288</t>
  </si>
  <si>
    <t>Lawyer</t>
  </si>
  <si>
    <t>Byrd-Leon</t>
  </si>
  <si>
    <t>1994-02-24</t>
  </si>
  <si>
    <t>2016-06-22</t>
  </si>
  <si>
    <t>Timothy Andrews</t>
  </si>
  <si>
    <t>ksmith@ross-anderson.net</t>
  </si>
  <si>
    <t>South Carolina</t>
  </si>
  <si>
    <t>969.364.8591x964</t>
  </si>
  <si>
    <t>35214 Kayla Rue Apt. 282, Hernandezbury, UT 44930</t>
  </si>
  <si>
    <t>Community education officer</t>
  </si>
  <si>
    <t>Griffith-Jordan</t>
  </si>
  <si>
    <t>1967-02-05</t>
  </si>
  <si>
    <t>2017-06-11</t>
  </si>
  <si>
    <t>Robert Adams</t>
  </si>
  <si>
    <t>penaolivia@collins-hayden.info</t>
  </si>
  <si>
    <t>New Jersey</t>
  </si>
  <si>
    <t>788-954-7050x2598</t>
  </si>
  <si>
    <t>7910 Burch Garden, South Cherylland, NE 20927</t>
  </si>
  <si>
    <t>Pension scheme manager</t>
  </si>
  <si>
    <t>Lewis-Leon</t>
  </si>
  <si>
    <t>1972-09-28</t>
  </si>
  <si>
    <t>2019-09-05</t>
  </si>
  <si>
    <t>Brenda Wright</t>
  </si>
  <si>
    <t>tramirez@scott.com</t>
  </si>
  <si>
    <t>Arizona</t>
  </si>
  <si>
    <t>653.892.4535x44238</t>
  </si>
  <si>
    <t>25953 Thomas Crescent, Shannonhaven, CT 52036</t>
  </si>
  <si>
    <t>Counselling psychologist</t>
  </si>
  <si>
    <t>Thomas-Walker</t>
  </si>
  <si>
    <t>1991-05-22</t>
  </si>
  <si>
    <t>2023-07-22</t>
  </si>
  <si>
    <t>Christopher May</t>
  </si>
  <si>
    <t>jacob67@hotmail.com</t>
  </si>
  <si>
    <t>824.945.0086x475</t>
  </si>
  <si>
    <t>144 Elizabeth Springs Suite 782, Lake Timothy, NY 73157</t>
  </si>
  <si>
    <t>Civil Service administrator</t>
  </si>
  <si>
    <t>Huerta Inc</t>
  </si>
  <si>
    <t>1965-11-02</t>
  </si>
  <si>
    <t>2020-11-10</t>
  </si>
  <si>
    <t>Dawn Richards</t>
  </si>
  <si>
    <t>gbrown@gardner-suarez.com</t>
  </si>
  <si>
    <t>Arkansas</t>
  </si>
  <si>
    <t>001-235-518-1442</t>
  </si>
  <si>
    <t>Unit 6742 Box 0205, DPO AA 48640</t>
  </si>
  <si>
    <t>Sales executive</t>
  </si>
  <si>
    <t>Baird-Williams</t>
  </si>
  <si>
    <t>1980-05-20</t>
  </si>
  <si>
    <t>2016-04-15</t>
  </si>
  <si>
    <t>Alison Burgess</t>
  </si>
  <si>
    <t>edward11@barton.com</t>
  </si>
  <si>
    <t>North Dakota</t>
  </si>
  <si>
    <t>228-784-4642x87310</t>
  </si>
  <si>
    <t>USNS Perez, FPO AP 74125</t>
  </si>
  <si>
    <t>Physiotherapist</t>
  </si>
  <si>
    <t>Smith and Sons</t>
  </si>
  <si>
    <t>1973-07-07</t>
  </si>
  <si>
    <t>2019-09-29</t>
  </si>
  <si>
    <t>David Jones</t>
  </si>
  <si>
    <t>corey38@gmail.com</t>
  </si>
  <si>
    <t>Pennsylvania</t>
  </si>
  <si>
    <t>+1-982-244-3141x28260</t>
  </si>
  <si>
    <t>2784 Jonathan Coves, West Dennis, OH 98402</t>
  </si>
  <si>
    <t>Scientist, research (life sciences)</t>
  </si>
  <si>
    <t>Flores PLC</t>
  </si>
  <si>
    <t>1991-06-18</t>
  </si>
  <si>
    <t>2024-04-08</t>
  </si>
  <si>
    <t>Elizabeth Howard</t>
  </si>
  <si>
    <t>stephanierichardson@stephens.com</t>
  </si>
  <si>
    <t>Vermont</t>
  </si>
  <si>
    <t>750.001.0246x04296</t>
  </si>
  <si>
    <t>572 Raymond Forks, Chapmanville, OK 52935</t>
  </si>
  <si>
    <t>Bookseller</t>
  </si>
  <si>
    <t>Scott-Bush</t>
  </si>
  <si>
    <t>1969-07-24</t>
  </si>
  <si>
    <t>2016-09-03</t>
  </si>
  <si>
    <t>Kyle Gray</t>
  </si>
  <si>
    <t>parkbrenda@yahoo.com</t>
  </si>
  <si>
    <t>526.619.9206x65040</t>
  </si>
  <si>
    <t>Unit 3647 Box 5171, DPO AE 11618</t>
  </si>
  <si>
    <t>Engineer, manufacturing</t>
  </si>
  <si>
    <t>Hopkins Group</t>
  </si>
  <si>
    <t>2001-05-18</t>
  </si>
  <si>
    <t>2016-04-20</t>
  </si>
  <si>
    <t>Zachary Carter</t>
  </si>
  <si>
    <t>grantnicholas@gmail.com</t>
  </si>
  <si>
    <t>090-591-3898x9909</t>
  </si>
  <si>
    <t>7060 Elizabeth Trafficway Suite 642, Cummingshaven, HI 56516</t>
  </si>
  <si>
    <t>Legal secretary</t>
  </si>
  <si>
    <t>Lane Ltd</t>
  </si>
  <si>
    <t>1964-07-14</t>
  </si>
  <si>
    <t>2015-10-05</t>
  </si>
  <si>
    <t>Kayla Brooks</t>
  </si>
  <si>
    <t>melanie09@yahoo.com</t>
  </si>
  <si>
    <t>1606524795</t>
  </si>
  <si>
    <t>82095 Jones Bridge Apt. 090, Lindaland, CO 87107</t>
  </si>
  <si>
    <t>Education officer, environmental</t>
  </si>
  <si>
    <t>Ryan-Tapia</t>
  </si>
  <si>
    <t>1989-10-30</t>
  </si>
  <si>
    <t>2022-11-20</t>
  </si>
  <si>
    <t>Sara Ortega</t>
  </si>
  <si>
    <t>tiffany50@hotmail.com</t>
  </si>
  <si>
    <t>Minnesota</t>
  </si>
  <si>
    <t>001-440-906-8072x619</t>
  </si>
  <si>
    <t>USCGC Mitchell, FPO AE 46081</t>
  </si>
  <si>
    <t>Quantity surveyor</t>
  </si>
  <si>
    <t>Gordon, Lopez and Schmidt</t>
  </si>
  <si>
    <t>1973-07-06</t>
  </si>
  <si>
    <t>2020-01-31</t>
  </si>
  <si>
    <t>Anita Ramirez</t>
  </si>
  <si>
    <t>hsummers@malone-moreno.com</t>
  </si>
  <si>
    <t>Iowa</t>
  </si>
  <si>
    <t>(787)610-7914x4647</t>
  </si>
  <si>
    <t>46265 Davis Dam, Dawnmouth, WV 59439</t>
  </si>
  <si>
    <t>Designer, blown glass/stained glass</t>
  </si>
  <si>
    <t>Romero, Weeks and Kennedy</t>
  </si>
  <si>
    <t>1991-04-15</t>
  </si>
  <si>
    <t>2019-06-12</t>
  </si>
  <si>
    <t>Justin Perkins</t>
  </si>
  <si>
    <t>nelsonchristopher@hotmail.com</t>
  </si>
  <si>
    <t>Missouri</t>
  </si>
  <si>
    <t>499-955-3998x77160</t>
  </si>
  <si>
    <t>891 Teresa Hollow Suite 574, Lisaside, NV 45285</t>
  </si>
  <si>
    <t>Campbell, Yates and Green</t>
  </si>
  <si>
    <t>1987-04-10</t>
  </si>
  <si>
    <t>2018-07-04</t>
  </si>
  <si>
    <t>James Nguyen</t>
  </si>
  <si>
    <t>shelbypatton@williams.org</t>
  </si>
  <si>
    <t>4745254430</t>
  </si>
  <si>
    <t>2472 Maria Mews Apt. 925, Fosterland, OH 85978</t>
  </si>
  <si>
    <t>Clinical embryologist</t>
  </si>
  <si>
    <t>Bradford Ltd</t>
  </si>
  <si>
    <t>1981-04-27</t>
  </si>
  <si>
    <t>2016-10-27</t>
  </si>
  <si>
    <t>John Bautista</t>
  </si>
  <si>
    <t>leefrench@yahoo.com</t>
  </si>
  <si>
    <t>Idaho</t>
  </si>
  <si>
    <t>1992061461</t>
  </si>
  <si>
    <t>08026 Vaughan Locks Apt. 294, Brooksshire, MO 17268</t>
  </si>
  <si>
    <t>Building surveyor</t>
  </si>
  <si>
    <t>Fletcher-Kim</t>
  </si>
  <si>
    <t>1992-02-06</t>
  </si>
  <si>
    <t>2016-09-12</t>
  </si>
  <si>
    <t>Cynthia Johnson</t>
  </si>
  <si>
    <t>josephwilcox@hotmail.com</t>
  </si>
  <si>
    <t>2886101663</t>
  </si>
  <si>
    <t>11996 Smith Ports Apt. 100, West Elizabeth, FL 48993</t>
  </si>
  <si>
    <t>Copywriter, advertising</t>
  </si>
  <si>
    <t>Maddox LLC</t>
  </si>
  <si>
    <t>1996-07-15</t>
  </si>
  <si>
    <t>2018-08-19</t>
  </si>
  <si>
    <t>Melissa Spencer</t>
  </si>
  <si>
    <t>nelsonmichael@williams.com</t>
  </si>
  <si>
    <t>+1-475-639-6035x401</t>
  </si>
  <si>
    <t>Unit 8989 Box 4934, DPO AP 63123</t>
  </si>
  <si>
    <t>Secretary/administrator</t>
  </si>
  <si>
    <t>Parrish Inc</t>
  </si>
  <si>
    <t>1998-07-12</t>
  </si>
  <si>
    <t>2024-07-01</t>
  </si>
  <si>
    <t>Patricia Garcia</t>
  </si>
  <si>
    <t>wdavis@yahoo.com</t>
  </si>
  <si>
    <t>5763662381</t>
  </si>
  <si>
    <t>265 Jones Knoll, Baileyton, IN 43667</t>
  </si>
  <si>
    <t>Insurance account manager</t>
  </si>
  <si>
    <t>Jacobs LLC</t>
  </si>
  <si>
    <t>1976-10-19</t>
  </si>
  <si>
    <t>2018-07-14</t>
  </si>
  <si>
    <t>Patrick Snow</t>
  </si>
  <si>
    <t>julie55@johnson.com</t>
  </si>
  <si>
    <t>609.009.7813</t>
  </si>
  <si>
    <t>3965 Justin Stravenue Suite 389, Cohenview, IN 38966</t>
  </si>
  <si>
    <t>Graphic designer</t>
  </si>
  <si>
    <t>Ward, Gibson and Smith</t>
  </si>
  <si>
    <t>1997-02-04</t>
  </si>
  <si>
    <t>2016-07-06</t>
  </si>
  <si>
    <t>Lisa Rush</t>
  </si>
  <si>
    <t>misty26@hotmail.com</t>
  </si>
  <si>
    <t>010-928-3255</t>
  </si>
  <si>
    <t>769 Jasmine Viaduct Apt. 285, Lake Jamiestad, DE 20692</t>
  </si>
  <si>
    <t>Herbalist</t>
  </si>
  <si>
    <t>Walter-Ross</t>
  </si>
  <si>
    <t>1967-10-16</t>
  </si>
  <si>
    <t>2018-07-31</t>
  </si>
  <si>
    <t>Tina Hernandez</t>
  </si>
  <si>
    <t>baileymary@torres.com</t>
  </si>
  <si>
    <t>Virginia</t>
  </si>
  <si>
    <t>742-687-2490x433</t>
  </si>
  <si>
    <t>4633 Juarez Dale Suite 227, East Wayneburgh, OH 05930</t>
  </si>
  <si>
    <t>Therapist, occupational</t>
  </si>
  <si>
    <t>Taylor-Padilla</t>
  </si>
  <si>
    <t>1960-03-08</t>
  </si>
  <si>
    <t>2016-05-21</t>
  </si>
  <si>
    <t>Samantha House</t>
  </si>
  <si>
    <t>laura54@scott.biz</t>
  </si>
  <si>
    <t>+1-032-526-2475x070</t>
  </si>
  <si>
    <t>026 Devin Plain Suite 644, Walkerland, WI 55519</t>
  </si>
  <si>
    <t>Information systems manager</t>
  </si>
  <si>
    <t>Alexander and Sons</t>
  </si>
  <si>
    <t>1993-06-19</t>
  </si>
  <si>
    <t>2019-11-25</t>
  </si>
  <si>
    <t>Timothy Bailey</t>
  </si>
  <si>
    <t>andersonbruce@hotmail.com</t>
  </si>
  <si>
    <t>873.657.0071x02492</t>
  </si>
  <si>
    <t>943 Darren Lock, West Douglasfurt, OK 90000</t>
  </si>
  <si>
    <t>Davis Ltd</t>
  </si>
  <si>
    <t>1990-12-16</t>
  </si>
  <si>
    <t>2022-09-07</t>
  </si>
  <si>
    <t>Jessica Turner</t>
  </si>
  <si>
    <t>murphyjeffrey@hotmail.com</t>
  </si>
  <si>
    <t>175-514-0479</t>
  </si>
  <si>
    <t>44248 Diana Lodge, New Danieltown, NH 31206</t>
  </si>
  <si>
    <t>Professor Emeritus</t>
  </si>
  <si>
    <t>Robinson, Gentry and Ryan</t>
  </si>
  <si>
    <t>1960-01-24</t>
  </si>
  <si>
    <t>2022-03-03</t>
  </si>
  <si>
    <t>Makayla Smith</t>
  </si>
  <si>
    <t>blankenshiplinda@walters-clark.biz</t>
  </si>
  <si>
    <t>258-669-1481</t>
  </si>
  <si>
    <t>971 Vanessa Points, Booneberg, NJ 10915</t>
  </si>
  <si>
    <t>Art gallery manager</t>
  </si>
  <si>
    <t>Murphy LLC</t>
  </si>
  <si>
    <t>1986-10-31</t>
  </si>
  <si>
    <t>2016-09-23</t>
  </si>
  <si>
    <t>Marisa Martinez</t>
  </si>
  <si>
    <t>cwatson@gmail.com</t>
  </si>
  <si>
    <t>Rhode Island</t>
  </si>
  <si>
    <t>580-928-2610</t>
  </si>
  <si>
    <t>8803 Henson Loaf Suite 941, North Jessicachester, NJ 96371</t>
  </si>
  <si>
    <t>Water quality scientist</t>
  </si>
  <si>
    <t>Thompson Ltd</t>
  </si>
  <si>
    <t>1999-02-10</t>
  </si>
  <si>
    <t>2021-08-02</t>
  </si>
  <si>
    <t>Tina Huang</t>
  </si>
  <si>
    <t>josephperry@johnson-miller.com</t>
  </si>
  <si>
    <t>001-086-294-6416</t>
  </si>
  <si>
    <t>6686 Trevino Crossroad, West Melanie, NV 66494</t>
  </si>
  <si>
    <t>Surveyor, building control</t>
  </si>
  <si>
    <t>Jefferson-Brown</t>
  </si>
  <si>
    <t>1965-02-07</t>
  </si>
  <si>
    <t>2016-04-06</t>
  </si>
  <si>
    <t>Charles Smith</t>
  </si>
  <si>
    <t>shannonwheeler@molina-stein.com</t>
  </si>
  <si>
    <t>New Hampshire</t>
  </si>
  <si>
    <t>(625)043-2556x3444</t>
  </si>
  <si>
    <t>791 Hunter Track, South Samuelberg, ID 83363</t>
  </si>
  <si>
    <t>Engineer, drilling</t>
  </si>
  <si>
    <t>Garcia-Wright</t>
  </si>
  <si>
    <t>2003-01-29</t>
  </si>
  <si>
    <t>2025-06-25</t>
  </si>
  <si>
    <t>Joshua Collins</t>
  </si>
  <si>
    <t>brian81@boyer.com</t>
  </si>
  <si>
    <t>+1-356-725-1828x73704</t>
  </si>
  <si>
    <t>746 Butler Mission, Johnport, AZ 74470</t>
  </si>
  <si>
    <t>General practice doctor</t>
  </si>
  <si>
    <t>Swanson, Coffey and Palmer</t>
  </si>
  <si>
    <t>2003-09-08</t>
  </si>
  <si>
    <t>2024-07-07</t>
  </si>
  <si>
    <t>Xavier Wright</t>
  </si>
  <si>
    <t>harrisjoseph@yahoo.com</t>
  </si>
  <si>
    <t>394-841-3846x9548</t>
  </si>
  <si>
    <t>60809 Christopher Vista, Jeremyview, MA 92266</t>
  </si>
  <si>
    <t>Commissioning editor</t>
  </si>
  <si>
    <t>Contreras Group</t>
  </si>
  <si>
    <t>1971-11-06</t>
  </si>
  <si>
    <t>2024-11-23</t>
  </si>
  <si>
    <t>Cheryl Villa</t>
  </si>
  <si>
    <t>saunderscynthia@hotmail.com</t>
  </si>
  <si>
    <t>Alaska</t>
  </si>
  <si>
    <t>685.708.4536x418</t>
  </si>
  <si>
    <t>2920 Brad Stravenue, Hardinbury, MA 47385</t>
  </si>
  <si>
    <t>Research officer, trade union</t>
  </si>
  <si>
    <t>Scott-Smith</t>
  </si>
  <si>
    <t>1964-03-06</t>
  </si>
  <si>
    <t>2022-05-10</t>
  </si>
  <si>
    <t>Regina Terrell</t>
  </si>
  <si>
    <t>navarromatthew@gmail.com</t>
  </si>
  <si>
    <t>(650)833-5468x4737</t>
  </si>
  <si>
    <t>41136 Terry Field, Robertville, UT 44099</t>
  </si>
  <si>
    <t>Herpetologist</t>
  </si>
  <si>
    <t>Ball, Russell and Small</t>
  </si>
  <si>
    <t>1990-08-21</t>
  </si>
  <si>
    <t>2018-09-21</t>
  </si>
  <si>
    <t>Madison Cooper</t>
  </si>
  <si>
    <t>wellsrussell@patel-hamilton.com</t>
  </si>
  <si>
    <t>201-640-0708x4349</t>
  </si>
  <si>
    <t>PSC 4282, Box 6889, APO AP 14758</t>
  </si>
  <si>
    <t>Insurance underwriter</t>
  </si>
  <si>
    <t>Garcia Inc</t>
  </si>
  <si>
    <t>1999-05-02</t>
  </si>
  <si>
    <t>2017-08-03</t>
  </si>
  <si>
    <t>Michael Evans</t>
  </si>
  <si>
    <t>sandra31@berg.com</t>
  </si>
  <si>
    <t>912.823.7183x8148</t>
  </si>
  <si>
    <t>267 Heather Center, West Rossview, MA 46789</t>
  </si>
  <si>
    <t>Dispensing optician</t>
  </si>
  <si>
    <t>Hart-Smith</t>
  </si>
  <si>
    <t>1970-10-28</t>
  </si>
  <si>
    <t>2021-05-16</t>
  </si>
  <si>
    <t>Matthew Guzman</t>
  </si>
  <si>
    <t>lauragreer@jones-hull.info</t>
  </si>
  <si>
    <t>6805220799</t>
  </si>
  <si>
    <t>6833 Ryan Causeway, North Earl, MN 62764</t>
  </si>
  <si>
    <t>Multimedia specialist</t>
  </si>
  <si>
    <t>Warren-Davis</t>
  </si>
  <si>
    <t>1987-10-09</t>
  </si>
  <si>
    <t>2025-05-11</t>
  </si>
  <si>
    <t>Martin Massey</t>
  </si>
  <si>
    <t>normanhammond@gonzalez.com</t>
  </si>
  <si>
    <t>+1-823-709-0860x400</t>
  </si>
  <si>
    <t>407 Guzman Ridges Suite 443, North Michelle, VA 34712</t>
  </si>
  <si>
    <t>Geneticist, molecular</t>
  </si>
  <si>
    <t>Hoffman, Koch and Thompson</t>
  </si>
  <si>
    <t>1967-09-14</t>
  </si>
  <si>
    <t>2019-07-20</t>
  </si>
  <si>
    <t>Angela Gutierrez</t>
  </si>
  <si>
    <t>jonesphilip@walker-bell.com</t>
  </si>
  <si>
    <t>+1-825-425-1610</t>
  </si>
  <si>
    <t>81479 Gill Points Apt. 593, North Johnhaven, VT 20292</t>
  </si>
  <si>
    <t>Jewellery designer</t>
  </si>
  <si>
    <t>Porter, Ross and Barnes</t>
  </si>
  <si>
    <t>1988-01-29</t>
  </si>
  <si>
    <t>2019-10-23</t>
  </si>
  <si>
    <t>Mark Jackson</t>
  </si>
  <si>
    <t>phillipspeter@lamb.com</t>
  </si>
  <si>
    <t>Tennessee</t>
  </si>
  <si>
    <t>001-527-884-6476</t>
  </si>
  <si>
    <t>11301 Bryant Cliff Suite 534, Lauraville, OR 89615</t>
  </si>
  <si>
    <t>Podiatrist</t>
  </si>
  <si>
    <t>Rojas LLC</t>
  </si>
  <si>
    <t>1984-03-27</t>
  </si>
  <si>
    <t>2025-04-24</t>
  </si>
  <si>
    <t>Adam Freeman</t>
  </si>
  <si>
    <t>rodney24@hotmail.com</t>
  </si>
  <si>
    <t>594-340-9421x1088</t>
  </si>
  <si>
    <t>4665 Osborn Plaza Suite 832, New Caitlin, OK 03128</t>
  </si>
  <si>
    <t>Engineer, civil (consulting)</t>
  </si>
  <si>
    <t>Baker-Chapman</t>
  </si>
  <si>
    <t>1962-08-02</t>
  </si>
  <si>
    <t>2022-12-27</t>
  </si>
  <si>
    <t>Brandon Le</t>
  </si>
  <si>
    <t>bhobbs@hotmail.com</t>
  </si>
  <si>
    <t>+1-269-529-1646x051</t>
  </si>
  <si>
    <t>0159 Young View, Jessicaport, NV 96823</t>
  </si>
  <si>
    <t>Brewing technologist</t>
  </si>
  <si>
    <t>Mcbride Inc</t>
  </si>
  <si>
    <t>1965-06-20</t>
  </si>
  <si>
    <t>2021-01-04</t>
  </si>
  <si>
    <t>Brian Bean</t>
  </si>
  <si>
    <t>velazquezeric@gmail.com</t>
  </si>
  <si>
    <t>677.166.2640x339</t>
  </si>
  <si>
    <t>17116 Savage Motorway, Allenmouth, CA 31879</t>
  </si>
  <si>
    <t>Software engineer</t>
  </si>
  <si>
    <t>Ponce LLC</t>
  </si>
  <si>
    <t>1974-06-20</t>
  </si>
  <si>
    <t>2024-01-27</t>
  </si>
  <si>
    <t>Jennifer Valencia</t>
  </si>
  <si>
    <t>mendozajames@hammond.com</t>
  </si>
  <si>
    <t>292.727.3586x45947</t>
  </si>
  <si>
    <t>2997 Johnson Pass, New Christopher, LA 93202</t>
  </si>
  <si>
    <t>Fashion designer</t>
  </si>
  <si>
    <t>Edwards-Garza</t>
  </si>
  <si>
    <t>1989-08-31</t>
  </si>
  <si>
    <t>2015-12-09</t>
  </si>
  <si>
    <t>Michael Sosa</t>
  </si>
  <si>
    <t>phillip42@hotmail.com</t>
  </si>
  <si>
    <t>Maine</t>
  </si>
  <si>
    <t>732-716-5075x52926</t>
  </si>
  <si>
    <t>2645 Richardson Trail Suite 426, West Ryanville, ME 29066</t>
  </si>
  <si>
    <t>Research officer, government</t>
  </si>
  <si>
    <t>Shah, Collins and Romero</t>
  </si>
  <si>
    <t>2000-04-02</t>
  </si>
  <si>
    <t>2023-01-28</t>
  </si>
  <si>
    <t>Andrew Cook</t>
  </si>
  <si>
    <t>gabriellerose@miranda.com</t>
  </si>
  <si>
    <t>001-319-594-2044x275</t>
  </si>
  <si>
    <t>6232 James Loop Suite 352, South Jeffreymouth, OK 30192</t>
  </si>
  <si>
    <t>Burns PLC</t>
  </si>
  <si>
    <t>2001-05-12</t>
  </si>
  <si>
    <t>2017-10-30</t>
  </si>
  <si>
    <t>Mark Stone</t>
  </si>
  <si>
    <t>thomaswright@wilkins.com</t>
  </si>
  <si>
    <t>+1-944-148-5689</t>
  </si>
  <si>
    <t>511 Davenport Mill, East Jordanland, DE 79516</t>
  </si>
  <si>
    <t>Psychologist, occupational</t>
  </si>
  <si>
    <t>Ward Ltd</t>
  </si>
  <si>
    <t>2002-06-26</t>
  </si>
  <si>
    <t>2025-01-29</t>
  </si>
  <si>
    <t>Alexis Bullock</t>
  </si>
  <si>
    <t>fbarnes@hotmail.com</t>
  </si>
  <si>
    <t>Nebraska</t>
  </si>
  <si>
    <t>793-820-7855x39861</t>
  </si>
  <si>
    <t>6151 Cook Lock Suite 925, East Christopherstad, OH 95080</t>
  </si>
  <si>
    <t>Photographer</t>
  </si>
  <si>
    <t>Hernandez Inc</t>
  </si>
  <si>
    <t>1979-06-04</t>
  </si>
  <si>
    <t>2018-09-20</t>
  </si>
  <si>
    <t>Sarah Smith</t>
  </si>
  <si>
    <t>velasquezaustin@gmail.com</t>
  </si>
  <si>
    <t>+1-559-713-1940x53966</t>
  </si>
  <si>
    <t>3700 Allen Route, Port Donna, AR 18207</t>
  </si>
  <si>
    <t>Counsellor</t>
  </si>
  <si>
    <t>Rose Inc</t>
  </si>
  <si>
    <t>1992-09-28</t>
  </si>
  <si>
    <t>2020-03-16</t>
  </si>
  <si>
    <t>Ashley Underwood</t>
  </si>
  <si>
    <t>amanda28@yahoo.com</t>
  </si>
  <si>
    <t>(113)068-8363</t>
  </si>
  <si>
    <t>USCGC Hamilton, FPO AP 15646</t>
  </si>
  <si>
    <t>Scientist, physiological</t>
  </si>
  <si>
    <t>Butler, Miranda and Lee</t>
  </si>
  <si>
    <t>1984-11-27</t>
  </si>
  <si>
    <t>2016-09-06</t>
  </si>
  <si>
    <t>Joshua Jenkins</t>
  </si>
  <si>
    <t>angel91@morris.com</t>
  </si>
  <si>
    <t>+1-544-024-5791</t>
  </si>
  <si>
    <t>84178 Victoria Station, Gillespieton, VT 59534</t>
  </si>
  <si>
    <t>Solicitor, Scotland</t>
  </si>
  <si>
    <t>Zimmerman-Fernandez</t>
  </si>
  <si>
    <t>1980-06-03</t>
  </si>
  <si>
    <t>2020-03-17</t>
  </si>
  <si>
    <t>David Haney</t>
  </si>
  <si>
    <t>sharon91@yahoo.com</t>
  </si>
  <si>
    <t>518-702-2716x91032</t>
  </si>
  <si>
    <t>5049 Benson Burgs Suite 642, Danielberg, OK 88376</t>
  </si>
  <si>
    <t>Pensions consultant</t>
  </si>
  <si>
    <t>Brown-Hayes</t>
  </si>
  <si>
    <t>1965-02-16</t>
  </si>
  <si>
    <t>2021-07-10</t>
  </si>
  <si>
    <t>Lori Sanford Dvm</t>
  </si>
  <si>
    <t>luke81@yahoo.com</t>
  </si>
  <si>
    <t>299-278-5441</t>
  </si>
  <si>
    <t>USCGC Wilson, FPO AE 67578</t>
  </si>
  <si>
    <t>Public relations officer</t>
  </si>
  <si>
    <t>Stuart-Hampton</t>
  </si>
  <si>
    <t>1975-04-25</t>
  </si>
  <si>
    <t>2024-09-10</t>
  </si>
  <si>
    <t>Douglas Green</t>
  </si>
  <si>
    <t>harperkarla@yahoo.com</t>
  </si>
  <si>
    <t>Montana</t>
  </si>
  <si>
    <t>647-349-7443x5029</t>
  </si>
  <si>
    <t>USNV Reeves, FPO AA 87572</t>
  </si>
  <si>
    <t>Catering manager</t>
  </si>
  <si>
    <t>Johnston Group</t>
  </si>
  <si>
    <t>1980-06-18</t>
  </si>
  <si>
    <t>2025-03-14</t>
  </si>
  <si>
    <t>Lisa Hampton</t>
  </si>
  <si>
    <t>johnsonerika@yahoo.com</t>
  </si>
  <si>
    <t>273-636-7600x34682</t>
  </si>
  <si>
    <t>64175 Angela Vista, Riverastad, AZ 90014</t>
  </si>
  <si>
    <t>Charity fundraiser</t>
  </si>
  <si>
    <t>Allen Ltd</t>
  </si>
  <si>
    <t>1967-07-26</t>
  </si>
  <si>
    <t>2015-11-28</t>
  </si>
  <si>
    <t>Matthew Flores</t>
  </si>
  <si>
    <t>alyssagarcia@yahoo.com</t>
  </si>
  <si>
    <t>(274)548-1028x620</t>
  </si>
  <si>
    <t>0338 Robert Coves, Lake Jonathanborough, CO 56230</t>
  </si>
  <si>
    <t>Clinical biochemist</t>
  </si>
  <si>
    <t>Phillips LLC</t>
  </si>
  <si>
    <t>2004-02-20</t>
  </si>
  <si>
    <t>2023-01-18</t>
  </si>
  <si>
    <t>Jason Thompson</t>
  </si>
  <si>
    <t>fgates@hotmail.com</t>
  </si>
  <si>
    <t>3756890713</t>
  </si>
  <si>
    <t>85186 White Harbor Apt. 134, New Stephanieport, ME 09066</t>
  </si>
  <si>
    <t>Schwartz-White</t>
  </si>
  <si>
    <t>1972-04-28</t>
  </si>
  <si>
    <t>2023-07-25</t>
  </si>
  <si>
    <t>Joseph Williamson</t>
  </si>
  <si>
    <t>rosesavannah@yahoo.com</t>
  </si>
  <si>
    <t>635-838-7159</t>
  </si>
  <si>
    <t>189 Mccarthy Coves Suite 325, Cheyennefort, VT 80091</t>
  </si>
  <si>
    <t>Rodriguez-Hancock</t>
  </si>
  <si>
    <t>1978-01-11</t>
  </si>
  <si>
    <t>2020-03-31</t>
  </si>
  <si>
    <t>Daniel Pena</t>
  </si>
  <si>
    <t>amanda35@dominguez.biz</t>
  </si>
  <si>
    <t>236.168.1063x5973</t>
  </si>
  <si>
    <t>87769 Alvarado Light Suite 164, North Kaylaview, NY 07298</t>
  </si>
  <si>
    <t>Materials engineer</t>
  </si>
  <si>
    <t>Smith, Salazar and Bush</t>
  </si>
  <si>
    <t>1985-08-17</t>
  </si>
  <si>
    <t>2016-10-29</t>
  </si>
  <si>
    <t>Billy Williams</t>
  </si>
  <si>
    <t>mathewsjohnny@hotmail.com</t>
  </si>
  <si>
    <t>215-620-1932x00756</t>
  </si>
  <si>
    <t>1511 Holland Viaduct Apt. 943, Melissaville, MT 60627</t>
  </si>
  <si>
    <t>Engineer, manufacturing systems</t>
  </si>
  <si>
    <t>Montes Ltd</t>
  </si>
  <si>
    <t>1994-09-19</t>
  </si>
  <si>
    <t>2017-02-18</t>
  </si>
  <si>
    <t>Ashley Evans</t>
  </si>
  <si>
    <t>bethanysalazar@rich.com</t>
  </si>
  <si>
    <t>+1-109-504-3239x98763</t>
  </si>
  <si>
    <t>28465 Nelson Crossroad Apt. 045, North Scott, DC 59986</t>
  </si>
  <si>
    <t>Publishing copy</t>
  </si>
  <si>
    <t>Thompson-Harvey</t>
  </si>
  <si>
    <t>1999-05-26</t>
  </si>
  <si>
    <t>2023-07-11</t>
  </si>
  <si>
    <t>Jamie Perez</t>
  </si>
  <si>
    <t>csmith@drake.com</t>
  </si>
  <si>
    <t>001-108-712-6458x63026</t>
  </si>
  <si>
    <t>137 Robert Stream Apt. 196, Samuelchester, NH 57662</t>
  </si>
  <si>
    <t>Nutritional therapist</t>
  </si>
  <si>
    <t>Romero, Salazar and Larsen</t>
  </si>
  <si>
    <t>2002-01-17</t>
  </si>
  <si>
    <t>2017-11-27</t>
  </si>
  <si>
    <t>Casey Leach</t>
  </si>
  <si>
    <t>joshuabowman@tucker-cain.com</t>
  </si>
  <si>
    <t>(901)573-9770x321</t>
  </si>
  <si>
    <t>1525 Mary Crescent, West Jessica, KY 92741</t>
  </si>
  <si>
    <t>Research scientist (maths)</t>
  </si>
  <si>
    <t>Robles Ltd</t>
  </si>
  <si>
    <t>1973-11-17</t>
  </si>
  <si>
    <t>2025-01-18</t>
  </si>
  <si>
    <t>Ricky Reynolds</t>
  </si>
  <si>
    <t>marcuswright@harris-mills.org</t>
  </si>
  <si>
    <t>001-181-191-0504</t>
  </si>
  <si>
    <t>59358 Villa Square, West Marciaberg, HI 39227</t>
  </si>
  <si>
    <t>Midwife</t>
  </si>
  <si>
    <t>Myers LLC</t>
  </si>
  <si>
    <t>1969-05-11</t>
  </si>
  <si>
    <t>2020-07-19</t>
  </si>
  <si>
    <t>Dean Horne</t>
  </si>
  <si>
    <t>harrispaul@yahoo.com</t>
  </si>
  <si>
    <t>119-615-1434x8763</t>
  </si>
  <si>
    <t>3711 Tanya Shores Apt. 344, Vincentfurt, TX 30506</t>
  </si>
  <si>
    <t>Transport planner</t>
  </si>
  <si>
    <t>Martinez-Barr</t>
  </si>
  <si>
    <t>1979-11-25</t>
  </si>
  <si>
    <t>2021-06-19</t>
  </si>
  <si>
    <t>Carmen Waters</t>
  </si>
  <si>
    <t>gmack@torres.com</t>
  </si>
  <si>
    <t>Mississippi</t>
  </si>
  <si>
    <t>(417)616-2539x7285</t>
  </si>
  <si>
    <t>25882 Burns Parkways, Joshuaburgh, MA 69220</t>
  </si>
  <si>
    <t>Claims inspector/assessor</t>
  </si>
  <si>
    <t>Cook-Herman</t>
  </si>
  <si>
    <t>2003-01-09</t>
  </si>
  <si>
    <t>2023-12-02</t>
  </si>
  <si>
    <t>Johnathan George</t>
  </si>
  <si>
    <t>cwilliams@weaver-rivera.net</t>
  </si>
  <si>
    <t>Ohio</t>
  </si>
  <si>
    <t>016.234.3926x3204</t>
  </si>
  <si>
    <t>2687 Morse Squares, Josephtown, NE 34434</t>
  </si>
  <si>
    <t>Medical sales representative</t>
  </si>
  <si>
    <t>Murphy Group</t>
  </si>
  <si>
    <t>1960-10-16</t>
  </si>
  <si>
    <t>2022-05-02</t>
  </si>
  <si>
    <t>Kari Cross</t>
  </si>
  <si>
    <t>zrobinson@pineda.org</t>
  </si>
  <si>
    <t>001-686-296-9037x726</t>
  </si>
  <si>
    <t>PSC 9927, Box 3578, APO AP 37231</t>
  </si>
  <si>
    <t>Surveyor, hydrographic</t>
  </si>
  <si>
    <t>Torres-Smith</t>
  </si>
  <si>
    <t>1989-12-27</t>
  </si>
  <si>
    <t>2017-05-27</t>
  </si>
  <si>
    <t>Joshua Wood</t>
  </si>
  <si>
    <t>bmason@gmail.com</t>
  </si>
  <si>
    <t>Delaware</t>
  </si>
  <si>
    <t>+1-882-910-9356</t>
  </si>
  <si>
    <t>097 Pamela Bypass Suite 398, Dayville, AR 16667</t>
  </si>
  <si>
    <t>Weber, Hodges and Smith</t>
  </si>
  <si>
    <t>1982-01-28</t>
  </si>
  <si>
    <t>2015-10-12</t>
  </si>
  <si>
    <t>John Davis</t>
  </si>
  <si>
    <t>garcianoah@hotmail.com</t>
  </si>
  <si>
    <t>(546)014-0956x16033</t>
  </si>
  <si>
    <t>5635 Wheeler Mountain Suite 899, Louisburgh, AR 14554</t>
  </si>
  <si>
    <t>Sports development officer</t>
  </si>
  <si>
    <t>Hoover LLC</t>
  </si>
  <si>
    <t>2003-06-26</t>
  </si>
  <si>
    <t>2022-03-17</t>
  </si>
  <si>
    <t>Miss Melissa Parsons</t>
  </si>
  <si>
    <t>cardenaseric@stevenson.com</t>
  </si>
  <si>
    <t>(813)298-5790x75668</t>
  </si>
  <si>
    <t>67315 Cook Overpass, East Ericton, DE 17982</t>
  </si>
  <si>
    <t>Loss adjuster, chartered</t>
  </si>
  <si>
    <t>Valdez, Torres and Stephens</t>
  </si>
  <si>
    <t>1984-07-31</t>
  </si>
  <si>
    <t>2025-05-12</t>
  </si>
  <si>
    <t>Luis Davis</t>
  </si>
  <si>
    <t>erinodom@bowers.com</t>
  </si>
  <si>
    <t>949.632.5238</t>
  </si>
  <si>
    <t>05735 Taylor Ridges Suite 788, Martinezfurt, OH 03518</t>
  </si>
  <si>
    <t>Surveyor, building</t>
  </si>
  <si>
    <t>Scott Inc</t>
  </si>
  <si>
    <t>1996-10-05</t>
  </si>
  <si>
    <t>2025-03-04</t>
  </si>
  <si>
    <t>Doris Johnson</t>
  </si>
  <si>
    <t>joy52@kerr.com</t>
  </si>
  <si>
    <t>545.897.7503x9725</t>
  </si>
  <si>
    <t>63459 Rebecca Summit, East Matthewburgh, NM 30595</t>
  </si>
  <si>
    <t>Gay, Baker and West</t>
  </si>
  <si>
    <t>2000-06-23</t>
  </si>
  <si>
    <t>2022-06-21</t>
  </si>
  <si>
    <t>Heidi Hart</t>
  </si>
  <si>
    <t>lholmes@gmail.com</t>
  </si>
  <si>
    <t>(489)795-8518</t>
  </si>
  <si>
    <t>56277 Knight Mills, New Joeltown, HI 94487</t>
  </si>
  <si>
    <t>Games developer</t>
  </si>
  <si>
    <t>Watts, Freeman and Young</t>
  </si>
  <si>
    <t>1980-12-24</t>
  </si>
  <si>
    <t>2022-04-18</t>
  </si>
  <si>
    <t>Maria Brooks</t>
  </si>
  <si>
    <t>tbond@gmail.com</t>
  </si>
  <si>
    <t>001-713-847-3384x6175</t>
  </si>
  <si>
    <t>PSC 9697, Box 3985, APO AP 46283</t>
  </si>
  <si>
    <t>Fast food restaurant manager</t>
  </si>
  <si>
    <t>Lambert Group</t>
  </si>
  <si>
    <t>1977-05-14</t>
  </si>
  <si>
    <t>2017-08-31</t>
  </si>
  <si>
    <t>Andrew Thompson</t>
  </si>
  <si>
    <t>watsonwilliam@yahoo.com</t>
  </si>
  <si>
    <t>423-405-5201</t>
  </si>
  <si>
    <t>6360 Carson Meadow, East William, MN 45362</t>
  </si>
  <si>
    <t>Dentist</t>
  </si>
  <si>
    <t>Spencer LLC</t>
  </si>
  <si>
    <t>2000-04-11</t>
  </si>
  <si>
    <t>2021-06-12</t>
  </si>
  <si>
    <t>Amber Baker</t>
  </si>
  <si>
    <t>hopkinsian@holloway.biz</t>
  </si>
  <si>
    <t>509.345.7338x2703</t>
  </si>
  <si>
    <t>080 Salazar Glen, Lambville, ID 86174</t>
  </si>
  <si>
    <t>Walters Group</t>
  </si>
  <si>
    <t>1963-02-24</t>
  </si>
  <si>
    <t>2019-08-07</t>
  </si>
  <si>
    <t>Theodore Morales</t>
  </si>
  <si>
    <t>brayjeremy@garcia.org</t>
  </si>
  <si>
    <t>Florida</t>
  </si>
  <si>
    <t>225-479-2149</t>
  </si>
  <si>
    <t>490 Patterson Extension Suite 186, West Amyfurt, DC 75379</t>
  </si>
  <si>
    <t>Designer, fashion/clothing</t>
  </si>
  <si>
    <t>Montes-Crawford</t>
  </si>
  <si>
    <t>1973-07-30</t>
  </si>
  <si>
    <t>2020-03-25</t>
  </si>
  <si>
    <t>Kevin Villa</t>
  </si>
  <si>
    <t>rossjohn@mclaughlin.net</t>
  </si>
  <si>
    <t>(027)833-8844x28955</t>
  </si>
  <si>
    <t>9515 Brian Park, Woodardland, KY 37015</t>
  </si>
  <si>
    <t>Lecturer, further education</t>
  </si>
  <si>
    <t>Moore, Wolf and Morrison</t>
  </si>
  <si>
    <t>1991-09-04</t>
  </si>
  <si>
    <t>2019-07-11</t>
  </si>
  <si>
    <t>Kristy King</t>
  </si>
  <si>
    <t>schultzapril@hotmail.com</t>
  </si>
  <si>
    <t>(100)561-8066</t>
  </si>
  <si>
    <t>65954 Sherri Forge, Lake Jeremiah, ND 62573</t>
  </si>
  <si>
    <t>Environmental consultant</t>
  </si>
  <si>
    <t>Nelson-Ramirez</t>
  </si>
  <si>
    <t>2000-05-12</t>
  </si>
  <si>
    <t>2019-08-03</t>
  </si>
  <si>
    <t>Justin Campbell</t>
  </si>
  <si>
    <t>bettyfernandez@garcia.com</t>
  </si>
  <si>
    <t>+1-680-866-9319x233</t>
  </si>
  <si>
    <t>363 William Spring Apt. 424, New Andrea, WV 09689</t>
  </si>
  <si>
    <t>Product designer</t>
  </si>
  <si>
    <t>Perkins Group</t>
  </si>
  <si>
    <t>2005-04-01</t>
  </si>
  <si>
    <t>2023-09-10</t>
  </si>
  <si>
    <t>Mr. Darrell Coleman</t>
  </si>
  <si>
    <t>salazarjanice@gmail.com</t>
  </si>
  <si>
    <t>+1-423-085-8383x7115</t>
  </si>
  <si>
    <t>332 Guy Passage Suite 073, Hutchinsonside, DE 90176</t>
  </si>
  <si>
    <t>Henry-Thomas</t>
  </si>
  <si>
    <t>1985-03-22</t>
  </si>
  <si>
    <t>2015-12-18</t>
  </si>
  <si>
    <t>Danielle Richardson</t>
  </si>
  <si>
    <t>brianfisher@hotmail.com</t>
  </si>
  <si>
    <t>722-318-1454x093</t>
  </si>
  <si>
    <t>USNS Thompson, FPO AP 57595</t>
  </si>
  <si>
    <t>Actor</t>
  </si>
  <si>
    <t>Edwards, Rivera and Wolfe</t>
  </si>
  <si>
    <t>2004-05-10</t>
  </si>
  <si>
    <t>2016-10-03</t>
  </si>
  <si>
    <t>Juan Lane</t>
  </si>
  <si>
    <t>karen81@guerrero.com</t>
  </si>
  <si>
    <t>(465)281-8681x3888</t>
  </si>
  <si>
    <t>21997 Callahan Run, Davidhaven, IA 97125</t>
  </si>
  <si>
    <t>Multimedia programmer</t>
  </si>
  <si>
    <t>Warner, Cruz and White</t>
  </si>
  <si>
    <t>1975-06-02</t>
  </si>
  <si>
    <t>2024-12-28</t>
  </si>
  <si>
    <t>William Owen</t>
  </si>
  <si>
    <t>simpsonjoseph@arnold.net</t>
  </si>
  <si>
    <t>1188659600</t>
  </si>
  <si>
    <t>6384 Paul Streets Apt. 659, New Lisamouth, WY 88804</t>
  </si>
  <si>
    <t>Community pharmacist</t>
  </si>
  <si>
    <t>Rice-Bishop</t>
  </si>
  <si>
    <t>1970-01-18</t>
  </si>
  <si>
    <t>2019-06-13</t>
  </si>
  <si>
    <t>Rachel Little</t>
  </si>
  <si>
    <t>james79@gmail.com</t>
  </si>
  <si>
    <t>001-806-769-4802x0504</t>
  </si>
  <si>
    <t>14435 Jean Garden, Carsonhaven, IA 37514</t>
  </si>
  <si>
    <t>Air cabin crew</t>
  </si>
  <si>
    <t>Shaffer and Sons</t>
  </si>
  <si>
    <t>1994-05-13</t>
  </si>
  <si>
    <t>2021-03-06</t>
  </si>
  <si>
    <t>Paula Williams</t>
  </si>
  <si>
    <t>robinsondenise@gmail.com</t>
  </si>
  <si>
    <t>830-912-6629</t>
  </si>
  <si>
    <t>55637 Hayes Pass Apt. 722, Christophermouth, NH 94883</t>
  </si>
  <si>
    <t>Presenter, broadcasting</t>
  </si>
  <si>
    <t>Holland, Cervantes and Best</t>
  </si>
  <si>
    <t>1970-06-11</t>
  </si>
  <si>
    <t>2016-11-11</t>
  </si>
  <si>
    <t>Sabrina Blevins</t>
  </si>
  <si>
    <t>montgomeryangela@yahoo.com</t>
  </si>
  <si>
    <t>(126)749-0909x35173</t>
  </si>
  <si>
    <t>534 Diaz Junctions, West Stevenland, NJ 56204</t>
  </si>
  <si>
    <t>Engineer, mining</t>
  </si>
  <si>
    <t>Gutierrez, Gonzalez and Johnson</t>
  </si>
  <si>
    <t>1974-11-17</t>
  </si>
  <si>
    <t>2016-03-14</t>
  </si>
  <si>
    <t>Pamela Smith</t>
  </si>
  <si>
    <t>cjones@yahoo.com</t>
  </si>
  <si>
    <t>826-404-3795x9613</t>
  </si>
  <si>
    <t>6748 Campos Extensions Apt. 990, Mathewside, MS 99512</t>
  </si>
  <si>
    <t>Leisure centre manager</t>
  </si>
  <si>
    <t>Watts, Trevino and Mcfarland</t>
  </si>
  <si>
    <t>1972-09-30</t>
  </si>
  <si>
    <t>2017-12-05</t>
  </si>
  <si>
    <t>Jorge Williams</t>
  </si>
  <si>
    <t>marvinchase@gmail.com</t>
  </si>
  <si>
    <t>001-759-893-4964x0941</t>
  </si>
  <si>
    <t>4719 Catherine Cape, Christopherborough, SC 56472</t>
  </si>
  <si>
    <t>Bonds trader</t>
  </si>
  <si>
    <t>Peterson-Baker</t>
  </si>
  <si>
    <t>1994-08-30</t>
  </si>
  <si>
    <t>2023-10-28</t>
  </si>
  <si>
    <t>John Miller</t>
  </si>
  <si>
    <t>lynn32@hotmail.com</t>
  </si>
  <si>
    <t>(221)192-0050x17584</t>
  </si>
  <si>
    <t>1945 Johnson Shores Suite 348, Julieborough, OH 38944</t>
  </si>
  <si>
    <t>Drilling engineer</t>
  </si>
  <si>
    <t>Wilson-Fields</t>
  </si>
  <si>
    <t>1982-05-26</t>
  </si>
  <si>
    <t>2016-10-11</t>
  </si>
  <si>
    <t>Suzanne Castro</t>
  </si>
  <si>
    <t>lindseygaines@tanner.info</t>
  </si>
  <si>
    <t>001-135-801-5390x672</t>
  </si>
  <si>
    <t>Unit 5928 Box 5814, DPO AA 85675</t>
  </si>
  <si>
    <t>Engineer, petroleum</t>
  </si>
  <si>
    <t>Cohen-Parker</t>
  </si>
  <si>
    <t>1983-12-02</t>
  </si>
  <si>
    <t>2019-12-15</t>
  </si>
  <si>
    <t>Russell Rodriguez</t>
  </si>
  <si>
    <t>hbailey@lopez.com</t>
  </si>
  <si>
    <t>071-607-6204x208</t>
  </si>
  <si>
    <t>431 Chan Plains, South Laurafurt, NM 86929</t>
  </si>
  <si>
    <t>Academic librarian</t>
  </si>
  <si>
    <t>Wright-Montgomery</t>
  </si>
  <si>
    <t>1991-09-08</t>
  </si>
  <si>
    <t>2024-11-01</t>
  </si>
  <si>
    <t>Gary Leonard</t>
  </si>
  <si>
    <t>adamsantana@gmail.com</t>
  </si>
  <si>
    <t>001-481-936-2295x70344</t>
  </si>
  <si>
    <t>2147 Key Spur Apt. 947, Lake Michelle, TX 88504</t>
  </si>
  <si>
    <t>Barker, Sexton and Frazier</t>
  </si>
  <si>
    <t>1985-08-10</t>
  </si>
  <si>
    <t>2015-12-12</t>
  </si>
  <si>
    <t>Amber Brady</t>
  </si>
  <si>
    <t>michael97@johnston-silva.com</t>
  </si>
  <si>
    <t>(045)044-5217</t>
  </si>
  <si>
    <t>56477 Margaret Road Suite 034, Kevinfort, NH 56597</t>
  </si>
  <si>
    <t>Investment banker, corporate</t>
  </si>
  <si>
    <t>Durham, Green and Cook</t>
  </si>
  <si>
    <t>1984-04-11</t>
  </si>
  <si>
    <t>2022-06-28</t>
  </si>
  <si>
    <t>Deborah Small</t>
  </si>
  <si>
    <t>sjuarez@yahoo.com</t>
  </si>
  <si>
    <t>595-208-7779</t>
  </si>
  <si>
    <t>USS Gonzalez, FPO AE 42457</t>
  </si>
  <si>
    <t>Neurosurgeon</t>
  </si>
  <si>
    <t>Mann and Sons</t>
  </si>
  <si>
    <t>2002-04-24</t>
  </si>
  <si>
    <t>2017-03-30</t>
  </si>
  <si>
    <t>Todd Owens</t>
  </si>
  <si>
    <t>james14@yahoo.com</t>
  </si>
  <si>
    <t>Kansas</t>
  </si>
  <si>
    <t>(435)254-2703x63312</t>
  </si>
  <si>
    <t>63600 Martin Ville Suite 027, Reevesstad, MT 78776</t>
  </si>
  <si>
    <t>Petroleum engineer</t>
  </si>
  <si>
    <t>Owen, Beck and Flores</t>
  </si>
  <si>
    <t>2002-07-14</t>
  </si>
  <si>
    <t>2024-03-19</t>
  </si>
  <si>
    <t>Patrick Morgan</t>
  </si>
  <si>
    <t>allison20@jones.com</t>
  </si>
  <si>
    <t>New York</t>
  </si>
  <si>
    <t>(385)288-9466</t>
  </si>
  <si>
    <t>33302 Jones Skyway Suite 107, Port Ryanview, ME 46941</t>
  </si>
  <si>
    <t>Musician</t>
  </si>
  <si>
    <t>Smith-Scott</t>
  </si>
  <si>
    <t>1972-11-14</t>
  </si>
  <si>
    <t>2018-03-30</t>
  </si>
  <si>
    <t>Richard Romero</t>
  </si>
  <si>
    <t>rachel90@hotmail.com</t>
  </si>
  <si>
    <t>+1-043-523-6630x49599</t>
  </si>
  <si>
    <t>55366 Ronald Wall, East Cody, KS 28872</t>
  </si>
  <si>
    <t>Statistician</t>
  </si>
  <si>
    <t>Carroll, Brooks and Gregory</t>
  </si>
  <si>
    <t>1980-10-07</t>
  </si>
  <si>
    <t>Jennifer Gray</t>
  </si>
  <si>
    <t>charlenecuevas@harris-hernandez.com</t>
  </si>
  <si>
    <t>448.541.8046x70629</t>
  </si>
  <si>
    <t>02483 Jeremy Meadows Apt. 542, Port Brenda, MO 47575</t>
  </si>
  <si>
    <t>Clinical scientist, histocompatibility and immunogenetics</t>
  </si>
  <si>
    <t>Smith Group</t>
  </si>
  <si>
    <t>1981-07-16</t>
  </si>
  <si>
    <t>2023-04-10</t>
  </si>
  <si>
    <t>Craig Castro</t>
  </si>
  <si>
    <t>brownmadeline@sampson.net</t>
  </si>
  <si>
    <t>944.418.1199</t>
  </si>
  <si>
    <t>05984 Whitaker Summit Suite 163, New Katrinaburgh, IN 08239</t>
  </si>
  <si>
    <t>Summers, Ortiz and Cooper</t>
  </si>
  <si>
    <t>2003-09-26</t>
  </si>
  <si>
    <t>2016-11-01</t>
  </si>
  <si>
    <t>Tiffany Vasquez</t>
  </si>
  <si>
    <t>toddwanda@hotmail.com</t>
  </si>
  <si>
    <t>112-347-5658x73155</t>
  </si>
  <si>
    <t>51099 Victor Harbors Suite 403, New Mark, ID 63919</t>
  </si>
  <si>
    <t>Engineer, aeronautical</t>
  </si>
  <si>
    <t>Middleton and Sons</t>
  </si>
  <si>
    <t>1986-09-25</t>
  </si>
  <si>
    <t>2023-06-16</t>
  </si>
  <si>
    <t>Karen Foster</t>
  </si>
  <si>
    <t>tiffany57@hotmail.com</t>
  </si>
  <si>
    <t>Colorado</t>
  </si>
  <si>
    <t>(225)275-6927x703</t>
  </si>
  <si>
    <t>245 Crane Via Suite 397, Cooperborough, OK 42640</t>
  </si>
  <si>
    <t>Tran Inc</t>
  </si>
  <si>
    <t>1992-10-23</t>
  </si>
  <si>
    <t>2022-05-03</t>
  </si>
  <si>
    <t>Jennifer Silva Dvm</t>
  </si>
  <si>
    <t>khuff@harding.biz</t>
  </si>
  <si>
    <t>(143)466-6003</t>
  </si>
  <si>
    <t>4364 Stephanie Lock, Marissashire, PA 46743</t>
  </si>
  <si>
    <t>Accounting technician</t>
  </si>
  <si>
    <t>Gordon-Hoffman</t>
  </si>
  <si>
    <t>2003-11-07</t>
  </si>
  <si>
    <t>2018-02-25</t>
  </si>
  <si>
    <t>Bradley Campbell</t>
  </si>
  <si>
    <t>eglover@greer-diaz.org</t>
  </si>
  <si>
    <t>8274687586</t>
  </si>
  <si>
    <t>998 Henderson Mission, Thompsonfort, VT 58305</t>
  </si>
  <si>
    <t>Administrator, Civil Service</t>
  </si>
  <si>
    <t>Ramirez Inc</t>
  </si>
  <si>
    <t>1967-02-06</t>
  </si>
  <si>
    <t>2025-05-08</t>
  </si>
  <si>
    <t>Angel Parker</t>
  </si>
  <si>
    <t>emily08@gonzalez.biz</t>
  </si>
  <si>
    <t>(068)480-9779x6865</t>
  </si>
  <si>
    <t>5908 Sullivan Rest Suite 072, South Charleschester, VT 91896</t>
  </si>
  <si>
    <t>Garcia, Martinez and Dunn</t>
  </si>
  <si>
    <t>1988-05-24</t>
  </si>
  <si>
    <t>2020-09-07</t>
  </si>
  <si>
    <t>Debra Lin</t>
  </si>
  <si>
    <t>schmidtjamie@harper.biz</t>
  </si>
  <si>
    <t>+1-765-795-0616x981</t>
  </si>
  <si>
    <t>8245 Colleen Junctions, Lake Heather, TN 16896</t>
  </si>
  <si>
    <t>Tour manager</t>
  </si>
  <si>
    <t>Lee-Carrillo</t>
  </si>
  <si>
    <t>1991-07-31</t>
  </si>
  <si>
    <t>2015-09-07</t>
  </si>
  <si>
    <t>Dr. Sean Adams</t>
  </si>
  <si>
    <t>smithrhonda@rodriguez-taylor.com</t>
  </si>
  <si>
    <t>7713354158</t>
  </si>
  <si>
    <t>9797 Carol Cape, Thomasfort, IL 63786</t>
  </si>
  <si>
    <t>Engineer, production</t>
  </si>
  <si>
    <t>Garner Ltd</t>
  </si>
  <si>
    <t>1994-05-21</t>
  </si>
  <si>
    <t>Timothy Silva</t>
  </si>
  <si>
    <t>stephanie37@taylor.net</t>
  </si>
  <si>
    <t>+1-165-488-7659x7280</t>
  </si>
  <si>
    <t>5847 Steve Crescent, Lake Connormouth, MT 43744</t>
  </si>
  <si>
    <t>Comptroller</t>
  </si>
  <si>
    <t>Meyer-Holden</t>
  </si>
  <si>
    <t>2000-09-21</t>
  </si>
  <si>
    <t>2024-04-27</t>
  </si>
  <si>
    <t>Karen Gordon</t>
  </si>
  <si>
    <t>whitetodd@hotmail.com</t>
  </si>
  <si>
    <t>(609)832-1658x23639</t>
  </si>
  <si>
    <t>8184 Woods Crest, Lake Sarahburgh, VA 48852</t>
  </si>
  <si>
    <t>Embryologist, clinical</t>
  </si>
  <si>
    <t>Hubbard-Reed</t>
  </si>
  <si>
    <t>1991-07-28</t>
  </si>
  <si>
    <t>2016-03-05</t>
  </si>
  <si>
    <t>David Rose</t>
  </si>
  <si>
    <t>sabrina79@gmail.com</t>
  </si>
  <si>
    <t>420-395-4552x888</t>
  </si>
  <si>
    <t>04197 Caitlin Glens, Bryanport, WY 54360</t>
  </si>
  <si>
    <t>Art therapist</t>
  </si>
  <si>
    <t>Jones-Brooks</t>
  </si>
  <si>
    <t>1992-11-26</t>
  </si>
  <si>
    <t>2018-04-05</t>
  </si>
  <si>
    <t>Nicholas Estrada</t>
  </si>
  <si>
    <t>samantha15@peterson.org</t>
  </si>
  <si>
    <t>634-210-6213x11402</t>
  </si>
  <si>
    <t>5671 Rojas River, North Matthew, NE 20053</t>
  </si>
  <si>
    <t>Magazine journalist</t>
  </si>
  <si>
    <t>Thompson-Brooks</t>
  </si>
  <si>
    <t>2004-06-04</t>
  </si>
  <si>
    <t>2024-04-13</t>
  </si>
  <si>
    <t>Jared Richard</t>
  </si>
  <si>
    <t>gabrielaoconnor@mullen.com</t>
  </si>
  <si>
    <t>388.810.0880x0871</t>
  </si>
  <si>
    <t>719 Adams Trail Apt. 062, Houstonborough, DE 20431</t>
  </si>
  <si>
    <t>Broadcast journalist</t>
  </si>
  <si>
    <t>Simmons-Archer</t>
  </si>
  <si>
    <t>1964-05-16</t>
  </si>
  <si>
    <t>2018-01-19</t>
  </si>
  <si>
    <t>Stephen Johnson</t>
  </si>
  <si>
    <t>jared14@clarke.org</t>
  </si>
  <si>
    <t>(271)234-0225</t>
  </si>
  <si>
    <t>USNV Miller, FPO AA 52572</t>
  </si>
  <si>
    <t>Surveyor, quantity</t>
  </si>
  <si>
    <t>Conner Ltd</t>
  </si>
  <si>
    <t>1959-09-25</t>
  </si>
  <si>
    <t>Yolanda Townsend</t>
  </si>
  <si>
    <t>wilsonjohn@yahoo.com</t>
  </si>
  <si>
    <t>530.936.3661</t>
  </si>
  <si>
    <t>683 John Fort Apt. 535, Harveyfurt, LA 27852</t>
  </si>
  <si>
    <t>Swanson-Williams</t>
  </si>
  <si>
    <t>1960-06-09</t>
  </si>
  <si>
    <t>2018-10-27</t>
  </si>
  <si>
    <t>Donna Rangel</t>
  </si>
  <si>
    <t>clarencegarrett@yahoo.com</t>
  </si>
  <si>
    <t>+1-407-585-8442x918</t>
  </si>
  <si>
    <t>9318 Sims Point, Boothside, OH 41514</t>
  </si>
  <si>
    <t>Doctor, general practice</t>
  </si>
  <si>
    <t>Mckinney, Meyers and Watson</t>
  </si>
  <si>
    <t>1968-07-22</t>
  </si>
  <si>
    <t>2022-01-17</t>
  </si>
  <si>
    <t>Frank Dean</t>
  </si>
  <si>
    <t>millerjames@bean.com</t>
  </si>
  <si>
    <t>059.607.6932x528</t>
  </si>
  <si>
    <t>2367 Sanchez Vista Apt. 251, Port Pamela, IA 17280</t>
  </si>
  <si>
    <t>Advertising account planner</t>
  </si>
  <si>
    <t>Barry, Williams and Morrison</t>
  </si>
  <si>
    <t>1964-07-07</t>
  </si>
  <si>
    <t>2022-01-18</t>
  </si>
  <si>
    <t>Theresa Yoder</t>
  </si>
  <si>
    <t>jeffreylee@smith.com</t>
  </si>
  <si>
    <t>Texas</t>
  </si>
  <si>
    <t>904.563.1131</t>
  </si>
  <si>
    <t>7199 Harris Inlet Apt. 334, Tamichester, MS 67009</t>
  </si>
  <si>
    <t>Chiropodist</t>
  </si>
  <si>
    <t>Poole-Brown</t>
  </si>
  <si>
    <t>1988-11-18</t>
  </si>
  <si>
    <t>2024-09-18</t>
  </si>
  <si>
    <t>Michael Brown</t>
  </si>
  <si>
    <t>madisongarrett@hotmail.com</t>
  </si>
  <si>
    <t>(832)342-1178x49146</t>
  </si>
  <si>
    <t>Unit 5138 Box 9979, DPO AE 99399</t>
  </si>
  <si>
    <t>Rural practice surveyor</t>
  </si>
  <si>
    <t>Smith, Miller and Allen</t>
  </si>
  <si>
    <t>1971-09-07</t>
  </si>
  <si>
    <t>2018-10-17</t>
  </si>
  <si>
    <t>Daniel Watts</t>
  </si>
  <si>
    <t>qmosley@yahoo.com</t>
  </si>
  <si>
    <t>176-695-0799x138</t>
  </si>
  <si>
    <t>529 Manning Rest Suite 489, Mclaughlinview, OR 81060</t>
  </si>
  <si>
    <t>Administrator, local government</t>
  </si>
  <si>
    <t>Jackson-Padilla</t>
  </si>
  <si>
    <t>2002-07-07</t>
  </si>
  <si>
    <t>2023-11-27</t>
  </si>
  <si>
    <t>Randall King</t>
  </si>
  <si>
    <t>gchaney@yahoo.com</t>
  </si>
  <si>
    <t>376.677.8662</t>
  </si>
  <si>
    <t>USS Poole, FPO AA 33523</t>
  </si>
  <si>
    <t>Primary school teacher</t>
  </si>
  <si>
    <t>Dillon-Myers</t>
  </si>
  <si>
    <t>1965-08-28</t>
  </si>
  <si>
    <t>2021-08-31</t>
  </si>
  <si>
    <t>Mikayla Rhodes</t>
  </si>
  <si>
    <t>brewerjustin@wilson-summers.com</t>
  </si>
  <si>
    <t>388.094.2796x493</t>
  </si>
  <si>
    <t>7508 Wolfe Lights, North Nathantown, KY 27196</t>
  </si>
  <si>
    <t>Engineer, civil (contracting)</t>
  </si>
  <si>
    <t>Lee-Parker</t>
  </si>
  <si>
    <t>1973-08-23</t>
  </si>
  <si>
    <t>2024-11-12</t>
  </si>
  <si>
    <t>Daniel Rivera</t>
  </si>
  <si>
    <t>xsolis@white.net</t>
  </si>
  <si>
    <t>184.717.6096x96992</t>
  </si>
  <si>
    <t>4351 Steele Walk, New Ann, IA 15235</t>
  </si>
  <si>
    <t>Health and safety adviser</t>
  </si>
  <si>
    <t>Vaughn Group</t>
  </si>
  <si>
    <t>1966-07-05</t>
  </si>
  <si>
    <t>2024-05-28</t>
  </si>
  <si>
    <t>Juan Lopez</t>
  </si>
  <si>
    <t>sherimarshall@lewis.com</t>
  </si>
  <si>
    <t>001-225-652-1517</t>
  </si>
  <si>
    <t>996 Jenkins Mills Apt. 995, Danielmouth, AR 66811</t>
  </si>
  <si>
    <t>Environmental manager</t>
  </si>
  <si>
    <t>Reid-Mason</t>
  </si>
  <si>
    <t>2001-10-28</t>
  </si>
  <si>
    <t>2022-07-29</t>
  </si>
  <si>
    <t>Jessica Klein</t>
  </si>
  <si>
    <t>briansanford@gmail.com</t>
  </si>
  <si>
    <t>001-284-140-9537</t>
  </si>
  <si>
    <t>0965 Dorsey Court, Christensenmouth, ME 06089</t>
  </si>
  <si>
    <t>Williams-Hull</t>
  </si>
  <si>
    <t>1966-10-11</t>
  </si>
  <si>
    <t>2023-06-25</t>
  </si>
  <si>
    <t>Sharon Foley</t>
  </si>
  <si>
    <t>james26@gmail.com</t>
  </si>
  <si>
    <t>Louisiana</t>
  </si>
  <si>
    <t>+1-191-000-3607x0163</t>
  </si>
  <si>
    <t>65780 Hammond Locks Apt. 629, West Brittanymouth, AK 27110</t>
  </si>
  <si>
    <t>Print production planner</t>
  </si>
  <si>
    <t>Dominguez LLC</t>
  </si>
  <si>
    <t>1971-11-27</t>
  </si>
  <si>
    <t>2020-07-01</t>
  </si>
  <si>
    <t>Danny Colon</t>
  </si>
  <si>
    <t>calexander@coleman.com</t>
  </si>
  <si>
    <t>557-871-7327x17861</t>
  </si>
  <si>
    <t>0222 Lee Orchard Apt. 579, Rosstown, WV 58900</t>
  </si>
  <si>
    <t>Mayo-Santana</t>
  </si>
  <si>
    <t>1993-02-16</t>
  </si>
  <si>
    <t>2022-08-14</t>
  </si>
  <si>
    <t>Lisa Smith</t>
  </si>
  <si>
    <t>davenporttiffany@gonzalez.com</t>
  </si>
  <si>
    <t>(429)437-3682</t>
  </si>
  <si>
    <t>364 Harris Gardens, East Daniellefort, HI 40096</t>
  </si>
  <si>
    <t>Production assistant, television</t>
  </si>
  <si>
    <t>Sampson PLC</t>
  </si>
  <si>
    <t>1994-09-15</t>
  </si>
  <si>
    <t>2022-12-28</t>
  </si>
  <si>
    <t>Sara Perez</t>
  </si>
  <si>
    <t>brittany45@howard-wood.com</t>
  </si>
  <si>
    <t>357.510.0155x46121</t>
  </si>
  <si>
    <t>0893 James Ranch, Stephenchester, UT 35520</t>
  </si>
  <si>
    <t>Ranger/warden</t>
  </si>
  <si>
    <t>Garner, Chase and Barr</t>
  </si>
  <si>
    <t>1988-03-30</t>
  </si>
  <si>
    <t>2020-01-07</t>
  </si>
  <si>
    <t>Marissa Graham</t>
  </si>
  <si>
    <t>albertsmith@payne.net</t>
  </si>
  <si>
    <t>+1-053-988-5144x09196</t>
  </si>
  <si>
    <t>4966 Torres Vista, East Jennifer, OK 26192</t>
  </si>
  <si>
    <t>Magazine features editor</t>
  </si>
  <si>
    <t>Vincent and Sons</t>
  </si>
  <si>
    <t>2003-11-28</t>
  </si>
  <si>
    <t>2020-02-04</t>
  </si>
  <si>
    <t>Cory Mckay</t>
  </si>
  <si>
    <t>donald77@yahoo.com</t>
  </si>
  <si>
    <t>800.726.6761x780</t>
  </si>
  <si>
    <t>329 Brown Drives Apt. 302, East Wendy, UT 99613</t>
  </si>
  <si>
    <t>Textile designer</t>
  </si>
  <si>
    <t>Bennett-Moses</t>
  </si>
  <si>
    <t>1983-02-19</t>
  </si>
  <si>
    <t>2016-11-28</t>
  </si>
  <si>
    <t>Cameron Carr</t>
  </si>
  <si>
    <t>mauricewebb@gonzalez.com</t>
  </si>
  <si>
    <t>4227561837</t>
  </si>
  <si>
    <t>107 Moore Point Suite 451, Sweeneytown, IA 93254</t>
  </si>
  <si>
    <t>Librarian, academic</t>
  </si>
  <si>
    <t>Morris Inc</t>
  </si>
  <si>
    <t>1987-04-16</t>
  </si>
  <si>
    <t>2024-05-26</t>
  </si>
  <si>
    <t>Antonio Perez</t>
  </si>
  <si>
    <t>sfritz@brown.net</t>
  </si>
  <si>
    <t>981-223-0421x896</t>
  </si>
  <si>
    <t>04769 Gregory Drives Suite 999, Lake Kimberly, GA 32983</t>
  </si>
  <si>
    <t>Clinical cytogeneticist</t>
  </si>
  <si>
    <t>Sanchez-Mosley</t>
  </si>
  <si>
    <t>1974-05-06</t>
  </si>
  <si>
    <t>2024-01-07</t>
  </si>
  <si>
    <t>Melissa Robinson</t>
  </si>
  <si>
    <t>iscott@yahoo.com</t>
  </si>
  <si>
    <t>5957070540</t>
  </si>
  <si>
    <t>61469 Audrey Brook, Maryland, MT 68358</t>
  </si>
  <si>
    <t>Geologist, wellsite</t>
  </si>
  <si>
    <t>Brown-Davis</t>
  </si>
  <si>
    <t>1988-08-22</t>
  </si>
  <si>
    <t>2022-05-12</t>
  </si>
  <si>
    <t>Vanessa Rodriguez</t>
  </si>
  <si>
    <t>state@hotmail.com</t>
  </si>
  <si>
    <t>(577)405-8235x1932</t>
  </si>
  <si>
    <t>75968 Moss Street, East Emily, MO 25132</t>
  </si>
  <si>
    <t>Davis-Freeman</t>
  </si>
  <si>
    <t>1991-02-20</t>
  </si>
  <si>
    <t>2019-06-18</t>
  </si>
  <si>
    <t>Christopher Bass</t>
  </si>
  <si>
    <t>vprice@gmail.com</t>
  </si>
  <si>
    <t>+1-359-783-5241</t>
  </si>
  <si>
    <t>2537 Johnny Stream, Millerborough, IA 46798</t>
  </si>
  <si>
    <t>Financial manager</t>
  </si>
  <si>
    <t>Payne, Lindsey and Harvey</t>
  </si>
  <si>
    <t>1962-09-16</t>
  </si>
  <si>
    <t>2025-03-26</t>
  </si>
  <si>
    <t>Alyssa Montoya</t>
  </si>
  <si>
    <t>michelehoward@wood.biz</t>
  </si>
  <si>
    <t>897-595-1048x53646</t>
  </si>
  <si>
    <t>9618 Olivia Valley Apt. 739, Richborough, MA 65053</t>
  </si>
  <si>
    <t>Firefighter</t>
  </si>
  <si>
    <t>Williams-Miller</t>
  </si>
  <si>
    <t>1988-04-27</t>
  </si>
  <si>
    <t>2019-05-25</t>
  </si>
  <si>
    <t>William Stanley</t>
  </si>
  <si>
    <t>laurahenderson@bentley-best.org</t>
  </si>
  <si>
    <t>(744)605-2901x4492</t>
  </si>
  <si>
    <t>7695 Joseph Flats Apt. 601, Watsonfort, OK 06951</t>
  </si>
  <si>
    <t>Data scientist</t>
  </si>
  <si>
    <t>Stanley-Liu</t>
  </si>
  <si>
    <t>1971-04-23</t>
  </si>
  <si>
    <t>2016-01-19</t>
  </si>
  <si>
    <t>James Wilson</t>
  </si>
  <si>
    <t>samueljoyce@holland.com</t>
  </si>
  <si>
    <t>(699)133-6731x365</t>
  </si>
  <si>
    <t>04135 Hall Rapid, New Rodneymouth, HI 59501</t>
  </si>
  <si>
    <t>Advertising account executive</t>
  </si>
  <si>
    <t>Hunt Group</t>
  </si>
  <si>
    <t>1999-01-18</t>
  </si>
  <si>
    <t>2023-12-14</t>
  </si>
  <si>
    <t>Kyle Valdez</t>
  </si>
  <si>
    <t>bautistajamie@yahoo.com</t>
  </si>
  <si>
    <t>121-628-4099</t>
  </si>
  <si>
    <t>57087 Arnold Springs Suite 424, West Sean, AR 08656</t>
  </si>
  <si>
    <t>Jones Inc</t>
  </si>
  <si>
    <t>1996-05-01</t>
  </si>
  <si>
    <t>2017-06-05</t>
  </si>
  <si>
    <t>Sarah Crawford</t>
  </si>
  <si>
    <t>hartandrew@cervantes.com</t>
  </si>
  <si>
    <t>7390967759</t>
  </si>
  <si>
    <t>5023 Jones Crest, Boydmouth, NH 19549</t>
  </si>
  <si>
    <t>Ship broker</t>
  </si>
  <si>
    <t>Peterson, Allen and Thomas</t>
  </si>
  <si>
    <t>1998-06-24</t>
  </si>
  <si>
    <t>2023-09-02</t>
  </si>
  <si>
    <t>Teresa Burke</t>
  </si>
  <si>
    <t>kellyfuller@gmail.com</t>
  </si>
  <si>
    <t>(545)483-5454x81845</t>
  </si>
  <si>
    <t>412 Tara Pike Suite 860, Thompsonstad, NH 19330</t>
  </si>
  <si>
    <t>Advertising copywriter</t>
  </si>
  <si>
    <t>Lang-Anderson</t>
  </si>
  <si>
    <t>1983-10-12</t>
  </si>
  <si>
    <t>2019-04-29</t>
  </si>
  <si>
    <t>Reginald Tucker</t>
  </si>
  <si>
    <t>zlee@hotmail.com</t>
  </si>
  <si>
    <t>3604941895</t>
  </si>
  <si>
    <t>99306 Sanchez Ports, West Leeborough, HI 43146</t>
  </si>
  <si>
    <t>Hartman, Gordon and Turner</t>
  </si>
  <si>
    <t>1978-10-31</t>
  </si>
  <si>
    <t>2018-12-28</t>
  </si>
  <si>
    <t>Sergio Garcia</t>
  </si>
  <si>
    <t>tracytaylor@hotmail.com</t>
  </si>
  <si>
    <t>+1-735-297-8850</t>
  </si>
  <si>
    <t>455 Antonio Drive Apt. 814, East Jose, WI 76919</t>
  </si>
  <si>
    <t>Exhibitions officer, museum/gallery</t>
  </si>
  <si>
    <t>Dean-Perez</t>
  </si>
  <si>
    <t>1997-10-08</t>
  </si>
  <si>
    <t>2021-04-07</t>
  </si>
  <si>
    <t>Jeremy Evans</t>
  </si>
  <si>
    <t>kathleenfischer@gmail.com</t>
  </si>
  <si>
    <t>1280620956</t>
  </si>
  <si>
    <t>905 Thomas Ways Apt. 124, Rodriguezmouth, ME 23594</t>
  </si>
  <si>
    <t>Carney, Chavez and Jackson</t>
  </si>
  <si>
    <t>1969-06-14</t>
  </si>
  <si>
    <t>2019-05-06</t>
  </si>
  <si>
    <t>Dr. Dean Gonzalez</t>
  </si>
  <si>
    <t>scoffey@williams-davis.com</t>
  </si>
  <si>
    <t>693-555-0815x3139</t>
  </si>
  <si>
    <t>068 Rebecca Place Apt. 986, North Victorville, DC 31001</t>
  </si>
  <si>
    <t>Wright, Benitez and Campbell</t>
  </si>
  <si>
    <t>1994-06-29</t>
  </si>
  <si>
    <t>2016-09-25</t>
  </si>
  <si>
    <t>Cynthia Tyler</t>
  </si>
  <si>
    <t>pbullock@hotmail.com</t>
  </si>
  <si>
    <t>919.420.8196x9644</t>
  </si>
  <si>
    <t>1855 Charles Rue Suite 113, Gordonview, AZ 69559</t>
  </si>
  <si>
    <t>Mental health nurse</t>
  </si>
  <si>
    <t>Ward, Meyers and Roberts</t>
  </si>
  <si>
    <t>1983-10-23</t>
  </si>
  <si>
    <t>2023-02-13</t>
  </si>
  <si>
    <t>Kenneth Williams</t>
  </si>
  <si>
    <t>alisha95@harris.biz</t>
  </si>
  <si>
    <t>613-661-7989x08334</t>
  </si>
  <si>
    <t>USCGC Marshall, FPO AP 02523</t>
  </si>
  <si>
    <t>Land/geomatics surveyor</t>
  </si>
  <si>
    <t>Riley PLC</t>
  </si>
  <si>
    <t>1998-01-21</t>
  </si>
  <si>
    <t>2017-07-21</t>
  </si>
  <si>
    <t>Dawn Garcia</t>
  </si>
  <si>
    <t>jodymacias@hotmail.com</t>
  </si>
  <si>
    <t>770-455-2486x870</t>
  </si>
  <si>
    <t>PSC 1333, Box 8681, APO AA 51360</t>
  </si>
  <si>
    <t>Nguyen PLC</t>
  </si>
  <si>
    <t>1975-07-09</t>
  </si>
  <si>
    <t>2015-09-12</t>
  </si>
  <si>
    <t>Dustin Walsh</t>
  </si>
  <si>
    <t>bdaniel@gmail.com</t>
  </si>
  <si>
    <t>+1-658-959-8138x5126</t>
  </si>
  <si>
    <t>548 Clarke Crescent Suite 117, Jasonfort, IL 34897</t>
  </si>
  <si>
    <t>Daniel, Cantrell and Collins</t>
  </si>
  <si>
    <t>2007-05-28</t>
  </si>
  <si>
    <t>2021-03-30</t>
  </si>
  <si>
    <t>Amy Sanders</t>
  </si>
  <si>
    <t>fpotter@hotmail.com</t>
  </si>
  <si>
    <t>+1-954-383-5645x10918</t>
  </si>
  <si>
    <t>814 Zimmerman Neck, Port Nancy, VT 46284</t>
  </si>
  <si>
    <t>Engineer, water</t>
  </si>
  <si>
    <t>Valdez-Ortiz</t>
  </si>
  <si>
    <t>2006-11-01</t>
  </si>
  <si>
    <t>2016-05-25</t>
  </si>
  <si>
    <t>Sonya Williams</t>
  </si>
  <si>
    <t>benjaminmckay@yahoo.com</t>
  </si>
  <si>
    <t>(925)532-0031x933</t>
  </si>
  <si>
    <t>Unit 6549 Box 1145, DPO AE 63661</t>
  </si>
  <si>
    <t>Physicist, medical</t>
  </si>
  <si>
    <t>Campbell LLC</t>
  </si>
  <si>
    <t>1968-08-25</t>
  </si>
  <si>
    <t>2025-07-05</t>
  </si>
  <si>
    <t>Anna Jackson</t>
  </si>
  <si>
    <t>samuel59@hickman.com</t>
  </si>
  <si>
    <t>+1-455-191-5158x2402</t>
  </si>
  <si>
    <t>868 Thompson Bridge, Hartbury, AR 36435</t>
  </si>
  <si>
    <t>Communications engineer</t>
  </si>
  <si>
    <t>Obrien and Sons</t>
  </si>
  <si>
    <t>1988-11-22</t>
  </si>
  <si>
    <t>2022-08-03</t>
  </si>
  <si>
    <t>Beth Chambers</t>
  </si>
  <si>
    <t>alexandriabryant@stewart.com</t>
  </si>
  <si>
    <t>(150)934-6495x578</t>
  </si>
  <si>
    <t>435 Burke Court, Stokesstad, MS 17991</t>
  </si>
  <si>
    <t>Clinical psychologist</t>
  </si>
  <si>
    <t>Murillo PLC</t>
  </si>
  <si>
    <t>1982-08-19</t>
  </si>
  <si>
    <t>2020-11-09</t>
  </si>
  <si>
    <t>Patricia Tran</t>
  </si>
  <si>
    <t>beardkenneth@yahoo.com</t>
  </si>
  <si>
    <t>+1-645-729-3477</t>
  </si>
  <si>
    <t>457 Martinez Route Apt. 299, Nicholasville, NH 48438</t>
  </si>
  <si>
    <t>Arts administrator</t>
  </si>
  <si>
    <t>Williams-Perry</t>
  </si>
  <si>
    <t>1974-03-23</t>
  </si>
  <si>
    <t>2025-05-30</t>
  </si>
  <si>
    <t>Fred Garcia</t>
  </si>
  <si>
    <t>amyfuller@gmail.com</t>
  </si>
  <si>
    <t>+1-073-754-2021x1426</t>
  </si>
  <si>
    <t>867 Glenn Springs, Romeroton, OR 99452</t>
  </si>
  <si>
    <t>Tran, Santana and Sosa</t>
  </si>
  <si>
    <t>1972-01-27</t>
  </si>
  <si>
    <t>2019-12-17</t>
  </si>
  <si>
    <t>Brandon Blackwell</t>
  </si>
  <si>
    <t>donnathomas@sanders.com</t>
  </si>
  <si>
    <t>017.090.4833x612</t>
  </si>
  <si>
    <t>45663 Lisa Meadow, Loganstad, GA 71882</t>
  </si>
  <si>
    <t>Television camera operator</t>
  </si>
  <si>
    <t>Ramos, Hall and Warner</t>
  </si>
  <si>
    <t>1966-03-16</t>
  </si>
  <si>
    <t>2017-10-09</t>
  </si>
  <si>
    <t>Linda Mathis</t>
  </si>
  <si>
    <t>gabrielthomas@hotmail.com</t>
  </si>
  <si>
    <t>161-945-9076x57000</t>
  </si>
  <si>
    <t>000 Gina Mall, Yorkside, WY 33163</t>
  </si>
  <si>
    <t>Buyer, retail</t>
  </si>
  <si>
    <t>Molina, Jones and Salinas</t>
  </si>
  <si>
    <t>1999-04-11</t>
  </si>
  <si>
    <t>2024-09-01</t>
  </si>
  <si>
    <t>James Smith</t>
  </si>
  <si>
    <t>oscarmartinez@gmail.com</t>
  </si>
  <si>
    <t>+1-943-723-6811x81365</t>
  </si>
  <si>
    <t>4087 Hernandez View, New Joseph, ID 68138</t>
  </si>
  <si>
    <t>Sexton LLC</t>
  </si>
  <si>
    <t>1966-01-15</t>
  </si>
  <si>
    <t>2019-02-08</t>
  </si>
  <si>
    <t>Katrina Harrison</t>
  </si>
  <si>
    <t>katherine56@hotmail.com</t>
  </si>
  <si>
    <t>746.675.0643x86380</t>
  </si>
  <si>
    <t>647 Jefferson Hills, East Kendra, AL 64957</t>
  </si>
  <si>
    <t>Exercise physiologist</t>
  </si>
  <si>
    <t>Ponce, Hart and Hawkins</t>
  </si>
  <si>
    <t>1979-10-25</t>
  </si>
  <si>
    <t>2018-06-24</t>
  </si>
  <si>
    <t>Calvin Miller</t>
  </si>
  <si>
    <t>ilester@frye.org</t>
  </si>
  <si>
    <t>+1-975-533-8288</t>
  </si>
  <si>
    <t>936 Mason Ridges Apt. 719, New Jessica, UT 40721</t>
  </si>
  <si>
    <t>Baird, Marshall and Welch</t>
  </si>
  <si>
    <t>1965-11-01</t>
  </si>
  <si>
    <t>2019-12-10</t>
  </si>
  <si>
    <t>Dwayne Flores</t>
  </si>
  <si>
    <t>pbowen@yahoo.com</t>
  </si>
  <si>
    <t>825-942-9902x8625</t>
  </si>
  <si>
    <t>263 Williams Fork Apt. 581, Michaelburgh, GA 92264</t>
  </si>
  <si>
    <t>Conservator, furniture</t>
  </si>
  <si>
    <t>Romero Inc</t>
  </si>
  <si>
    <t>1960-06-23</t>
  </si>
  <si>
    <t>2022-12-01</t>
  </si>
  <si>
    <t>Kevin Goodman</t>
  </si>
  <si>
    <t>kylejackson@macdonald.com</t>
  </si>
  <si>
    <t>001-341-781-1423x847</t>
  </si>
  <si>
    <t>6010 Hart Roads Suite 768, Gonzalezville, MT 07255</t>
  </si>
  <si>
    <t>Surveyor, planning and development</t>
  </si>
  <si>
    <t>Zimmerman, Estrada and Howe</t>
  </si>
  <si>
    <t>1968-01-26</t>
  </si>
  <si>
    <t>2020-01-18</t>
  </si>
  <si>
    <t>William Frey</t>
  </si>
  <si>
    <t>fwood@hotmail.com</t>
  </si>
  <si>
    <t>487.656.9155x9747</t>
  </si>
  <si>
    <t>91122 Williams Port, Warrenport, NH 74432</t>
  </si>
  <si>
    <t>1999-08-18</t>
  </si>
  <si>
    <t>2018-10-15</t>
  </si>
  <si>
    <t>Mary Johnson</t>
  </si>
  <si>
    <t>maldonadolori@campbell.biz</t>
  </si>
  <si>
    <t>+1-565-699-0493x771</t>
  </si>
  <si>
    <t>204 Gina Burgs Suite 593, Kimberlyside, MO 78605</t>
  </si>
  <si>
    <t>Technical author</t>
  </si>
  <si>
    <t>Young-Hunter</t>
  </si>
  <si>
    <t>1979-06-05</t>
  </si>
  <si>
    <t>2020-12-14</t>
  </si>
  <si>
    <t>Karl Lloyd</t>
  </si>
  <si>
    <t>hhall@hotmail.com</t>
  </si>
  <si>
    <t>+1-440-197-0405x926</t>
  </si>
  <si>
    <t>9925 Baker Freeway Apt. 655, West Diane, AR 57000</t>
  </si>
  <si>
    <t>Clinical molecular geneticist</t>
  </si>
  <si>
    <t>Lee Group</t>
  </si>
  <si>
    <t>1994-02-23</t>
  </si>
  <si>
    <t>2022-09-20</t>
  </si>
  <si>
    <t>Ashley Cook</t>
  </si>
  <si>
    <t>fullertina@casey.com</t>
  </si>
  <si>
    <t>347.365.7957</t>
  </si>
  <si>
    <t>779 Ellis Hill, West Betty, MA 20271</t>
  </si>
  <si>
    <t>Risk manager</t>
  </si>
  <si>
    <t>Green, Mckee and Roberson</t>
  </si>
  <si>
    <t>2006-09-22</t>
  </si>
  <si>
    <t>2024-05-09</t>
  </si>
  <si>
    <t>Maria Hernandez</t>
  </si>
  <si>
    <t>ashley21@hotmail.com</t>
  </si>
  <si>
    <t>001-331-103-2584x05834</t>
  </si>
  <si>
    <t>6378 Mays Fort, South Kristopher, OK 70244</t>
  </si>
  <si>
    <t>Insurance broker</t>
  </si>
  <si>
    <t>Thompson and Sons</t>
  </si>
  <si>
    <t>1980-08-28</t>
  </si>
  <si>
    <t>2024-01-03</t>
  </si>
  <si>
    <t>Daniel Sullivan</t>
  </si>
  <si>
    <t>matthewbass@gmail.com</t>
  </si>
  <si>
    <t>568.902.3529</t>
  </si>
  <si>
    <t>40815 Berry Plains Apt. 300, West Kenneth, LA 30152</t>
  </si>
  <si>
    <t>Museum/gallery conservator</t>
  </si>
  <si>
    <t>Brown, Phillips and Lambert</t>
  </si>
  <si>
    <t>1999-10-21</t>
  </si>
  <si>
    <t>2020-10-12</t>
  </si>
  <si>
    <t>Maria Gonzales</t>
  </si>
  <si>
    <t>wandaramsey@gmail.com</t>
  </si>
  <si>
    <t>(376)067-6431x995</t>
  </si>
  <si>
    <t>067 Walker Cliff Suite 401, Michaelborough, MS 59809</t>
  </si>
  <si>
    <t>Ramos, Rasmussen and Pratt</t>
  </si>
  <si>
    <t>2006-03-10</t>
  </si>
  <si>
    <t>2015-08-20</t>
  </si>
  <si>
    <t>Dawn Shepherd</t>
  </si>
  <si>
    <t>katievaughan@smith.net</t>
  </si>
  <si>
    <t>001-725-087-6849x3484</t>
  </si>
  <si>
    <t>1458 Holt Mount, West Angelamouth, OK 43427</t>
  </si>
  <si>
    <t>Solicitor</t>
  </si>
  <si>
    <t>Nelson, Lopez and Gray</t>
  </si>
  <si>
    <t>1962-02-19</t>
  </si>
  <si>
    <t>2019-06-26</t>
  </si>
  <si>
    <t>James Krause</t>
  </si>
  <si>
    <t>moorerenee@rivers.info</t>
  </si>
  <si>
    <t>048.810.7709x296</t>
  </si>
  <si>
    <t>4833 Ferguson Stravenue, Floreschester, OR 71031</t>
  </si>
  <si>
    <t>Private music teacher</t>
  </si>
  <si>
    <t>Brewer-Byrd</t>
  </si>
  <si>
    <t>1960-06-19</t>
  </si>
  <si>
    <t>2024-08-31</t>
  </si>
  <si>
    <t>Lindsey Roach</t>
  </si>
  <si>
    <t>david12@gmail.com</t>
  </si>
  <si>
    <t>800-497-5958x393</t>
  </si>
  <si>
    <t>3209 Cox Camp Suite 217, Davidland, MT 64340</t>
  </si>
  <si>
    <t>Dealer</t>
  </si>
  <si>
    <t>Mccarty-Hartman</t>
  </si>
  <si>
    <t>1965-02-04</t>
  </si>
  <si>
    <t>2018-05-24</t>
  </si>
  <si>
    <t>Robert Jackson</t>
  </si>
  <si>
    <t>areyes@garrett.net</t>
  </si>
  <si>
    <t>001-426-755-4865x29424</t>
  </si>
  <si>
    <t>USCGC Saunders, FPO AP 19432</t>
  </si>
  <si>
    <t>Commercial/residential surveyor</t>
  </si>
  <si>
    <t>Woodward, Tyler and Cervantes</t>
  </si>
  <si>
    <t>1991-06-30</t>
  </si>
  <si>
    <t>2021-07-18</t>
  </si>
  <si>
    <t>Valerie Jennings</t>
  </si>
  <si>
    <t>elliottjeff@yahoo.com</t>
  </si>
  <si>
    <t>077.624.4554x9651</t>
  </si>
  <si>
    <t>59518 Pineda Island, East Julieside, MD 07923</t>
  </si>
  <si>
    <t>Richardson, Yang and Richardson</t>
  </si>
  <si>
    <t>1977-07-05</t>
  </si>
  <si>
    <t>2015-09-06</t>
  </si>
  <si>
    <t>John Huerta</t>
  </si>
  <si>
    <t>rebecca12@gmail.com</t>
  </si>
  <si>
    <t>3067628687</t>
  </si>
  <si>
    <t>457 Julie Motorway Suite 218, Christinafort, NY 19102</t>
  </si>
  <si>
    <t>Scientist, marine</t>
  </si>
  <si>
    <t>1959-09-10</t>
  </si>
  <si>
    <t>2024-06-11</t>
  </si>
  <si>
    <t>Andrea Tyler</t>
  </si>
  <si>
    <t>lwelch@kent.info</t>
  </si>
  <si>
    <t>198-234-6835x1486</t>
  </si>
  <si>
    <t>6947 Gregory Plains, Chapmanton, NM 70017</t>
  </si>
  <si>
    <t>Patent attorney</t>
  </si>
  <si>
    <t>Richards-Welch</t>
  </si>
  <si>
    <t>1966-10-22</t>
  </si>
  <si>
    <t>2021-02-26</t>
  </si>
  <si>
    <t>John Cohen</t>
  </si>
  <si>
    <t>ernest03@yahoo.com</t>
  </si>
  <si>
    <t>+1-171-901-3214x311</t>
  </si>
  <si>
    <t>31202 Collins Extension, North Gloriaberg, ND 69930</t>
  </si>
  <si>
    <t>Quality manager</t>
  </si>
  <si>
    <t>Ramirez, Ritter and Murray</t>
  </si>
  <si>
    <t>1969-10-16</t>
  </si>
  <si>
    <t>2020-01-02</t>
  </si>
  <si>
    <t>John Krueger</t>
  </si>
  <si>
    <t>bensonbriana@gmail.com</t>
  </si>
  <si>
    <t>203-303-7002x061</t>
  </si>
  <si>
    <t>8632 Matthew Stream Suite 870, Sarahport, LA 83636</t>
  </si>
  <si>
    <t>Stage manager</t>
  </si>
  <si>
    <t>Henson, Walls and Peters</t>
  </si>
  <si>
    <t>1960-10-24</t>
  </si>
  <si>
    <t>2017-07-06</t>
  </si>
  <si>
    <t>Karl Williams</t>
  </si>
  <si>
    <t>lisa06@hotmail.com</t>
  </si>
  <si>
    <t>+1-219-276-4827</t>
  </si>
  <si>
    <t>2265 Sandra Key Suite 458, Andersonberg, WI 60386</t>
  </si>
  <si>
    <t>Optometrist</t>
  </si>
  <si>
    <t>Martinez-Roberts</t>
  </si>
  <si>
    <t>1979-05-30</t>
  </si>
  <si>
    <t>2022-12-06</t>
  </si>
  <si>
    <t>Nicholas Howell</t>
  </si>
  <si>
    <t>smckinney@snow-ritter.com</t>
  </si>
  <si>
    <t>(714)742-0692x0903</t>
  </si>
  <si>
    <t>004 Miranda Points Suite 600, Yoderland, IA 69354</t>
  </si>
  <si>
    <t>Walker, Johnson and Warner</t>
  </si>
  <si>
    <t>1984-11-09</t>
  </si>
  <si>
    <t>2018-07-18</t>
  </si>
  <si>
    <t>Taylor Mcbride</t>
  </si>
  <si>
    <t>susangordon@gmail.com</t>
  </si>
  <si>
    <t>096.078.6535x188</t>
  </si>
  <si>
    <t>95233 Miller Forge Apt. 763, Rossborough, IL 13048</t>
  </si>
  <si>
    <t>Fish farm manager</t>
  </si>
  <si>
    <t>Barnett PLC</t>
  </si>
  <si>
    <t>1988-05-17</t>
  </si>
  <si>
    <t>2017-01-29</t>
  </si>
  <si>
    <t>Aaron Hall</t>
  </si>
  <si>
    <t>walkerkyle@gonzalez.org</t>
  </si>
  <si>
    <t>751.559.2722x689</t>
  </si>
  <si>
    <t>423 Sanders Estates, Hufffort, GA 49728</t>
  </si>
  <si>
    <t>Technical sales engineer</t>
  </si>
  <si>
    <t>Lopez-Dorsey</t>
  </si>
  <si>
    <t>1973-03-07</t>
  </si>
  <si>
    <t>2017-04-24</t>
  </si>
  <si>
    <t>Troy Sanchez</t>
  </si>
  <si>
    <t>amycowan@mullins.com</t>
  </si>
  <si>
    <t>(868)023-7935x92847</t>
  </si>
  <si>
    <t>27949 James River Suite 003, Thomasberg, VT 20949</t>
  </si>
  <si>
    <t>Commercial horticulturist</t>
  </si>
  <si>
    <t>Compton Group</t>
  </si>
  <si>
    <t>1972-03-27</t>
  </si>
  <si>
    <t>2024-07-20</t>
  </si>
  <si>
    <t>Gary Padilla</t>
  </si>
  <si>
    <t>djohnson@gmail.com</t>
  </si>
  <si>
    <t>001-283-902-2718x825</t>
  </si>
  <si>
    <t>435 Thomas Spur, Lake Stephanie, AR 98771</t>
  </si>
  <si>
    <t>Designer, interior/spatial</t>
  </si>
  <si>
    <t>Jones, Andrews and White</t>
  </si>
  <si>
    <t>1963-05-13</t>
  </si>
  <si>
    <t>2016-05-09</t>
  </si>
  <si>
    <t>Keith Romero</t>
  </si>
  <si>
    <t>ythornton@yahoo.com</t>
  </si>
  <si>
    <t>001-769-711-1515x5718</t>
  </si>
  <si>
    <t>58347 Bianca Stravenue, Lake Ricardo, ND 70882</t>
  </si>
  <si>
    <t>Fisheries officer</t>
  </si>
  <si>
    <t>Howard-Nguyen</t>
  </si>
  <si>
    <t>1996-05-18</t>
  </si>
  <si>
    <t>2016-01-09</t>
  </si>
  <si>
    <t>Jessica Gonzales</t>
  </si>
  <si>
    <t>susankey@gmail.com</t>
  </si>
  <si>
    <t>(779)928-7566</t>
  </si>
  <si>
    <t>2017 Duke Key, Beckerview, CT 66842</t>
  </si>
  <si>
    <t>Brown and Sons</t>
  </si>
  <si>
    <t>2007-02-26</t>
  </si>
  <si>
    <t>2017-08-06</t>
  </si>
  <si>
    <t>Jennifer Byrd</t>
  </si>
  <si>
    <t>jennifer42@hotmail.com</t>
  </si>
  <si>
    <t>964-614-4049</t>
  </si>
  <si>
    <t>3691 Cook Stravenue, Lake Danielmouth, MI 80890</t>
  </si>
  <si>
    <t>Marketing executive</t>
  </si>
  <si>
    <t>Silva-Powell</t>
  </si>
  <si>
    <t>2004-03-27</t>
  </si>
  <si>
    <t>2021-05-11</t>
  </si>
  <si>
    <t>Danny Garcia</t>
  </si>
  <si>
    <t>mitchelljacob@yahoo.com</t>
  </si>
  <si>
    <t>001-338-342-4685x307</t>
  </si>
  <si>
    <t>24190 Dudley Centers, Christinemouth, RI 56387</t>
  </si>
  <si>
    <t>Illustrator</t>
  </si>
  <si>
    <t>1985-11-16</t>
  </si>
  <si>
    <t>2018-05-17</t>
  </si>
  <si>
    <t>Meredith Vega</t>
  </si>
  <si>
    <t>kathryn09@hotmail.com</t>
  </si>
  <si>
    <t>001-663-475-4654x09689</t>
  </si>
  <si>
    <t>56979 Wesley Park Apt. 741, Port Craig, GA 19731</t>
  </si>
  <si>
    <t>Smith, Jackson and Scott</t>
  </si>
  <si>
    <t>1985-03-16</t>
  </si>
  <si>
    <t>2021-05-05</t>
  </si>
  <si>
    <t>Jason Little</t>
  </si>
  <si>
    <t>zhill@walters.com</t>
  </si>
  <si>
    <t>7764976217</t>
  </si>
  <si>
    <t>269 Hunter Roads, Johnsonburgh, NM 98540</t>
  </si>
  <si>
    <t>Logistics and distribution manager</t>
  </si>
  <si>
    <t>Mckay and Sons</t>
  </si>
  <si>
    <t>1973-10-27</t>
  </si>
  <si>
    <t>2023-06-02</t>
  </si>
  <si>
    <t>Ashley Snyder</t>
  </si>
  <si>
    <t>gregory98@decker.com</t>
  </si>
  <si>
    <t>958-951-4905x18226</t>
  </si>
  <si>
    <t>80845 Michael Springs, North Samanthaborough, GA 74417</t>
  </si>
  <si>
    <t>Telecommunications researcher</t>
  </si>
  <si>
    <t>Joseph, Sharp and Mendez</t>
  </si>
  <si>
    <t>1960-12-17</t>
  </si>
  <si>
    <t>2019-12-22</t>
  </si>
  <si>
    <t>Joshua Jones</t>
  </si>
  <si>
    <t>jeremy25@yahoo.com</t>
  </si>
  <si>
    <t>074.429.9817x358</t>
  </si>
  <si>
    <t>95221 Skinner Crossing Suite 516, Ramosberg, WV 77068</t>
  </si>
  <si>
    <t>Government social research officer</t>
  </si>
  <si>
    <t>Wyatt, Miller and Farrell</t>
  </si>
  <si>
    <t>2005-11-08</t>
  </si>
  <si>
    <t>2019-03-06</t>
  </si>
  <si>
    <t>Karen Ortega</t>
  </si>
  <si>
    <t>fwilliams@gmail.com</t>
  </si>
  <si>
    <t>110-390-7389x353</t>
  </si>
  <si>
    <t>39761 Troy Loop, East Jenniferland, AL 05386</t>
  </si>
  <si>
    <t>Villanueva, Newman and Wade</t>
  </si>
  <si>
    <t>1965-09-17</t>
  </si>
  <si>
    <t>2015-08-22</t>
  </si>
  <si>
    <t>Matthew Fuller</t>
  </si>
  <si>
    <t>mjohnson@yahoo.com</t>
  </si>
  <si>
    <t>+1-938-166-6346</t>
  </si>
  <si>
    <t>54821 Marcus Prairie Apt. 085, East Brad, KS 36470</t>
  </si>
  <si>
    <t>Advice worker</t>
  </si>
  <si>
    <t>Weber and Sons</t>
  </si>
  <si>
    <t>1995-09-30</t>
  </si>
  <si>
    <t>2016-12-29</t>
  </si>
  <si>
    <t>Jamie Clark</t>
  </si>
  <si>
    <t>gsingleton@joyce.com</t>
  </si>
  <si>
    <t>279.587.1991x93032</t>
  </si>
  <si>
    <t>19118 Mccarthy Lodge, West Christopher, CT 55868</t>
  </si>
  <si>
    <t>Landscape architect</t>
  </si>
  <si>
    <t>Chung and Sons</t>
  </si>
  <si>
    <t>1994-06-23</t>
  </si>
  <si>
    <t>2019-12-25</t>
  </si>
  <si>
    <t>Stephanie Blackburn</t>
  </si>
  <si>
    <t>sandy95@davis-andrews.net</t>
  </si>
  <si>
    <t>366.205.3979</t>
  </si>
  <si>
    <t>41286 Bernard Row, Keithmouth, WY 26433</t>
  </si>
  <si>
    <t>Wagner-Schultz</t>
  </si>
  <si>
    <t>2001-09-25</t>
  </si>
  <si>
    <t>2021-12-06</t>
  </si>
  <si>
    <t>Angel Gallegos</t>
  </si>
  <si>
    <t>salvarez@henry-hardin.biz</t>
  </si>
  <si>
    <t>001-022-860-3176x760</t>
  </si>
  <si>
    <t>723 Nelson Via, Stephenberg, AL 66267</t>
  </si>
  <si>
    <t>Psychologist, prison and probation services</t>
  </si>
  <si>
    <t>Young, Blair and Moore</t>
  </si>
  <si>
    <t>1995-07-25</t>
  </si>
  <si>
    <t>2022-05-22</t>
  </si>
  <si>
    <t>Cathy Cline</t>
  </si>
  <si>
    <t>smithjessica@gmail.com</t>
  </si>
  <si>
    <t>264.627.2972</t>
  </si>
  <si>
    <t>3574 Victoria Isle Apt. 751, Jasontown, MI 35170</t>
  </si>
  <si>
    <t>Production engineer</t>
  </si>
  <si>
    <t>Ortega LLC</t>
  </si>
  <si>
    <t>2024-07-14</t>
  </si>
  <si>
    <t>Michelle Bartlett</t>
  </si>
  <si>
    <t>christopher97@gmail.com</t>
  </si>
  <si>
    <t>(233)512-2741x2885</t>
  </si>
  <si>
    <t>4183 Zuniga Ferry Suite 863, Melindachester, CA 27082</t>
  </si>
  <si>
    <t>Educational psychologist</t>
  </si>
  <si>
    <t>Walker-Good</t>
  </si>
  <si>
    <t>1984-02-05</t>
  </si>
  <si>
    <t>2017-10-24</t>
  </si>
  <si>
    <t>Eric Allen</t>
  </si>
  <si>
    <t>aaron30@johnson-walsh.net</t>
  </si>
  <si>
    <t>(215)169-2080x4667</t>
  </si>
  <si>
    <t>5393 Wilson Springs, West Rebeccatown, MO 82014</t>
  </si>
  <si>
    <t>Contractor</t>
  </si>
  <si>
    <t>Reynolds, Mcmahon and Miller</t>
  </si>
  <si>
    <t>1991-02-14</t>
  </si>
  <si>
    <t>2017-01-13</t>
  </si>
  <si>
    <t>Leslie Diaz</t>
  </si>
  <si>
    <t>jenniferbailey@taylor.com</t>
  </si>
  <si>
    <t>266-937-2239x5744</t>
  </si>
  <si>
    <t>5575 Cynthia Brooks, Conniefurt, NE 96528</t>
  </si>
  <si>
    <t>Artist</t>
  </si>
  <si>
    <t>Grant-Young</t>
  </si>
  <si>
    <t>1994-05-10</t>
  </si>
  <si>
    <t>2018-04-09</t>
  </si>
  <si>
    <t>Gregory House</t>
  </si>
  <si>
    <t>garciapatrick@thompson.com</t>
  </si>
  <si>
    <t>001-273-155-7497x8560</t>
  </si>
  <si>
    <t>7343 Wilson Mill, Katieville, NE 21123</t>
  </si>
  <si>
    <t>Garcia, Tapia and Fischer</t>
  </si>
  <si>
    <t>1999-07-03</t>
  </si>
  <si>
    <t>2024-07-09</t>
  </si>
  <si>
    <t>Chase Sanchez</t>
  </si>
  <si>
    <t>leerenee@brady.com</t>
  </si>
  <si>
    <t>(192)975-8431x74624</t>
  </si>
  <si>
    <t>918 Davis Pine Suite 731, South Gary, OK 26754</t>
  </si>
  <si>
    <t>Nurse, children's</t>
  </si>
  <si>
    <t>Clark Inc</t>
  </si>
  <si>
    <t>1991-05-18</t>
  </si>
  <si>
    <t>2024-04-16</t>
  </si>
  <si>
    <t>Kent Hartman</t>
  </si>
  <si>
    <t>seanmolina@hotmail.com</t>
  </si>
  <si>
    <t>692.871.6968x119</t>
  </si>
  <si>
    <t>1425 House Shoals Apt. 550, Lake Frank, DE 30330</t>
  </si>
  <si>
    <t>Byrd and Sons</t>
  </si>
  <si>
    <t>1976-05-09</t>
  </si>
  <si>
    <t>2020-12-17</t>
  </si>
  <si>
    <t>Haley Johnson</t>
  </si>
  <si>
    <t>kwhite@mcmahon-dunlap.com</t>
  </si>
  <si>
    <t>(914)915-9166x58023</t>
  </si>
  <si>
    <t>95755 Middleton Mission Apt. 977, Patriciabury, NH 57219</t>
  </si>
  <si>
    <t>Scientist, audiological</t>
  </si>
  <si>
    <t>Bishop PLC</t>
  </si>
  <si>
    <t>1974-05-16</t>
  </si>
  <si>
    <t>2021-04-15</t>
  </si>
  <si>
    <t>Michelle Edwards</t>
  </si>
  <si>
    <t>michael37@hotmail.com</t>
  </si>
  <si>
    <t>001-929-853-5534x58979</t>
  </si>
  <si>
    <t>93220 Richards Plains, East Michaelberg, ME 38546</t>
  </si>
  <si>
    <t>Clothing/textile technologist</t>
  </si>
  <si>
    <t>Santana-Howard</t>
  </si>
  <si>
    <t>1981-04-28</t>
  </si>
  <si>
    <t>2017-10-18</t>
  </si>
  <si>
    <t>Christine Peterson</t>
  </si>
  <si>
    <t>johnlopez@yahoo.com</t>
  </si>
  <si>
    <t>+1-771-038-2043x2592</t>
  </si>
  <si>
    <t>172 Dyer Harbors, Lake Ashley, SD 29138</t>
  </si>
  <si>
    <t>Rowe, Mason and Vincent</t>
  </si>
  <si>
    <t>1966-11-01</t>
  </si>
  <si>
    <t>2018-01-08</t>
  </si>
  <si>
    <t>Ian Smith</t>
  </si>
  <si>
    <t>vrobinson@gmail.com</t>
  </si>
  <si>
    <t>(249)587-8529x812</t>
  </si>
  <si>
    <t>6976 Nguyen Fords Suite 395, Deleonburgh, MO 83803</t>
  </si>
  <si>
    <t>Engineer, site</t>
  </si>
  <si>
    <t>Gaines-Stone</t>
  </si>
  <si>
    <t>1960-09-04</t>
  </si>
  <si>
    <t>2020-02-23</t>
  </si>
  <si>
    <t>Kiara Smith</t>
  </si>
  <si>
    <t>ksanders@yahoo.com</t>
  </si>
  <si>
    <t>014.911.3464</t>
  </si>
  <si>
    <t>145 Rodriguez Pine, North Gregory, WY 26127</t>
  </si>
  <si>
    <t>Designer, exhibition/display</t>
  </si>
  <si>
    <t>Garcia-Ballard</t>
  </si>
  <si>
    <t>1999-05-29</t>
  </si>
  <si>
    <t>2019-12-28</t>
  </si>
  <si>
    <t>Jeffrey Cunningham</t>
  </si>
  <si>
    <t>ptaylor@hotmail.com</t>
  </si>
  <si>
    <t>001-367-658-2445x665</t>
  </si>
  <si>
    <t>58094 Hunt Bridge, New Lawrence, NC 94469</t>
  </si>
  <si>
    <t>Conservation officer, nature</t>
  </si>
  <si>
    <t>Webb, Brady and Turner</t>
  </si>
  <si>
    <t>2003-07-10</t>
  </si>
  <si>
    <t>2023-01-07</t>
  </si>
  <si>
    <t>Richard Gardner</t>
  </si>
  <si>
    <t>sheilagarcia@turner.net</t>
  </si>
  <si>
    <t>(348)956-6354x5222</t>
  </si>
  <si>
    <t>45543 James Divide, Matthewstad, NH 33284</t>
  </si>
  <si>
    <t>Public house manager</t>
  </si>
  <si>
    <t>Harris and Sons</t>
  </si>
  <si>
    <t>2004-09-21</t>
  </si>
  <si>
    <t>2025-03-03</t>
  </si>
  <si>
    <t>Ann Hernandez</t>
  </si>
  <si>
    <t>madelinebell@abbott.com</t>
  </si>
  <si>
    <t>0725383801</t>
  </si>
  <si>
    <t>132 Shawn Mountain, Reneeland, SD 64037</t>
  </si>
  <si>
    <t>Personal assistant</t>
  </si>
  <si>
    <t>Gould, Sparks and Smith</t>
  </si>
  <si>
    <t>1960-02-21</t>
  </si>
  <si>
    <t>2021-09-01</t>
  </si>
  <si>
    <t>Erin Fowler</t>
  </si>
  <si>
    <t>qbutler@yahoo.com</t>
  </si>
  <si>
    <t>(386)829-9331</t>
  </si>
  <si>
    <t>7049 Gloria Flat, South Thomasberg, FL 52739</t>
  </si>
  <si>
    <t>Williams, Frazier and Bullock</t>
  </si>
  <si>
    <t>1999-11-13</t>
  </si>
  <si>
    <t>2023-04-04</t>
  </si>
  <si>
    <t>Jessica Moore</t>
  </si>
  <si>
    <t>garciaronald@pearson-phillips.com</t>
  </si>
  <si>
    <t>511.800.8403x95788</t>
  </si>
  <si>
    <t>596 Howard Mills, Debraland, MS 28017</t>
  </si>
  <si>
    <t>Printmaker</t>
  </si>
  <si>
    <t>Jackson, Bean and Garner</t>
  </si>
  <si>
    <t>2005-08-28</t>
  </si>
  <si>
    <t>2024-11-27</t>
  </si>
  <si>
    <t>Johnathan Logan</t>
  </si>
  <si>
    <t>amanda25@thompson.com</t>
  </si>
  <si>
    <t>001-702-397-9977x175</t>
  </si>
  <si>
    <t>PSC 3147, Box 8077, APO AE 15581</t>
  </si>
  <si>
    <t>Retail buyer</t>
  </si>
  <si>
    <t>Luna-Edwards</t>
  </si>
  <si>
    <t>1972-10-29</t>
  </si>
  <si>
    <t>2025-07-08</t>
  </si>
  <si>
    <t>Anna Cruz</t>
  </si>
  <si>
    <t>fletcherdiana@mcneil-conrad.biz</t>
  </si>
  <si>
    <t>541.223.7826</t>
  </si>
  <si>
    <t>347 Ryan Ridge, Kylemouth, UT 32010</t>
  </si>
  <si>
    <t>Corporate investment banker</t>
  </si>
  <si>
    <t>Kelley, Reyes and Moran</t>
  </si>
  <si>
    <t>1976-04-07</t>
  </si>
  <si>
    <t>Julie Patel</t>
  </si>
  <si>
    <t>ronalderickson@ward.net</t>
  </si>
  <si>
    <t>(350)887-8026x74126</t>
  </si>
  <si>
    <t>32069 Brown Divide Apt. 606, Johnsonview, SD 69753</t>
  </si>
  <si>
    <t>Equality and diversity officer</t>
  </si>
  <si>
    <t>Morrison and Sons</t>
  </si>
  <si>
    <t>1971-04-28</t>
  </si>
  <si>
    <t>2018-10-30</t>
  </si>
  <si>
    <t>Michael Stephens</t>
  </si>
  <si>
    <t>xmurillo@hotmail.com</t>
  </si>
  <si>
    <t>+1-472-871-6333x53659</t>
  </si>
  <si>
    <t>475 Gary Ports, Davidhaven, MT 10384</t>
  </si>
  <si>
    <t>Animator</t>
  </si>
  <si>
    <t>Henderson-Tate</t>
  </si>
  <si>
    <t>2006-10-11</t>
  </si>
  <si>
    <t>2017-11-28</t>
  </si>
  <si>
    <t>Erin Peterson</t>
  </si>
  <si>
    <t>michelle51@baker-clay.com</t>
  </si>
  <si>
    <t>001-388-366-9132x29662</t>
  </si>
  <si>
    <t>287 Perez Highway, Port Alexanderville, OR 71822</t>
  </si>
  <si>
    <t>Product manager</t>
  </si>
  <si>
    <t>Estrada, Gray and Griffith</t>
  </si>
  <si>
    <t>1968-02-01</t>
  </si>
  <si>
    <t>2020-03-07</t>
  </si>
  <si>
    <t>Vincent Wallace</t>
  </si>
  <si>
    <t>edaniels@sims.com</t>
  </si>
  <si>
    <t>601.492.4790</t>
  </si>
  <si>
    <t>72192 Ayala Valleys Suite 582, New William, ME 67676</t>
  </si>
  <si>
    <t>Chen, Mcbride and Rodriguez</t>
  </si>
  <si>
    <t>1989-07-26</t>
  </si>
  <si>
    <t>2020-07-08</t>
  </si>
  <si>
    <t>Veronica Griffin</t>
  </si>
  <si>
    <t>samuelramirez@horton.com</t>
  </si>
  <si>
    <t>9509636142</t>
  </si>
  <si>
    <t>20106 Diaz Lights, South Christophermouth, CT 74586</t>
  </si>
  <si>
    <t>Web designer</t>
  </si>
  <si>
    <t>Morrison Inc</t>
  </si>
  <si>
    <t>1986-03-05</t>
  </si>
  <si>
    <t>2024-03-31</t>
  </si>
  <si>
    <t>Jasmine Miller</t>
  </si>
  <si>
    <t>coxmichael@jones.com</t>
  </si>
  <si>
    <t>413.948.0672x8088</t>
  </si>
  <si>
    <t>Unit 0098 Box 4024, DPO AP 39222</t>
  </si>
  <si>
    <t>Microbiologist</t>
  </si>
  <si>
    <t>Russell Inc</t>
  </si>
  <si>
    <t>1981-05-23</t>
  </si>
  <si>
    <t>2025-05-05</t>
  </si>
  <si>
    <t>Joan Arnold</t>
  </si>
  <si>
    <t>elizabethjones@decker.com</t>
  </si>
  <si>
    <t>001-264-473-0825x684</t>
  </si>
  <si>
    <t>7115 Michael Squares, West Margaret, TX 09219</t>
  </si>
  <si>
    <t>Police officer</t>
  </si>
  <si>
    <t>1993-08-08</t>
  </si>
  <si>
    <t>2018-03-13</t>
  </si>
  <si>
    <t>Gary Wheeler</t>
  </si>
  <si>
    <t>stephanie10@white.org</t>
  </si>
  <si>
    <t>001-437-411-1190x088</t>
  </si>
  <si>
    <t>4913 Jose Via, Lake Meghan, MN 73385</t>
  </si>
  <si>
    <t>Lecturer, higher education</t>
  </si>
  <si>
    <t>Singleton-Hernandez</t>
  </si>
  <si>
    <t>1987-11-27</t>
  </si>
  <si>
    <t>2024-04-06</t>
  </si>
  <si>
    <t>Linda Johnston</t>
  </si>
  <si>
    <t>browningandrea@gmail.com</t>
  </si>
  <si>
    <t>743.034.7053x093</t>
  </si>
  <si>
    <t>61120 Dawn Isle Apt. 075, Johnsonfurt, TX 56803</t>
  </si>
  <si>
    <t>Automotive engineer</t>
  </si>
  <si>
    <t>Nguyen, Rios and Warren</t>
  </si>
  <si>
    <t>1967-05-23</t>
  </si>
  <si>
    <t>2024-03-23</t>
  </si>
  <si>
    <t>Tyler Chavez</t>
  </si>
  <si>
    <t>jessicavazquez@miller-holmes.org</t>
  </si>
  <si>
    <t>766.243.6389x644</t>
  </si>
  <si>
    <t>7401 Trevino Junction Suite 234, South Maryville, SC 14297</t>
  </si>
  <si>
    <t>Building control surveyor</t>
  </si>
  <si>
    <t>Benitez, Wilson and Hall</t>
  </si>
  <si>
    <t>1962-12-02</t>
  </si>
  <si>
    <t>2019-12-06</t>
  </si>
  <si>
    <t>Victoria Valdez</t>
  </si>
  <si>
    <t>david21@brock.net</t>
  </si>
  <si>
    <t>+1-634-137-0134x425</t>
  </si>
  <si>
    <t>968 Victoria Mountains Apt. 619, North Matthewland, VA 27418</t>
  </si>
  <si>
    <t>Operational researcher</t>
  </si>
  <si>
    <t>Robinson, Lopez and Burns</t>
  </si>
  <si>
    <t>1981-06-30</t>
  </si>
  <si>
    <t>2016-05-10</t>
  </si>
  <si>
    <t>Chris Hardin</t>
  </si>
  <si>
    <t>csmith@hansen-webb.info</t>
  </si>
  <si>
    <t>+1-788-529-2063x5099</t>
  </si>
  <si>
    <t>259 Barron Plaza Suite 495, New Ericmouth, CO 03894</t>
  </si>
  <si>
    <t>Administrator, charities/voluntary organisations</t>
  </si>
  <si>
    <t>Tate Group</t>
  </si>
  <si>
    <t>2007-03-12</t>
  </si>
  <si>
    <t>2024-03-30</t>
  </si>
  <si>
    <t>Chad Jones</t>
  </si>
  <si>
    <t>catherine46@hotmail.com</t>
  </si>
  <si>
    <t>428-848-4111x2295</t>
  </si>
  <si>
    <t>2578 Pamela Lake, Karamouth, NV 50735</t>
  </si>
  <si>
    <t>Human resources officer</t>
  </si>
  <si>
    <t>Curtis, Dixon and Graves</t>
  </si>
  <si>
    <t>1964-09-16</t>
  </si>
  <si>
    <t>2021-02-23</t>
  </si>
  <si>
    <t>Brittany Mann</t>
  </si>
  <si>
    <t>jlee@hughes.net</t>
  </si>
  <si>
    <t>442.986.0141x834</t>
  </si>
  <si>
    <t>07710 Angela Trail, West Jameston, NH 27862</t>
  </si>
  <si>
    <t>Scientist, product/process development</t>
  </si>
  <si>
    <t>Galloway, Gomez and Olson</t>
  </si>
  <si>
    <t>1976-02-15</t>
  </si>
  <si>
    <t>2020-09-18</t>
  </si>
  <si>
    <t>Heather Rivera</t>
  </si>
  <si>
    <t>angelica73@phelps-moore.info</t>
  </si>
  <si>
    <t>(013)029-4416x3354</t>
  </si>
  <si>
    <t>USS Harper, FPO AA 40969</t>
  </si>
  <si>
    <t>Schultz and Sons</t>
  </si>
  <si>
    <t>1983-08-03</t>
  </si>
  <si>
    <t>2018-09-14</t>
  </si>
  <si>
    <t>Erica Armstrong</t>
  </si>
  <si>
    <t>waynemann@gmail.com</t>
  </si>
  <si>
    <t>(809)501-2429</t>
  </si>
  <si>
    <t>44136 Ashley Pike Apt. 531, Phillipsshire, VT 11115</t>
  </si>
  <si>
    <t>Engineer, communications</t>
  </si>
  <si>
    <t>Juarez LLC</t>
  </si>
  <si>
    <t>1992-11-15</t>
  </si>
  <si>
    <t>2016-05-05</t>
  </si>
  <si>
    <t>Julie Smith</t>
  </si>
  <si>
    <t>michaelchavez@todd-barker.com</t>
  </si>
  <si>
    <t>001-375-276-4639x9277</t>
  </si>
  <si>
    <t>5291 Marc Radial, Port Glennburgh, OR 94591</t>
  </si>
  <si>
    <t>Olson PLC</t>
  </si>
  <si>
    <t>2006-09-27</t>
  </si>
  <si>
    <t>2024-06-07</t>
  </si>
  <si>
    <t>Jessica May</t>
  </si>
  <si>
    <t>icook@erickson-johnston.com</t>
  </si>
  <si>
    <t>479.356.2176x2685</t>
  </si>
  <si>
    <t>USCGC Hensley, FPO AA 68509</t>
  </si>
  <si>
    <t>Tax inspector</t>
  </si>
  <si>
    <t>Coleman Inc</t>
  </si>
  <si>
    <t>2020-11-24</t>
  </si>
  <si>
    <t>Isaac Wilkins</t>
  </si>
  <si>
    <t>oadams@gmail.com</t>
  </si>
  <si>
    <t>073.742.6637</t>
  </si>
  <si>
    <t>616 Destiny Highway, East Jamieville, FL 81194</t>
  </si>
  <si>
    <t>Green-Cox</t>
  </si>
  <si>
    <t>1995-09-05</t>
  </si>
  <si>
    <t>2022-02-03</t>
  </si>
  <si>
    <t>Christopher Henderson</t>
  </si>
  <si>
    <t>rebecca63@parker.com</t>
  </si>
  <si>
    <t>023.197.1282x43897</t>
  </si>
  <si>
    <t>2100 Rasmussen Forks Suite 496, North Chelseafurt, WA 07749</t>
  </si>
  <si>
    <t>Engineer, structural</t>
  </si>
  <si>
    <t>Rogers Inc</t>
  </si>
  <si>
    <t>1980-05-18</t>
  </si>
  <si>
    <t>2019-02-23</t>
  </si>
  <si>
    <t>Troy Simmons</t>
  </si>
  <si>
    <t>zwilliams@johnson.net</t>
  </si>
  <si>
    <t>Maryland</t>
  </si>
  <si>
    <t>001-665-177-6992x583</t>
  </si>
  <si>
    <t>910 Beasley Terrace Suite 088, Singhmouth, WY 70552</t>
  </si>
  <si>
    <t>Clark Group</t>
  </si>
  <si>
    <t>1988-01-10</t>
  </si>
  <si>
    <t>2024-09-24</t>
  </si>
  <si>
    <t>Jason Robinson</t>
  </si>
  <si>
    <t>pgarcia@watts.net</t>
  </si>
  <si>
    <t>+1-874-031-7141x871</t>
  </si>
  <si>
    <t>53595 Brooke Port, New Matthewchester, ND 82169</t>
  </si>
  <si>
    <t>Mann, Carpenter and Nichols</t>
  </si>
  <si>
    <t>1979-03-14</t>
  </si>
  <si>
    <t>2016-07-08</t>
  </si>
  <si>
    <t>Joseph Savage</t>
  </si>
  <si>
    <t>staffordmicheal@hotmail.com</t>
  </si>
  <si>
    <t>(367)412-0036</t>
  </si>
  <si>
    <t>1669 Dennis Island Suite 155, Rhondamouth, ND 58069</t>
  </si>
  <si>
    <t>Harris Group</t>
  </si>
  <si>
    <t>1995-06-22</t>
  </si>
  <si>
    <t>2023-11-10</t>
  </si>
  <si>
    <t>Carrie Chavez</t>
  </si>
  <si>
    <t>rodriguezbarbara@hotmail.com</t>
  </si>
  <si>
    <t>148.952.8950x075</t>
  </si>
  <si>
    <t>0322 Austin Lock Suite 019, Vincentburgh, VT 81231</t>
  </si>
  <si>
    <t>Brown Group</t>
  </si>
  <si>
    <t>2004-08-21</t>
  </si>
  <si>
    <t>2024-06-05</t>
  </si>
  <si>
    <t>Christina Mcintosh</t>
  </si>
  <si>
    <t>morgan13@nichols-robinson.com</t>
  </si>
  <si>
    <t>(094)778-0911x5640</t>
  </si>
  <si>
    <t>9234 Brianna Vista Apt. 703, Jessicatown, DC 90143</t>
  </si>
  <si>
    <t>Research officer, political party</t>
  </si>
  <si>
    <t>Keller Group</t>
  </si>
  <si>
    <t>1988-08-14</t>
  </si>
  <si>
    <t>2020-10-09</t>
  </si>
  <si>
    <t>Ian Bryant</t>
  </si>
  <si>
    <t>johnkemp@hotmail.com</t>
  </si>
  <si>
    <t>969.853.2923x365</t>
  </si>
  <si>
    <t>7357 Kimberly Islands Apt. 156, South Lindaborough, ME 86198</t>
  </si>
  <si>
    <t>Ferguson-Tucker</t>
  </si>
  <si>
    <t>1995-03-30</t>
  </si>
  <si>
    <t>2017-01-03</t>
  </si>
  <si>
    <t>Patrick Smith</t>
  </si>
  <si>
    <t>grichard@gmail.com</t>
  </si>
  <si>
    <t>137.220.9398x50946</t>
  </si>
  <si>
    <t>94355 Crane Run Suite 694, Lewischester, CO 29503</t>
  </si>
  <si>
    <t>Sullivan Ltd</t>
  </si>
  <si>
    <t>1980-10-16</t>
  </si>
  <si>
    <t>2015-11-16</t>
  </si>
  <si>
    <t>Renee Lee</t>
  </si>
  <si>
    <t>sandramason@anderson.org</t>
  </si>
  <si>
    <t>524-656-9688x001</t>
  </si>
  <si>
    <t>108 Brown Point Suite 066, Port Melissa, CA 10492</t>
  </si>
  <si>
    <t>Pathologist</t>
  </si>
  <si>
    <t>Scott, Roberts and Stark</t>
  </si>
  <si>
    <t>1961-10-18</t>
  </si>
  <si>
    <t>2022-08-20</t>
  </si>
  <si>
    <t>Bailey Stone</t>
  </si>
  <si>
    <t>adriana53@yahoo.com</t>
  </si>
  <si>
    <t>(832)384-5277x343</t>
  </si>
  <si>
    <t>USNV Daniels, FPO AP 62204</t>
  </si>
  <si>
    <t>Myers, Garcia and Fox</t>
  </si>
  <si>
    <t>1969-04-25</t>
  </si>
  <si>
    <t>2022-07-24</t>
  </si>
  <si>
    <t>James Orr</t>
  </si>
  <si>
    <t>nicholascole@yahoo.com</t>
  </si>
  <si>
    <t>001-451-845-5154x93732</t>
  </si>
  <si>
    <t>PSC 7240, Box 8232, APO AE 41121</t>
  </si>
  <si>
    <t>Therapist, music</t>
  </si>
  <si>
    <t>Blanchard-May</t>
  </si>
  <si>
    <t>1990-04-09</t>
  </si>
  <si>
    <t>2024-12-26</t>
  </si>
  <si>
    <t>Jamie Wells</t>
  </si>
  <si>
    <t>jennifer77@gmail.com</t>
  </si>
  <si>
    <t>(487)411-9020x73507</t>
  </si>
  <si>
    <t>Unit 0180 Box 6314, DPO AE 99656</t>
  </si>
  <si>
    <t>Historic buildings inspector/conservation officer</t>
  </si>
  <si>
    <t>Robinson, Hamilton and Gonzalez</t>
  </si>
  <si>
    <t>1986-04-24</t>
  </si>
  <si>
    <t>2023-02-02</t>
  </si>
  <si>
    <t>Caitlyn Smith Dds</t>
  </si>
  <si>
    <t>nicholas99@yahoo.com</t>
  </si>
  <si>
    <t>001-242-725-2469x10850</t>
  </si>
  <si>
    <t>4930 Daniel Cliff Suite 969, North Patricia, WA 07260</t>
  </si>
  <si>
    <t>Therapeutic radiographer</t>
  </si>
  <si>
    <t>Zimmerman, Jones and Bolton</t>
  </si>
  <si>
    <t>1993-04-30</t>
  </si>
  <si>
    <t>2018-09-04</t>
  </si>
  <si>
    <t>Blake Turner</t>
  </si>
  <si>
    <t>kimberlymolina@gmail.com</t>
  </si>
  <si>
    <t>(815)276-7689</t>
  </si>
  <si>
    <t>223 Michael Coves Apt. 863, New Lauren, MO 45016</t>
  </si>
  <si>
    <t>Horticultural therapist</t>
  </si>
  <si>
    <t>Whitehead-Jones</t>
  </si>
  <si>
    <t>1964-07-08</t>
  </si>
  <si>
    <t>2020-06-10</t>
  </si>
  <si>
    <t>Phyllis Salazar</t>
  </si>
  <si>
    <t>pmendoza@hotmail.com</t>
  </si>
  <si>
    <t>629.754.7883x30291</t>
  </si>
  <si>
    <t>PSC 1225, Box 8401, APO AE 43565</t>
  </si>
  <si>
    <t>Writer</t>
  </si>
  <si>
    <t>Howell-Craig</t>
  </si>
  <si>
    <t>1996-07-30</t>
  </si>
  <si>
    <t>2021-12-07</t>
  </si>
  <si>
    <t>Christopher Patrick</t>
  </si>
  <si>
    <t>whitakerbrian@baker.com</t>
  </si>
  <si>
    <t>755-494-9793x7137</t>
  </si>
  <si>
    <t>10614 Knight Squares, Mcclainchester, MO 45991</t>
  </si>
  <si>
    <t>Designer, graphic</t>
  </si>
  <si>
    <t>Johnson Ltd</t>
  </si>
  <si>
    <t>1977-03-16</t>
  </si>
  <si>
    <t>2021-01-16</t>
  </si>
  <si>
    <t>Sarah Jones</t>
  </si>
  <si>
    <t>fhogan@hotmail.com</t>
  </si>
  <si>
    <t>636-066-9426x28472</t>
  </si>
  <si>
    <t>1344 Thomas Flats Apt. 571, New Nicoletown, NV 64530</t>
  </si>
  <si>
    <t>Nurse, mental health</t>
  </si>
  <si>
    <t>Brown, Smith and Hall</t>
  </si>
  <si>
    <t>1997-03-01</t>
  </si>
  <si>
    <t>2019-12-05</t>
  </si>
  <si>
    <t>Benjamin Rogers</t>
  </si>
  <si>
    <t>ucarney@rodriguez.net</t>
  </si>
  <si>
    <t>584-548-9614x056</t>
  </si>
  <si>
    <t>083 Sara Row Apt. 911, Hicksborough, VA 47424</t>
  </si>
  <si>
    <t>Saunders PLC</t>
  </si>
  <si>
    <t>2003-06-07</t>
  </si>
  <si>
    <t>2021-08-04</t>
  </si>
  <si>
    <t>Alyssa Jones</t>
  </si>
  <si>
    <t>teresa87@bender.com</t>
  </si>
  <si>
    <t>627-214-2060x554</t>
  </si>
  <si>
    <t>01687 Elaine Village Suite 020, Lake Phyllismouth, AR 04344</t>
  </si>
  <si>
    <t>Theme park manager</t>
  </si>
  <si>
    <t>Mccarty, Hall and Gallagher</t>
  </si>
  <si>
    <t>1975-03-23</t>
  </si>
  <si>
    <t>2022-02-17</t>
  </si>
  <si>
    <t>Emma Price</t>
  </si>
  <si>
    <t>hprice@rice.org</t>
  </si>
  <si>
    <t>813.675.3271</t>
  </si>
  <si>
    <t>1438 James Via Apt. 160, Tracyview, MA 28105</t>
  </si>
  <si>
    <t>Valdez-Miller</t>
  </si>
  <si>
    <t>2002-03-14</t>
  </si>
  <si>
    <t>2015-10-23</t>
  </si>
  <si>
    <t>Christina Miles</t>
  </si>
  <si>
    <t>wayne24@andrews.com</t>
  </si>
  <si>
    <t>2662399226</t>
  </si>
  <si>
    <t>12334 Patrick Cove, Port Kevin, VT 51074</t>
  </si>
  <si>
    <t>Contracting civil engineer</t>
  </si>
  <si>
    <t>1990-02-19</t>
  </si>
  <si>
    <t>2025-01-14</t>
  </si>
  <si>
    <t>Regina Alexander</t>
  </si>
  <si>
    <t>omcbride@anderson.com</t>
  </si>
  <si>
    <t>827-144-3074x12959</t>
  </si>
  <si>
    <t>5375 Lisa Views Suite 548, Lake Sarah, AL 79250</t>
  </si>
  <si>
    <t>Armed forces operational officer</t>
  </si>
  <si>
    <t>Winters, Johnson and Kaufman</t>
  </si>
  <si>
    <t>1994-12-31</t>
  </si>
  <si>
    <t>2025-06-12</t>
  </si>
  <si>
    <t>Heather Martinez</t>
  </si>
  <si>
    <t>hhardin@pham-keller.biz</t>
  </si>
  <si>
    <t>(176)947-2194</t>
  </si>
  <si>
    <t>0687 Daniel Locks, New Sheila, NC 26054</t>
  </si>
  <si>
    <t>Harris-Williams</t>
  </si>
  <si>
    <t>1985-03-19</t>
  </si>
  <si>
    <t>2021-10-29</t>
  </si>
  <si>
    <t>Charles Gardner</t>
  </si>
  <si>
    <t>kathyjacobs@hotmail.com</t>
  </si>
  <si>
    <t>566.272.2268</t>
  </si>
  <si>
    <t>96265 Morgan Prairie, Powersbury, MN 52252</t>
  </si>
  <si>
    <t>Riggs, Webster and Mcdonald</t>
  </si>
  <si>
    <t>2003-08-24</t>
  </si>
  <si>
    <t>2021-01-08</t>
  </si>
  <si>
    <t>Sarah Gardner</t>
  </si>
  <si>
    <t>thomasbutler@clark.com</t>
  </si>
  <si>
    <t>+1-912-729-9251x2203</t>
  </si>
  <si>
    <t>0998 Patricia Coves, West Sherihaven, TX 35852</t>
  </si>
  <si>
    <t>Maynard, Bailey and Collier</t>
  </si>
  <si>
    <t>2015-12-11</t>
  </si>
  <si>
    <t>Bradley Browning</t>
  </si>
  <si>
    <t>jcraig@lang-huff.com</t>
  </si>
  <si>
    <t>062.128.8104x9544</t>
  </si>
  <si>
    <t>60462 Mendez Branch, Duartehaven, MT 74607</t>
  </si>
  <si>
    <t>Biochemist, clinical</t>
  </si>
  <si>
    <t>Potts and Sons</t>
  </si>
  <si>
    <t>1979-08-31</t>
  </si>
  <si>
    <t>2023-07-19</t>
  </si>
  <si>
    <t>Patrick Rodriguez</t>
  </si>
  <si>
    <t>ycline@gmail.com</t>
  </si>
  <si>
    <t>170-099-8862x948</t>
  </si>
  <si>
    <t>PSC 3393, Box 9211, APO AE 06213</t>
  </si>
  <si>
    <t>Sexton, Horn and Johnson</t>
  </si>
  <si>
    <t>1961-03-17</t>
  </si>
  <si>
    <t>2018-05-26</t>
  </si>
  <si>
    <t>Samantha Arnold</t>
  </si>
  <si>
    <t>sandra99@gmail.com</t>
  </si>
  <si>
    <t>753-881-1524</t>
  </si>
  <si>
    <t>088 Nicole Fork Apt. 045, Kimchester, NY 27359</t>
  </si>
  <si>
    <t>Economist</t>
  </si>
  <si>
    <t>Smith PLC</t>
  </si>
  <si>
    <t>1962-02-18</t>
  </si>
  <si>
    <t>2020-04-28</t>
  </si>
  <si>
    <t>Jennifer Ingram</t>
  </si>
  <si>
    <t>amandarussell@hotmail.com</t>
  </si>
  <si>
    <t>391.874.9498x7136</t>
  </si>
  <si>
    <t>48020 Miranda Junctions, Lake Timothy, VT 17520</t>
  </si>
  <si>
    <t>Robles and Sons</t>
  </si>
  <si>
    <t>1965-03-04</t>
  </si>
  <si>
    <t>2017-02-21</t>
  </si>
  <si>
    <t>Nancy Hodge</t>
  </si>
  <si>
    <t>kimberlysullivan@gmail.com</t>
  </si>
  <si>
    <t>(892)426-0648x030</t>
  </si>
  <si>
    <t>67930 Dunn Lakes, East Jeffrey, ID 81138</t>
  </si>
  <si>
    <t>Passenger transport manager</t>
  </si>
  <si>
    <t>Hernandez, Brewer and Payne</t>
  </si>
  <si>
    <t>1990-10-14</t>
  </si>
  <si>
    <t>2023-04-11</t>
  </si>
  <si>
    <t>Joshua Mullins</t>
  </si>
  <si>
    <t>phillipbennett@hess-moss.com</t>
  </si>
  <si>
    <t>001-832-500-9746x275</t>
  </si>
  <si>
    <t>849 Cooke Skyway Apt. 923, New Robert, NC 51533</t>
  </si>
  <si>
    <t>Land</t>
  </si>
  <si>
    <t>Clark-Dominguez</t>
  </si>
  <si>
    <t>1992-08-13</t>
  </si>
  <si>
    <t>2020-03-03</t>
  </si>
  <si>
    <t>Nancy Collins</t>
  </si>
  <si>
    <t>hernandezmatthew@knight.com</t>
  </si>
  <si>
    <t>(596)812-7259x01621</t>
  </si>
  <si>
    <t>07156 Amanda Mountains, East Ralph, PA 33645</t>
  </si>
  <si>
    <t>Product/process development scientist</t>
  </si>
  <si>
    <t>Mitchell, Boyd and Blevins</t>
  </si>
  <si>
    <t>2002-07-24</t>
  </si>
  <si>
    <t>2021-09-06</t>
  </si>
  <si>
    <t>Dominique Mejia</t>
  </si>
  <si>
    <t>shelby08@yahoo.com</t>
  </si>
  <si>
    <t>088-436-1712x007</t>
  </si>
  <si>
    <t>7234 Gregory Hill Suite 949, Port Lindsayside, ND 49566</t>
  </si>
  <si>
    <t>Medina-Kim</t>
  </si>
  <si>
    <t>1997-06-16</t>
  </si>
  <si>
    <t>2015-11-13</t>
  </si>
  <si>
    <t>Michelle Avery</t>
  </si>
  <si>
    <t>nathan72@tate.net</t>
  </si>
  <si>
    <t>001-906-766-5941x470</t>
  </si>
  <si>
    <t>0555 Garcia Valleys Apt. 187, Lindaport, VT 31286</t>
  </si>
  <si>
    <t>Theatre stage manager</t>
  </si>
  <si>
    <t>Thompson-Olson</t>
  </si>
  <si>
    <t>1985-04-28</t>
  </si>
  <si>
    <t>2023-10-27</t>
  </si>
  <si>
    <t>Jessica Carter</t>
  </si>
  <si>
    <t>patricialittle@yahoo.com</t>
  </si>
  <si>
    <t>390-088-4557x98254</t>
  </si>
  <si>
    <t>254 Chapman Trail, West Martinhaven, MS 38898</t>
  </si>
  <si>
    <t>Marine scientist</t>
  </si>
  <si>
    <t>Velez, Smith and Ramsey</t>
  </si>
  <si>
    <t>1979-06-25</t>
  </si>
  <si>
    <t>2015-08-15</t>
  </si>
  <si>
    <t>Christopher Schmidt Md</t>
  </si>
  <si>
    <t>nhenry@yahoo.com</t>
  </si>
  <si>
    <t>+1-842-523-1750x6165</t>
  </si>
  <si>
    <t>02108 Yang Drive, East Crystalville, MI 33226</t>
  </si>
  <si>
    <t>Sanchez-Brock</t>
  </si>
  <si>
    <t>1994-01-24</t>
  </si>
  <si>
    <t>2020-01-11</t>
  </si>
  <si>
    <t>Jeremy Phillips</t>
  </si>
  <si>
    <t>russell43@hotmail.com</t>
  </si>
  <si>
    <t>001-707-850-0790x35601</t>
  </si>
  <si>
    <t>6168 Adam Falls, Morrisview, NE 77072</t>
  </si>
  <si>
    <t>Olson-Mejia</t>
  </si>
  <si>
    <t>1996-02-02</t>
  </si>
  <si>
    <t>2019-07-23</t>
  </si>
  <si>
    <t>Julia Kennedy</t>
  </si>
  <si>
    <t>uyoung@lowery.org</t>
  </si>
  <si>
    <t>(777)283-5377x5465</t>
  </si>
  <si>
    <t>87356 Julie Lake, North Jessica, AK 75438</t>
  </si>
  <si>
    <t>Manufacturing systems engineer</t>
  </si>
  <si>
    <t>Lee, Mercado and Fernandez</t>
  </si>
  <si>
    <t>2018-03-07</t>
  </si>
  <si>
    <t>Anna White</t>
  </si>
  <si>
    <t>hillmatthew@mora.biz</t>
  </si>
  <si>
    <t>551-880-7662</t>
  </si>
  <si>
    <t>8952 Johnston Courts Apt. 906, West Sarafurt, TX 68819</t>
  </si>
  <si>
    <t>Naval architect</t>
  </si>
  <si>
    <t>Wolfe, Moore and Neal</t>
  </si>
  <si>
    <t>2019-10-07</t>
  </si>
  <si>
    <t>Paula Hall</t>
  </si>
  <si>
    <t>downsrobert@yahoo.com</t>
  </si>
  <si>
    <t>+1-599-533-0158x50515</t>
  </si>
  <si>
    <t>71243 Terry Ranch Apt. 658, Lake Jennifer, AR 99545</t>
  </si>
  <si>
    <t>Wolf-Mason</t>
  </si>
  <si>
    <t>1970-11-14</t>
  </si>
  <si>
    <t>2019-07-02</t>
  </si>
  <si>
    <t>Amber Cooper</t>
  </si>
  <si>
    <t>jonesscott@bright.com</t>
  </si>
  <si>
    <t>283-289-8523x4913</t>
  </si>
  <si>
    <t>86440 Christie Manor, Port Jennifer, IL 15785</t>
  </si>
  <si>
    <t>Chief Marketing Officer</t>
  </si>
  <si>
    <t>Ford-Farmer</t>
  </si>
  <si>
    <t>1983-09-22</t>
  </si>
  <si>
    <t>2017-03-21</t>
  </si>
  <si>
    <t>Debra Banks</t>
  </si>
  <si>
    <t>garcialinda@gmail.com</t>
  </si>
  <si>
    <t>3928450756</t>
  </si>
  <si>
    <t>60622 Brown Terrace Suite 548, North Amandamouth, IA 26899</t>
  </si>
  <si>
    <t>Williams-Rodriguez</t>
  </si>
  <si>
    <t>1996-04-28</t>
  </si>
  <si>
    <t>2021-03-02</t>
  </si>
  <si>
    <t>Robert Davis</t>
  </si>
  <si>
    <t>nelsonerica@hotmail.com</t>
  </si>
  <si>
    <t>001-332-684-6370x18738</t>
  </si>
  <si>
    <t>55965 Rita Mission Apt. 961, Cranestad, AK 16595</t>
  </si>
  <si>
    <t>Watkins LLC</t>
  </si>
  <si>
    <t>1971-07-24</t>
  </si>
  <si>
    <t>2024-01-15</t>
  </si>
  <si>
    <t>Kristin Shaw</t>
  </si>
  <si>
    <t>jose45@miller.com</t>
  </si>
  <si>
    <t>2286684083</t>
  </si>
  <si>
    <t>056 Reyes Mill, North Michelle, WI 62688</t>
  </si>
  <si>
    <t>Tourist information centre manager</t>
  </si>
  <si>
    <t>Hardin, Fields and Smith</t>
  </si>
  <si>
    <t>1986-11-29</t>
  </si>
  <si>
    <t>2018-12-14</t>
  </si>
  <si>
    <t>Wayne Mills</t>
  </si>
  <si>
    <t>dunnkenneth@yahoo.com</t>
  </si>
  <si>
    <t>+1-038-028-7842x2549</t>
  </si>
  <si>
    <t>52570 Charles Springs, Alexafurt, VT 78757</t>
  </si>
  <si>
    <t>Cox LLC</t>
  </si>
  <si>
    <t>1991-01-30</t>
  </si>
  <si>
    <t>2023-10-31</t>
  </si>
  <si>
    <t>Jason Olsen</t>
  </si>
  <si>
    <t>awatts@gmail.com</t>
  </si>
  <si>
    <t>001-564-536-8334x6583</t>
  </si>
  <si>
    <t>82272 Zachary Roads, Port Tammyfort, IA 94424</t>
  </si>
  <si>
    <t>Heritage manager</t>
  </si>
  <si>
    <t>Clark PLC</t>
  </si>
  <si>
    <t>2003-10-05</t>
  </si>
  <si>
    <t>2025-01-06</t>
  </si>
  <si>
    <t>Donald Hopkins</t>
  </si>
  <si>
    <t>xscott@yahoo.com</t>
  </si>
  <si>
    <t>(795)074-3591x24408</t>
  </si>
  <si>
    <t>444 Alan Mission Apt. 588, Claytonmouth, OK 48954</t>
  </si>
  <si>
    <t>Mendez-Thompson</t>
  </si>
  <si>
    <t>1960-09-29</t>
  </si>
  <si>
    <t>2017-05-21</t>
  </si>
  <si>
    <t>Chloe Wallace</t>
  </si>
  <si>
    <t>randy25@yahoo.com</t>
  </si>
  <si>
    <t>001-307-642-7519x014</t>
  </si>
  <si>
    <t>864 Megan Landing Suite 911, Port Samuel, MI 54770</t>
  </si>
  <si>
    <t>Animal technologist</t>
  </si>
  <si>
    <t>Orr-Reynolds</t>
  </si>
  <si>
    <t>1995-11-26</t>
  </si>
  <si>
    <t>2021-10-11</t>
  </si>
  <si>
    <t>Robert Johnson</t>
  </si>
  <si>
    <t>caseyalvarez@stone.com</t>
  </si>
  <si>
    <t>+1-422-711-8638x248</t>
  </si>
  <si>
    <t>20828 Andrew Views Suite 630, Mcleanchester, IN 19234</t>
  </si>
  <si>
    <t>Carlson Ltd</t>
  </si>
  <si>
    <t>1986-01-16</t>
  </si>
  <si>
    <t>2017-03-18</t>
  </si>
  <si>
    <t>Kathleen Stewart</t>
  </si>
  <si>
    <t>vfitzpatrick@hotmail.com</t>
  </si>
  <si>
    <t>9027350636</t>
  </si>
  <si>
    <t>5992 Howe Manor, Frankfort, MO 62109</t>
  </si>
  <si>
    <t>Recruitment consultant</t>
  </si>
  <si>
    <t>Barnett Inc</t>
  </si>
  <si>
    <t>1978-12-02</t>
  </si>
  <si>
    <t>2015-10-31</t>
  </si>
  <si>
    <t>Lorraine Kelly</t>
  </si>
  <si>
    <t>youngjessica@hotmail.com</t>
  </si>
  <si>
    <t>+1-479-622-4507</t>
  </si>
  <si>
    <t>PSC 1884, Box 9568, APO AE 37414</t>
  </si>
  <si>
    <t>Murray-Romero</t>
  </si>
  <si>
    <t>1969-08-09</t>
  </si>
  <si>
    <t>2016-06-24</t>
  </si>
  <si>
    <t>Gary Hodge</t>
  </si>
  <si>
    <t>sherylblake@davis-roberts.com</t>
  </si>
  <si>
    <t>083.489.1183x05903</t>
  </si>
  <si>
    <t>6108 Courtney Cliff Apt. 670, Brianport, PA 49139</t>
  </si>
  <si>
    <t>Perez-Vaughn</t>
  </si>
  <si>
    <t>1997-11-21</t>
  </si>
  <si>
    <t>2023-07-27</t>
  </si>
  <si>
    <t>Wendy Wright</t>
  </si>
  <si>
    <t>daniellong@ellis.com</t>
  </si>
  <si>
    <t>815-848-2481x961</t>
  </si>
  <si>
    <t>PSC 4614, Box 0753, APO AA 55219</t>
  </si>
  <si>
    <t>Humphrey-Taylor</t>
  </si>
  <si>
    <t>1963-05-26</t>
  </si>
  <si>
    <t>2017-09-25</t>
  </si>
  <si>
    <t>Rhonda Hurley</t>
  </si>
  <si>
    <t>ritterbrianna@hotmail.com</t>
  </si>
  <si>
    <t>821-399-6725x048</t>
  </si>
  <si>
    <t>1780 Adams Freeway Suite 886, Bassborough, OR 17838</t>
  </si>
  <si>
    <t>Armstrong-Diaz</t>
  </si>
  <si>
    <t>1989-03-22</t>
  </si>
  <si>
    <t>2017-03-03</t>
  </si>
  <si>
    <t>Molly Phillips</t>
  </si>
  <si>
    <t>aross@yahoo.com</t>
  </si>
  <si>
    <t>(561)209-0603x67586</t>
  </si>
  <si>
    <t>44166 David Stravenue Apt. 266, Costamouth, AK 53915</t>
  </si>
  <si>
    <t>Politician's assistant</t>
  </si>
  <si>
    <t>Roberts, Underwood and Fuentes</t>
  </si>
  <si>
    <t>1981-05-11</t>
  </si>
  <si>
    <t>2019-01-01</t>
  </si>
  <si>
    <t>Angela Rodriguez</t>
  </si>
  <si>
    <t>amandazhang@beard.com</t>
  </si>
  <si>
    <t>911-108-0430x8123</t>
  </si>
  <si>
    <t>152 Jeffrey View Apt. 404, Williamberg, WI 71585</t>
  </si>
  <si>
    <t>Carlson LLC</t>
  </si>
  <si>
    <t>2007-01-05</t>
  </si>
  <si>
    <t>2025-01-10</t>
  </si>
  <si>
    <t>Zachary Hernandez</t>
  </si>
  <si>
    <t>hmalone@mack.com</t>
  </si>
  <si>
    <t>(004)354-1666x031</t>
  </si>
  <si>
    <t>12881 Jordan Trail, North Michelemouth, HI 06907</t>
  </si>
  <si>
    <t>Farm manager</t>
  </si>
  <si>
    <t>Smith-Duffy</t>
  </si>
  <si>
    <t>1966-10-28</t>
  </si>
  <si>
    <t>2023-06-03</t>
  </si>
  <si>
    <t>Victoria Browning</t>
  </si>
  <si>
    <t>williamstoni@hotmail.com</t>
  </si>
  <si>
    <t>5243580276</t>
  </si>
  <si>
    <t>308 Ann Village, Lisabury, NC 66068</t>
  </si>
  <si>
    <t>Early years teacher</t>
  </si>
  <si>
    <t>Young and Sons</t>
  </si>
  <si>
    <t>1961-08-19</t>
  </si>
  <si>
    <t>2022-01-21</t>
  </si>
  <si>
    <t>Lisa Young</t>
  </si>
  <si>
    <t>caseymaureen@yahoo.com</t>
  </si>
  <si>
    <t>029-128-6515x0113</t>
  </si>
  <si>
    <t>65288 Michele Forges, North Gary, WI 10622</t>
  </si>
  <si>
    <t>Flores LLC</t>
  </si>
  <si>
    <t>1995-03-26</t>
  </si>
  <si>
    <t>Brian Rogers</t>
  </si>
  <si>
    <t>jacobfrederick@garcia.org</t>
  </si>
  <si>
    <t>9160168501</t>
  </si>
  <si>
    <t>314 Gilmore Glens, Fitzgeraldburgh, MN 42420</t>
  </si>
  <si>
    <t>Cain-Taylor</t>
  </si>
  <si>
    <t>1966-12-05</t>
  </si>
  <si>
    <t>2017-08-28</t>
  </si>
  <si>
    <t>Edward Waller</t>
  </si>
  <si>
    <t>amanda45@kennedy.com</t>
  </si>
  <si>
    <t>(094)828-6279x9635</t>
  </si>
  <si>
    <t>81935 Shaw Park Suite 848, Jordanbury, HI 84016</t>
  </si>
  <si>
    <t>Careers adviser</t>
  </si>
  <si>
    <t>Vaughn Inc</t>
  </si>
  <si>
    <t>1964-03-12</t>
  </si>
  <si>
    <t>Jessica Romero</t>
  </si>
  <si>
    <t>norrisgarrett@scott-robertson.com</t>
  </si>
  <si>
    <t>+1-295-010-5829x1634</t>
  </si>
  <si>
    <t>368 Palmer Points Apt. 120, Lake Meredithhaven, GA 73216</t>
  </si>
  <si>
    <t>Hudson PLC</t>
  </si>
  <si>
    <t>1973-05-17</t>
  </si>
  <si>
    <t>2018-02-03</t>
  </si>
  <si>
    <t>Teresa Pierce</t>
  </si>
  <si>
    <t>leedominic@gmail.com</t>
  </si>
  <si>
    <t>490-423-7274</t>
  </si>
  <si>
    <t>891 Corey Valleys, Lake Brentborough, VT 20878</t>
  </si>
  <si>
    <t>Health physicist</t>
  </si>
  <si>
    <t>Harris, Bennett and Smith</t>
  </si>
  <si>
    <t>1974-05-22</t>
  </si>
  <si>
    <t>2021-01-05</t>
  </si>
  <si>
    <t>Sharon James</t>
  </si>
  <si>
    <t>vanessasummers@gmail.com</t>
  </si>
  <si>
    <t>0373764251</t>
  </si>
  <si>
    <t>7353 Michelle Tunnel, Tracymouth, ID 00940</t>
  </si>
  <si>
    <t>Klein, Sims and Young</t>
  </si>
  <si>
    <t>1980-08-02</t>
  </si>
  <si>
    <t>2023-05-03</t>
  </si>
  <si>
    <t>Allen Caldwell Dds</t>
  </si>
  <si>
    <t>dmorris@yahoo.com</t>
  </si>
  <si>
    <t>001-557-159-5474x4752</t>
  </si>
  <si>
    <t>71263 Timothy View Suite 980, Port David, OH 62392</t>
  </si>
  <si>
    <t>Hall-Melendez</t>
  </si>
  <si>
    <t>1986-11-25</t>
  </si>
  <si>
    <t>2016-12-02</t>
  </si>
  <si>
    <t>Brenda Garrett</t>
  </si>
  <si>
    <t>ihodge@gmail.com</t>
  </si>
  <si>
    <t>050-228-3530x68193</t>
  </si>
  <si>
    <t>04150 Bruce Mill, New Matthewville, AL 93331</t>
  </si>
  <si>
    <t>Fitness centre manager</t>
  </si>
  <si>
    <t>Williamson, Anderson and Buck</t>
  </si>
  <si>
    <t>1986-06-01</t>
  </si>
  <si>
    <t>2019-04-14</t>
  </si>
  <si>
    <t>Rachel Cunningham</t>
  </si>
  <si>
    <t>cynthia34@lyons-ponce.info</t>
  </si>
  <si>
    <t>444.820.7581x800</t>
  </si>
  <si>
    <t>5301 Lauren Ferry, South Sethmouth, AL 91392</t>
  </si>
  <si>
    <t>Norman and Sons</t>
  </si>
  <si>
    <t>1969-09-02</t>
  </si>
  <si>
    <t>2025-01-05</t>
  </si>
  <si>
    <t>Laura Garcia</t>
  </si>
  <si>
    <t>david92@yahoo.com</t>
  </si>
  <si>
    <t>161.576.8931x38222</t>
  </si>
  <si>
    <t>09813 Paige Freeway Suite 127, New Racheltown, MD 33343</t>
  </si>
  <si>
    <t>Designer, furniture</t>
  </si>
  <si>
    <t>Stein, Saunders and Castaneda</t>
  </si>
  <si>
    <t>1961-06-18</t>
  </si>
  <si>
    <t>2017-05-29</t>
  </si>
  <si>
    <t>Aaron Murphy</t>
  </si>
  <si>
    <t>pphillips@scott.net</t>
  </si>
  <si>
    <t>+1-586-542-0717x852</t>
  </si>
  <si>
    <t>14663 Heather Turnpike, East Timothy, OK 22410</t>
  </si>
  <si>
    <t>Air broker</t>
  </si>
  <si>
    <t>Alexander-Morris</t>
  </si>
  <si>
    <t>1973-06-15</t>
  </si>
  <si>
    <t>Whitney Lynch Md</t>
  </si>
  <si>
    <t>frojas@gmail.com</t>
  </si>
  <si>
    <t>+1-316-510-1990</t>
  </si>
  <si>
    <t>840 Karen Landing, Lake Annehaven, NE 57604</t>
  </si>
  <si>
    <t>Programmer, systems</t>
  </si>
  <si>
    <t>Chang-Williams</t>
  </si>
  <si>
    <t>2002-12-14</t>
  </si>
  <si>
    <t>2025-07-04</t>
  </si>
  <si>
    <t>Cassandra Padilla</t>
  </si>
  <si>
    <t>coryrodriguez@gmail.com</t>
  </si>
  <si>
    <t>(685)599-8733x34659</t>
  </si>
  <si>
    <t>088 Alison Center, Andersonchester, ND 91813</t>
  </si>
  <si>
    <t>Proofreader</t>
  </si>
  <si>
    <t>Strong-Newton</t>
  </si>
  <si>
    <t>1976-12-29</t>
  </si>
  <si>
    <t>2017-09-12</t>
  </si>
  <si>
    <t>Logan Ramsey</t>
  </si>
  <si>
    <t>stacey30@yahoo.com</t>
  </si>
  <si>
    <t>+1-990-265-6452</t>
  </si>
  <si>
    <t>89102 Whitney Street Suite 257, New Lawrenceton, AR 67139</t>
  </si>
  <si>
    <t>Williams-Best</t>
  </si>
  <si>
    <t>1982-07-25</t>
  </si>
  <si>
    <t>2016-06-29</t>
  </si>
  <si>
    <t>Amanda Kelly</t>
  </si>
  <si>
    <t>robert75@yahoo.com</t>
  </si>
  <si>
    <t>660.543.0612</t>
  </si>
  <si>
    <t>302 Wong Harbor Apt. 639, Lake Kellitown, AZ 45095</t>
  </si>
  <si>
    <t>Database administrator</t>
  </si>
  <si>
    <t>Klein, Owens and Harris</t>
  </si>
  <si>
    <t>1987-01-26</t>
  </si>
  <si>
    <t>2019-10-25</t>
  </si>
  <si>
    <t>Tara Bowman</t>
  </si>
  <si>
    <t>dawsonronald@odom-wilkinson.com</t>
  </si>
  <si>
    <t>+1-186-321-2324</t>
  </si>
  <si>
    <t>012 Taylor Trail Suite 145, North Jessicafort, DE 07109</t>
  </si>
  <si>
    <t>Nurse, adult</t>
  </si>
  <si>
    <t>Hahn-Green</t>
  </si>
  <si>
    <t>1989-11-20</t>
  </si>
  <si>
    <t>2020-05-16</t>
  </si>
  <si>
    <t>danamaxwell@martin-mejia.com</t>
  </si>
  <si>
    <t>001-862-796-7987</t>
  </si>
  <si>
    <t>161 Davis Burg, Rebeccaview, IA 85104</t>
  </si>
  <si>
    <t>Chemical engineer</t>
  </si>
  <si>
    <t>Nixon Group</t>
  </si>
  <si>
    <t>1973-03-22</t>
  </si>
  <si>
    <t>2023-06-22</t>
  </si>
  <si>
    <t>Lisa Weaver</t>
  </si>
  <si>
    <t>amandaharris@butler-david.info</t>
  </si>
  <si>
    <t>(266)025-1778</t>
  </si>
  <si>
    <t>Unit 9006 Box 6118, DPO AP 28740</t>
  </si>
  <si>
    <t>IT consultant</t>
  </si>
  <si>
    <t>Solomon LLC</t>
  </si>
  <si>
    <t>2018-05-15</t>
  </si>
  <si>
    <t>Lauren Johnson</t>
  </si>
  <si>
    <t>coreygriffith@gmail.com</t>
  </si>
  <si>
    <t>001-404-295-5504x793</t>
  </si>
  <si>
    <t>42758 Hoffman Island, Grayshire, FL 66867</t>
  </si>
  <si>
    <t>Call centre manager</t>
  </si>
  <si>
    <t>Arias Group</t>
  </si>
  <si>
    <t>1975-06-28</t>
  </si>
  <si>
    <t>2020-07-31</t>
  </si>
  <si>
    <t>Colin Brown</t>
  </si>
  <si>
    <t>yschaefer@haley.com</t>
  </si>
  <si>
    <t>277.641.3031x513</t>
  </si>
  <si>
    <t>54029 Charles Harbors, Brianland, OR 78772</t>
  </si>
  <si>
    <t>Operational investment banker</t>
  </si>
  <si>
    <t>2007-02-05</t>
  </si>
  <si>
    <t>Amanda Hess</t>
  </si>
  <si>
    <t>kevinlopez@griffith-miller.com</t>
  </si>
  <si>
    <t>(451)666-5222x8868</t>
  </si>
  <si>
    <t>63604 Tasha Park, Gonzalezborough, MT 84273</t>
  </si>
  <si>
    <t>Edwards-Adams</t>
  </si>
  <si>
    <t>2016-02-23</t>
  </si>
  <si>
    <t>Tracy Evans</t>
  </si>
  <si>
    <t>chapmandustin@nichols.com</t>
  </si>
  <si>
    <t>+1-044-880-3339x46388</t>
  </si>
  <si>
    <t>0145 Eric Crescent, Adambury, MT 54834</t>
  </si>
  <si>
    <t>Patent examiner</t>
  </si>
  <si>
    <t>Medina Group</t>
  </si>
  <si>
    <t>2006-03-18</t>
  </si>
  <si>
    <t>2023-08-17</t>
  </si>
  <si>
    <t>Ryan Frazier</t>
  </si>
  <si>
    <t>ablackwell@yahoo.com</t>
  </si>
  <si>
    <t>740.583.9492x09854</t>
  </si>
  <si>
    <t>82521 Patrick Meadow, Port Michelleport, AL 53694</t>
  </si>
  <si>
    <t>Civil engineer, contracting</t>
  </si>
  <si>
    <t>Martin-Larsen</t>
  </si>
  <si>
    <t>1983-08-22</t>
  </si>
  <si>
    <t>2023-10-15</t>
  </si>
  <si>
    <t>Pamela Cherry</t>
  </si>
  <si>
    <t>bjohnson@hotmail.com</t>
  </si>
  <si>
    <t>635.961.4827x619</t>
  </si>
  <si>
    <t>6373 Michael Knolls Apt. 717, Jacobchester, SD 71093</t>
  </si>
  <si>
    <t>Douglas Ltd</t>
  </si>
  <si>
    <t>2020-09-08</t>
  </si>
  <si>
    <t>Alexandra Jones</t>
  </si>
  <si>
    <t>badams@hill.biz</t>
  </si>
  <si>
    <t>(578)949-8812x553</t>
  </si>
  <si>
    <t>0575 Johnson Mission, Port Jenniferbury, IL 77561</t>
  </si>
  <si>
    <t>Secretary, company</t>
  </si>
  <si>
    <t>Allen-Hart</t>
  </si>
  <si>
    <t>2000-09-07</t>
  </si>
  <si>
    <t>2021-04-25</t>
  </si>
  <si>
    <t>Virginia Benson</t>
  </si>
  <si>
    <t>cgonzalez@gmail.com</t>
  </si>
  <si>
    <t>(482)015-8883x4422</t>
  </si>
  <si>
    <t>Unit 1647 Box 0223, DPO AE 08473</t>
  </si>
  <si>
    <t>Hood, Bentley and Mccoy</t>
  </si>
  <si>
    <t>2006-10-14</t>
  </si>
  <si>
    <t>2020-03-11</t>
  </si>
  <si>
    <t>Kevin Elliott</t>
  </si>
  <si>
    <t>geraldgarcia@dunn-montgomery.com</t>
  </si>
  <si>
    <t>992-251-1019x329</t>
  </si>
  <si>
    <t>9224 Smith Oval Suite 563, North Michael, NY 45527</t>
  </si>
  <si>
    <t>Hahn-Andrews</t>
  </si>
  <si>
    <t>1966-12-01</t>
  </si>
  <si>
    <t>2025-06-06</t>
  </si>
  <si>
    <t>Mary Rogers</t>
  </si>
  <si>
    <t>hooverjulia@johnson.info</t>
  </si>
  <si>
    <t>111.199.0905x01752</t>
  </si>
  <si>
    <t>9810 Johnson Corners, Debramouth, DC 84204</t>
  </si>
  <si>
    <t>Hall-Lee</t>
  </si>
  <si>
    <t>1985-08-31</t>
  </si>
  <si>
    <t>2025-06-11</t>
  </si>
  <si>
    <t>Hannah Davis</t>
  </si>
  <si>
    <t>willisbarbara@yahoo.com</t>
  </si>
  <si>
    <t>509-017-9259x4135</t>
  </si>
  <si>
    <t>3020 Jared Land Suite 261, Howardfort, NY 20487</t>
  </si>
  <si>
    <t>Warehouse manager</t>
  </si>
  <si>
    <t>Hardin, Wilson and Juarez</t>
  </si>
  <si>
    <t>1967-08-03</t>
  </si>
  <si>
    <t>2016-11-16</t>
  </si>
  <si>
    <t>Alicia Mitchell</t>
  </si>
  <si>
    <t>patricia39@christian-richardson.com</t>
  </si>
  <si>
    <t>001-348-971-2321x05502</t>
  </si>
  <si>
    <t>60132 Susan Centers Suite 980, Mariahbury, NH 34102</t>
  </si>
  <si>
    <t>Morgan, Mccarthy and Cain</t>
  </si>
  <si>
    <t>2004-03-14</t>
  </si>
  <si>
    <t>2015-09-01</t>
  </si>
  <si>
    <t>Shannon Ochoa</t>
  </si>
  <si>
    <t>hmorgan@hughes-smith.org</t>
  </si>
  <si>
    <t>001-369-058-3914x956</t>
  </si>
  <si>
    <t>92102 Russell Forest, Lake Jessica, IA 60343</t>
  </si>
  <si>
    <t>Museum/gallery curator</t>
  </si>
  <si>
    <t>Turner-Garcia</t>
  </si>
  <si>
    <t>1996-07-31</t>
  </si>
  <si>
    <t>2018-11-18</t>
  </si>
  <si>
    <t>Duane Castro</t>
  </si>
  <si>
    <t>james54@gmail.com</t>
  </si>
  <si>
    <t>001-209-752-5739x623</t>
  </si>
  <si>
    <t>USNV Carlson, FPO AP 40291</t>
  </si>
  <si>
    <t>Thomas, Burgess and Parker</t>
  </si>
  <si>
    <t>1990-05-01</t>
  </si>
  <si>
    <t>2024-10-19</t>
  </si>
  <si>
    <t>Justin Douglas</t>
  </si>
  <si>
    <t>johnsonfrederick@boyd.com</t>
  </si>
  <si>
    <t>+1-117-484-1993x8110</t>
  </si>
  <si>
    <t>343 Michelle Highway, Grossview, WY 75343</t>
  </si>
  <si>
    <t>Coleman-Perez</t>
  </si>
  <si>
    <t>2006-11-26</t>
  </si>
  <si>
    <t>2019-05-14</t>
  </si>
  <si>
    <t>Ryan Hodges</t>
  </si>
  <si>
    <t>jessica62@yahoo.com</t>
  </si>
  <si>
    <t>001-011-404-4172x1124</t>
  </si>
  <si>
    <t>5529 Antonio Fall Suite 789, New Ariel, OR 90066</t>
  </si>
  <si>
    <t>Bradford Group</t>
  </si>
  <si>
    <t>2007-01-21</t>
  </si>
  <si>
    <t>2019-05-27</t>
  </si>
  <si>
    <t>Jasmine Mueller</t>
  </si>
  <si>
    <t>mitchellcandice@gmail.com</t>
  </si>
  <si>
    <t>(496)109-9853</t>
  </si>
  <si>
    <t>304 Richard Wells, East Carla, DC 66733</t>
  </si>
  <si>
    <t>Haematologist</t>
  </si>
  <si>
    <t>Kennedy Ltd</t>
  </si>
  <si>
    <t>1971-02-13</t>
  </si>
  <si>
    <t>2018-05-31</t>
  </si>
  <si>
    <t>Nichole Ortega</t>
  </si>
  <si>
    <t>matthewnelson@ward.com</t>
  </si>
  <si>
    <t>(929)426-6715x048</t>
  </si>
  <si>
    <t>46265 Jennifer Circle Apt. 476, West Johnview, IL 51223</t>
  </si>
  <si>
    <t>Metallurgist</t>
  </si>
  <si>
    <t>Salazar and Sons</t>
  </si>
  <si>
    <t>1984-06-14</t>
  </si>
  <si>
    <t>2019-12-20</t>
  </si>
  <si>
    <t>Frank Cole</t>
  </si>
  <si>
    <t>fjohnson@yahoo.com</t>
  </si>
  <si>
    <t>(332)080-9736</t>
  </si>
  <si>
    <t>55481 Joshua Terrace, Lake Lance, NE 27141</t>
  </si>
  <si>
    <t>Escobar, Hunt and Ramos</t>
  </si>
  <si>
    <t>1995-11-02</t>
  </si>
  <si>
    <t>2018-10-31</t>
  </si>
  <si>
    <t>Barbara Rose</t>
  </si>
  <si>
    <t>valeriewilliams@osborn.com</t>
  </si>
  <si>
    <t>836-924-2795</t>
  </si>
  <si>
    <t>62183 Pitts Gateway Suite 003, Matthewmouth, PA 65186</t>
  </si>
  <si>
    <t>Waters-Roman</t>
  </si>
  <si>
    <t>1959-08-26</t>
  </si>
  <si>
    <t>2022-07-14</t>
  </si>
  <si>
    <t>Nicole Bailey</t>
  </si>
  <si>
    <t>jessicaevans@johnson.org</t>
  </si>
  <si>
    <t>001-478-457-9879x790</t>
  </si>
  <si>
    <t>3787 Allen Island, West Mary, ND 33219</t>
  </si>
  <si>
    <t>Baker-Golden</t>
  </si>
  <si>
    <t>1986-01-07</t>
  </si>
  <si>
    <t>2022-02-13</t>
  </si>
  <si>
    <t>Stacy Mitchell</t>
  </si>
  <si>
    <t>mitchellcassandra@yahoo.com</t>
  </si>
  <si>
    <t>001-083-310-8221x115</t>
  </si>
  <si>
    <t>56678 Terry Station, Port Elizabethside, MN 26387</t>
  </si>
  <si>
    <t>Ballard LLC</t>
  </si>
  <si>
    <t>1980-04-14</t>
  </si>
  <si>
    <t>2022-04-23</t>
  </si>
  <si>
    <t>Timothy Mason</t>
  </si>
  <si>
    <t>bking@mccullough-shah.net</t>
  </si>
  <si>
    <t>322-826-1199</t>
  </si>
  <si>
    <t>5594 Autumn Route Suite 332, Marktown, WA 68150</t>
  </si>
  <si>
    <t>Green Group</t>
  </si>
  <si>
    <t>1985-09-04</t>
  </si>
  <si>
    <t>2016-03-27</t>
  </si>
  <si>
    <t>Thomas Wiggins</t>
  </si>
  <si>
    <t>twilliams@gould.com</t>
  </si>
  <si>
    <t>+1-277-164-2049x854</t>
  </si>
  <si>
    <t>7679 Michele Dale Suite 673, Millermouth, NJ 11465</t>
  </si>
  <si>
    <t>Elliott and Sons</t>
  </si>
  <si>
    <t>1998-04-30</t>
  </si>
  <si>
    <t>Renee Gonzalez</t>
  </si>
  <si>
    <t>jenniferhill@hotmail.com</t>
  </si>
  <si>
    <t>001-653-131-9274x76008</t>
  </si>
  <si>
    <t>9423 Ward Stream Apt. 885, Port Jessicastad, SD 91414</t>
  </si>
  <si>
    <t>Lowe PLC</t>
  </si>
  <si>
    <t>1971-04-04</t>
  </si>
  <si>
    <t>2017-11-15</t>
  </si>
  <si>
    <t>Frank Gomez</t>
  </si>
  <si>
    <t>nlarson@gmail.com</t>
  </si>
  <si>
    <t>9038764398</t>
  </si>
  <si>
    <t>89783 Morris Turnpike, Michaelville, KY 26105</t>
  </si>
  <si>
    <t>Waste management officer</t>
  </si>
  <si>
    <t>Haas, Campbell and Johnson</t>
  </si>
  <si>
    <t>2007-01-07</t>
  </si>
  <si>
    <t>2019-01-30</t>
  </si>
  <si>
    <t>Russell Boyd</t>
  </si>
  <si>
    <t>michelesmith@morgan.com</t>
  </si>
  <si>
    <t>695.710.0819x682</t>
  </si>
  <si>
    <t>984 Hammond Creek, West Jamesview, LA 96299</t>
  </si>
  <si>
    <t>Theatre manager</t>
  </si>
  <si>
    <t>Glover Inc</t>
  </si>
  <si>
    <t>1976-03-18</t>
  </si>
  <si>
    <t>2020-01-15</t>
  </si>
  <si>
    <t>Patrick Cooper</t>
  </si>
  <si>
    <t>whiteandrea@jacobs.com</t>
  </si>
  <si>
    <t>+1-583-488-7797x3695</t>
  </si>
  <si>
    <t>64934 Hanson Street, East Kevinview, MD 70285</t>
  </si>
  <si>
    <t>Production designer, theatre/television/film</t>
  </si>
  <si>
    <t>Johnson, Parks and Holmes</t>
  </si>
  <si>
    <t>1967-11-20</t>
  </si>
  <si>
    <t>2023-12-20</t>
  </si>
  <si>
    <t>Annette Carpenter Dds</t>
  </si>
  <si>
    <t>morrisdonald@gmail.com</t>
  </si>
  <si>
    <t>(672)224-3429</t>
  </si>
  <si>
    <t>45820 Murphy Knolls, Lisachester, ND 90136</t>
  </si>
  <si>
    <t>Chemist, analytical</t>
  </si>
  <si>
    <t>Wright-Allen</t>
  </si>
  <si>
    <t>1964-05-23</t>
  </si>
  <si>
    <t>2016-08-02</t>
  </si>
  <si>
    <t>Theresa Burke</t>
  </si>
  <si>
    <t>tmcmahon@thomas.info</t>
  </si>
  <si>
    <t>(007)970-2208</t>
  </si>
  <si>
    <t>900 Mitchell Heights Suite 423, New Bryanfurt, OH 38164</t>
  </si>
  <si>
    <t>Higher education lecturer</t>
  </si>
  <si>
    <t>Molina-Tanner</t>
  </si>
  <si>
    <t>1985-12-02</t>
  </si>
  <si>
    <t>2023-11-14</t>
  </si>
  <si>
    <t>Michelle Gonzalez</t>
  </si>
  <si>
    <t>cjones@may-delgado.com</t>
  </si>
  <si>
    <t>001-978-158-4940x596</t>
  </si>
  <si>
    <t>9167 Deborah Lakes Suite 640, Lake Leslieburgh, OR 44116</t>
  </si>
  <si>
    <t>Optician, dispensing</t>
  </si>
  <si>
    <t>Blackburn LLC</t>
  </si>
  <si>
    <t>1989-05-30</t>
  </si>
  <si>
    <t>2016-04-21</t>
  </si>
  <si>
    <t>Amy Mclaughlin</t>
  </si>
  <si>
    <t>imyers@hotmail.com</t>
  </si>
  <si>
    <t>431.867.4547</t>
  </si>
  <si>
    <t>8627 Candace Plaza Suite 283, North Staceytown, NV 33406</t>
  </si>
  <si>
    <t>Scientific laboratory technician</t>
  </si>
  <si>
    <t>Hanson PLC</t>
  </si>
  <si>
    <t>1985-01-10</t>
  </si>
  <si>
    <t>2025-05-19</t>
  </si>
  <si>
    <t>Karl Valenzuela</t>
  </si>
  <si>
    <t>uleach@wright.com</t>
  </si>
  <si>
    <t>881-970-7607x7111</t>
  </si>
  <si>
    <t>9695 Charles Village Suite 855, Kathyfort, WA 36050</t>
  </si>
  <si>
    <t>Bridges, Alexander and Smith</t>
  </si>
  <si>
    <t>1977-08-02</t>
  </si>
  <si>
    <t>2018-09-05</t>
  </si>
  <si>
    <t>Craig Bryan</t>
  </si>
  <si>
    <t>hrogers@ferguson.com</t>
  </si>
  <si>
    <t>439.933.2385</t>
  </si>
  <si>
    <t>8666 Samantha Harbor, South Luis, TX 52881</t>
  </si>
  <si>
    <t>Johnson-Morgan</t>
  </si>
  <si>
    <t>1997-09-29</t>
  </si>
  <si>
    <t>2023-02-06</t>
  </si>
  <si>
    <t>Steven Wilson</t>
  </si>
  <si>
    <t>adamphillips@solomon.com</t>
  </si>
  <si>
    <t>(836)179-2513</t>
  </si>
  <si>
    <t>53159 Gibbs Mill, Wrightshire, WA 68485</t>
  </si>
  <si>
    <t>Walker LLC</t>
  </si>
  <si>
    <t>1965-02-24</t>
  </si>
  <si>
    <t>2023-08-11</t>
  </si>
  <si>
    <t>Javier Crawford</t>
  </si>
  <si>
    <t>benjamin86@jefferson.com</t>
  </si>
  <si>
    <t>(605)406-7018</t>
  </si>
  <si>
    <t>853 Amanda Underpass Suite 927, Port Jennifer, TN 06096</t>
  </si>
  <si>
    <t>Research scientist (life sciences)</t>
  </si>
  <si>
    <t>Barker Group</t>
  </si>
  <si>
    <t>1996-05-12</t>
  </si>
  <si>
    <t>2021-12-11</t>
  </si>
  <si>
    <t>Erin Roy</t>
  </si>
  <si>
    <t>taylor70@gmail.com</t>
  </si>
  <si>
    <t>017-868-0083</t>
  </si>
  <si>
    <t>77510 Jennifer Court, New Markbury, MS 23190</t>
  </si>
  <si>
    <t>Miller, Castillo and Ross</t>
  </si>
  <si>
    <t>1978-08-06</t>
  </si>
  <si>
    <t>2020-10-18</t>
  </si>
  <si>
    <t>Charles Allen</t>
  </si>
  <si>
    <t>villegasmelissa@hotmail.com</t>
  </si>
  <si>
    <t>(575)231-9241</t>
  </si>
  <si>
    <t>3961 Autumn Locks, Catherineview, MN 79684</t>
  </si>
  <si>
    <t>Patton-Anderson</t>
  </si>
  <si>
    <t>1968-10-12</t>
  </si>
  <si>
    <t>2020-06-28</t>
  </si>
  <si>
    <t>Melissa Walker</t>
  </si>
  <si>
    <t>patrick82@welch-byrd.com</t>
  </si>
  <si>
    <t>278.427.0968x9476</t>
  </si>
  <si>
    <t>24793 Woodward Forest Suite 078, Tracihaven, AK 18680</t>
  </si>
  <si>
    <t>Museum education officer</t>
  </si>
  <si>
    <t>Hicks, Gregory and Lee</t>
  </si>
  <si>
    <t>1968-01-14</t>
  </si>
  <si>
    <t>2015-10-16</t>
  </si>
  <si>
    <t>Michael Simmons</t>
  </si>
  <si>
    <t>hollandcynthia@yahoo.com</t>
  </si>
  <si>
    <t>340-047-7695x85633</t>
  </si>
  <si>
    <t>1919 Justin Point Apt. 346, Sharonton, MN 52549</t>
  </si>
  <si>
    <t>Carroll-Martin</t>
  </si>
  <si>
    <t>1960-04-01</t>
  </si>
  <si>
    <t>2018-02-24</t>
  </si>
  <si>
    <t>Candace Underwood</t>
  </si>
  <si>
    <t>jamesodom@yahoo.com</t>
  </si>
  <si>
    <t>934-591-0460x793</t>
  </si>
  <si>
    <t>4757 Melissa Stravenue Apt. 995, North Priscilla, GA 08685</t>
  </si>
  <si>
    <t>Psychotherapist</t>
  </si>
  <si>
    <t>Maynard-Hernandez</t>
  </si>
  <si>
    <t>2025-06-19</t>
  </si>
  <si>
    <t>Ruben Mcguire</t>
  </si>
  <si>
    <t>brownhannah@cruz.biz</t>
  </si>
  <si>
    <t>(739)580-2658x5513</t>
  </si>
  <si>
    <t>462 Andrew Road, East Jeffreyport, AZ 60321</t>
  </si>
  <si>
    <t>Horticulturist, commercial</t>
  </si>
  <si>
    <t>Beard, Hunt and Nunez</t>
  </si>
  <si>
    <t>1967-03-17</t>
  </si>
  <si>
    <t>2020-09-20</t>
  </si>
  <si>
    <t>Antonio Morgan</t>
  </si>
  <si>
    <t>andrewrose@quinn-gallegos.com</t>
  </si>
  <si>
    <t>001-099-961-0039x52659</t>
  </si>
  <si>
    <t>845 Latasha Road, Mirandaburgh, NH 99266</t>
  </si>
  <si>
    <t>Furniture conservator/restorer</t>
  </si>
  <si>
    <t>Pittman-Green</t>
  </si>
  <si>
    <t>2023-09-23</t>
  </si>
  <si>
    <t>Sandra Johnson</t>
  </si>
  <si>
    <t>michelesmith@reyes-bird.com</t>
  </si>
  <si>
    <t>+1-924-411-2581</t>
  </si>
  <si>
    <t>3256 Michelle Ridges Apt. 963, Shannonside, DC 44717</t>
  </si>
  <si>
    <t>Engineer, electrical</t>
  </si>
  <si>
    <t>Jones-Russell</t>
  </si>
  <si>
    <t>2004-11-17</t>
  </si>
  <si>
    <t>2021-05-18</t>
  </si>
  <si>
    <t>Cody Frank</t>
  </si>
  <si>
    <t>kelli09@jones.org</t>
  </si>
  <si>
    <t>827-069-7822x06991</t>
  </si>
  <si>
    <t>8011 Brett Plains Suite 430, Lake Vincentshire, NV 22148</t>
  </si>
  <si>
    <t>Dougherty Ltd</t>
  </si>
  <si>
    <t>1987-08-30</t>
  </si>
  <si>
    <t>2023-11-09</t>
  </si>
  <si>
    <t>Samantha Martinez</t>
  </si>
  <si>
    <t>stevenmaynard@yahoo.com</t>
  </si>
  <si>
    <t>001-072-483-4630x79091</t>
  </si>
  <si>
    <t>821 Mendoza Fields Suite 595, Jamiefort, KS 96772</t>
  </si>
  <si>
    <t>Ergonomist</t>
  </si>
  <si>
    <t>Lopez, Dunn and Johnson</t>
  </si>
  <si>
    <t>1973-04-09</t>
  </si>
  <si>
    <t>2023-08-02</t>
  </si>
  <si>
    <t>Teresa Brooks</t>
  </si>
  <si>
    <t>jonathanadams@gill-pierce.com</t>
  </si>
  <si>
    <t>(602)720-3640x14507</t>
  </si>
  <si>
    <t>255 Mary Brooks, North Joelfurt, DC 17041</t>
  </si>
  <si>
    <t>Therapist, sports</t>
  </si>
  <si>
    <t>Anderson-Lambert</t>
  </si>
  <si>
    <t>1961-04-28</t>
  </si>
  <si>
    <t>2016-06-04</t>
  </si>
  <si>
    <t>Brandon Lopez</t>
  </si>
  <si>
    <t>brooksmaxwell@gmail.com</t>
  </si>
  <si>
    <t>468-172-7859x36106</t>
  </si>
  <si>
    <t>461 Elizabeth Point, Thomaston, FL 43670</t>
  </si>
  <si>
    <t>Rivera Group</t>
  </si>
  <si>
    <t>1973-09-06</t>
  </si>
  <si>
    <t>Kyle Watkins</t>
  </si>
  <si>
    <t>jeremy44@hotmail.com</t>
  </si>
  <si>
    <t>001-827-754-9172x716</t>
  </si>
  <si>
    <t>528 Rocha Island Apt. 378, Brookeside, IN 77402</t>
  </si>
  <si>
    <t>Teacher, special educational needs</t>
  </si>
  <si>
    <t>Bryant-Hunt</t>
  </si>
  <si>
    <t>1974-06-18</t>
  </si>
  <si>
    <t>2020-03-27</t>
  </si>
  <si>
    <t>Mark Drake</t>
  </si>
  <si>
    <t>gutierrezdanielle@yahoo.com</t>
  </si>
  <si>
    <t>472-526-7556x29261</t>
  </si>
  <si>
    <t>72655 Hannah Courts, West April, ND 20908</t>
  </si>
  <si>
    <t>Leon LLC</t>
  </si>
  <si>
    <t>1972-11-23</t>
  </si>
  <si>
    <t>2018-05-18</t>
  </si>
  <si>
    <t>Nicholas Young</t>
  </si>
  <si>
    <t>brian57@stokes.com</t>
  </si>
  <si>
    <t>+1-694-501-8984x7416</t>
  </si>
  <si>
    <t>245 Nguyen Prairie Apt. 813, North Erik, VA 54676</t>
  </si>
  <si>
    <t>Town planner</t>
  </si>
  <si>
    <t>Johnson-Carney</t>
  </si>
  <si>
    <t>1982-05-25</t>
  </si>
  <si>
    <t>2024-05-02</t>
  </si>
  <si>
    <t>Colin Wallace</t>
  </si>
  <si>
    <t>raymondbarber@gmail.com</t>
  </si>
  <si>
    <t>+1-528-348-0590x77587</t>
  </si>
  <si>
    <t>USS Maldonado, FPO AA 42566</t>
  </si>
  <si>
    <t>Licensed conveyancer</t>
  </si>
  <si>
    <t>Lyons PLC</t>
  </si>
  <si>
    <t>1986-09-20</t>
  </si>
  <si>
    <t>2022-09-10</t>
  </si>
  <si>
    <t>Kelly Hinton</t>
  </si>
  <si>
    <t>georgekellie@harris.com</t>
  </si>
  <si>
    <t>(657)033-7862</t>
  </si>
  <si>
    <t>19888 Michael Village Suite 621, Brownland, NJ 09277</t>
  </si>
  <si>
    <t>Housing manager/officer</t>
  </si>
  <si>
    <t>Ford, Rodriguez and Frederick</t>
  </si>
  <si>
    <t>1984-01-08</t>
  </si>
  <si>
    <t>Hunter Rodriguez</t>
  </si>
  <si>
    <t>daniellecantu@ho.com</t>
  </si>
  <si>
    <t>7776416974</t>
  </si>
  <si>
    <t>00035 Catherine Tunnel Suite 775, Davidfort, IA 90281</t>
  </si>
  <si>
    <t>Sullivan, Espinoza and Barton</t>
  </si>
  <si>
    <t>1961-03-10</t>
  </si>
  <si>
    <t>2018-09-03</t>
  </si>
  <si>
    <t>Danielle Crane</t>
  </si>
  <si>
    <t>marshsally@hotmail.com</t>
  </si>
  <si>
    <t>170-667-8759x9558</t>
  </si>
  <si>
    <t>232 Olsen Highway Apt. 112, North Katherinefort, RI 13165</t>
  </si>
  <si>
    <t>Bishop and Sons</t>
  </si>
  <si>
    <t>1993-10-21</t>
  </si>
  <si>
    <t>2015-09-30</t>
  </si>
  <si>
    <t>Sara Jones</t>
  </si>
  <si>
    <t>andersonlarry@tyler.com</t>
  </si>
  <si>
    <t>001-755-546-8363x978</t>
  </si>
  <si>
    <t>2446 Fox Landing, Jonesmouth, DC 19287</t>
  </si>
  <si>
    <t>Roberts Inc</t>
  </si>
  <si>
    <t>1966-03-05</t>
  </si>
  <si>
    <t>2017-05-23</t>
  </si>
  <si>
    <t>William Kennedy</t>
  </si>
  <si>
    <t>victor83@gmail.com</t>
  </si>
  <si>
    <t>001-360-507-3438x545</t>
  </si>
  <si>
    <t>925 Shannon Tunnel, Lake Donnabury, VT 92330</t>
  </si>
  <si>
    <t>Accommodation manager</t>
  </si>
  <si>
    <t>Pearson, Perez and Dunn</t>
  </si>
  <si>
    <t>1963-10-27</t>
  </si>
  <si>
    <t>2024-05-21</t>
  </si>
  <si>
    <t>Jason Patterson</t>
  </si>
  <si>
    <t>heather79@yahoo.com</t>
  </si>
  <si>
    <t>975-860-9606x41378</t>
  </si>
  <si>
    <t>0708 Frank Island, Lake Beverly, SC 53251</t>
  </si>
  <si>
    <t>Structural engineer</t>
  </si>
  <si>
    <t>Williams-Boyer</t>
  </si>
  <si>
    <t>1971-03-20</t>
  </si>
  <si>
    <t>Christina James</t>
  </si>
  <si>
    <t>javila@hart-rodriguez.com</t>
  </si>
  <si>
    <t>8644232156</t>
  </si>
  <si>
    <t>24939 Gibson Land Suite 281, South Jenniferberg, LA 34461</t>
  </si>
  <si>
    <t>Psychiatrist</t>
  </si>
  <si>
    <t>Allison, Gray and Reeves</t>
  </si>
  <si>
    <t>1962-02-15</t>
  </si>
  <si>
    <t>2022-10-22</t>
  </si>
  <si>
    <t>Mary Fisher</t>
  </si>
  <si>
    <t>eugene00@gmail.com</t>
  </si>
  <si>
    <t>001-885-033-3810x2561</t>
  </si>
  <si>
    <t>390 Hernandez Pine Suite 486, Cooperstad, LA 16879</t>
  </si>
  <si>
    <t>Aeronautical engineer</t>
  </si>
  <si>
    <t>Taylor Group</t>
  </si>
  <si>
    <t>1997-01-23</t>
  </si>
  <si>
    <t>2019-01-31</t>
  </si>
  <si>
    <t>Matthew Turner</t>
  </si>
  <si>
    <t>smitchell@hotmail.com</t>
  </si>
  <si>
    <t>871-366-1554x45446</t>
  </si>
  <si>
    <t>83791 Williams Camp Suite 205, Moralesberg, DC 34259</t>
  </si>
  <si>
    <t>Journalist, magazine</t>
  </si>
  <si>
    <t>Morrow Inc</t>
  </si>
  <si>
    <t>1997-03-10</t>
  </si>
  <si>
    <t>2020-07-10</t>
  </si>
  <si>
    <t>Donald Simpson Md</t>
  </si>
  <si>
    <t>matthew21@hotmail.com</t>
  </si>
  <si>
    <t>(969)408-6567</t>
  </si>
  <si>
    <t>3600 Shannon Avenue, Watkinsshire, NV 87428</t>
  </si>
  <si>
    <t>Dramatherapist</t>
  </si>
  <si>
    <t>Hernandez Ltd</t>
  </si>
  <si>
    <t>1975-04-13</t>
  </si>
  <si>
    <t>2024-05-05</t>
  </si>
  <si>
    <t>Teresa Owens</t>
  </si>
  <si>
    <t>dillonsuzanne@yahoo.com</t>
  </si>
  <si>
    <t>529.334.6009x93252</t>
  </si>
  <si>
    <t>684 James Fort, Port Andrewmouth, NE 45903</t>
  </si>
  <si>
    <t>Trading standards officer</t>
  </si>
  <si>
    <t>Le-Scott</t>
  </si>
  <si>
    <t>1986-01-28</t>
  </si>
  <si>
    <t>2020-03-08</t>
  </si>
  <si>
    <t>Christopher Moody</t>
  </si>
  <si>
    <t>tanya15@yahoo.com</t>
  </si>
  <si>
    <t>5371351055</t>
  </si>
  <si>
    <t>149 Mary Point, Port Carrie, AZ 45397</t>
  </si>
  <si>
    <t>Furniture designer</t>
  </si>
  <si>
    <t>Hogan, Lane and Mitchell</t>
  </si>
  <si>
    <t>2003-12-12</t>
  </si>
  <si>
    <t>2025-04-21</t>
  </si>
  <si>
    <t>Miranda Turner</t>
  </si>
  <si>
    <t>jasmine60@simon.org</t>
  </si>
  <si>
    <t>001-546-888-5100</t>
  </si>
  <si>
    <t>074 Goodman Village, Coxstad, AK 39292</t>
  </si>
  <si>
    <t>Hernandez-Ross</t>
  </si>
  <si>
    <t>1973-06-25</t>
  </si>
  <si>
    <t>2022-09-19</t>
  </si>
  <si>
    <t>Michael Johnson</t>
  </si>
  <si>
    <t>scastro@yahoo.com</t>
  </si>
  <si>
    <t>(262)499-0857x35389</t>
  </si>
  <si>
    <t>356 Wayne Coves Suite 374, Hernandezville, ID 77835</t>
  </si>
  <si>
    <t>Geologist, engineering</t>
  </si>
  <si>
    <t>Fernandez LLC</t>
  </si>
  <si>
    <t>1986-10-28</t>
  </si>
  <si>
    <t>2017-01-24</t>
  </si>
  <si>
    <t>Jessica Floyd</t>
  </si>
  <si>
    <t>wjohnson@yahoo.com</t>
  </si>
  <si>
    <t>411-258-5877x27973</t>
  </si>
  <si>
    <t>703 Frye Field, Timothyview, MI 05798</t>
  </si>
  <si>
    <t>Phillips-Martinez</t>
  </si>
  <si>
    <t>1993-09-13</t>
  </si>
  <si>
    <t>2016-12-18</t>
  </si>
  <si>
    <t>Calvin Boyd Md</t>
  </si>
  <si>
    <t>michael95@hotmail.com</t>
  </si>
  <si>
    <t>001-276-560-7375x883</t>
  </si>
  <si>
    <t>0737 Gabriel Oval Suite 404, New Spencer, CT 71545</t>
  </si>
  <si>
    <t>Runner, broadcasting/film/video</t>
  </si>
  <si>
    <t>Wilson Inc</t>
  </si>
  <si>
    <t>2004-10-03</t>
  </si>
  <si>
    <t>2025-05-06</t>
  </si>
  <si>
    <t>Timothy Phillips</t>
  </si>
  <si>
    <t>james32@gmail.com</t>
  </si>
  <si>
    <t>968-388-9736x4659</t>
  </si>
  <si>
    <t>4102 Fowler Lights Suite 953, Stokesville, OH 35754</t>
  </si>
  <si>
    <t>Adams Inc</t>
  </si>
  <si>
    <t>1983-10-09</t>
  </si>
  <si>
    <t>Scott Mason</t>
  </si>
  <si>
    <t>fmcdonald@gmail.com</t>
  </si>
  <si>
    <t>(446)145-7828x970</t>
  </si>
  <si>
    <t>0761 Yvette Fork, Smithburgh, NE 16754</t>
  </si>
  <si>
    <t>Ortiz, Sanders and Powell</t>
  </si>
  <si>
    <t>1973-01-05</t>
  </si>
  <si>
    <t>2018-12-30</t>
  </si>
  <si>
    <t>Charlotte Young</t>
  </si>
  <si>
    <t>erik95@harris-golden.biz</t>
  </si>
  <si>
    <t>001-369-943-1362</t>
  </si>
  <si>
    <t>4133 Ruiz Courts Suite 638, North Shawnshire, AL 35702</t>
  </si>
  <si>
    <t>Rodriguez, Perkins and Morales</t>
  </si>
  <si>
    <t>1964-05-13</t>
  </si>
  <si>
    <t>2018-06-21</t>
  </si>
  <si>
    <t>Tommy Bray</t>
  </si>
  <si>
    <t>waltervillarreal@hotmail.com</t>
  </si>
  <si>
    <t>+1-191-077-8712x431</t>
  </si>
  <si>
    <t>264 Pope Summit Suite 314, Chelseamouth, PA 65859</t>
  </si>
  <si>
    <t>Franco, Hernandez and Davis</t>
  </si>
  <si>
    <t>1974-08-16</t>
  </si>
  <si>
    <t>2023-06-24</t>
  </si>
  <si>
    <t>Rose Brown</t>
  </si>
  <si>
    <t>toddsosa@lopez.org</t>
  </si>
  <si>
    <t>+1-467-779-9781</t>
  </si>
  <si>
    <t>499 Jennifer Mission, South Tammy, NM 23545</t>
  </si>
  <si>
    <t>Hammond-Bautista</t>
  </si>
  <si>
    <t>1995-05-22</t>
  </si>
  <si>
    <t>2017-01-06</t>
  </si>
  <si>
    <t>Elizabeth Sullivan</t>
  </si>
  <si>
    <t>colemanjennifer@yahoo.com</t>
  </si>
  <si>
    <t>(601)111-4210x24407</t>
  </si>
  <si>
    <t>31043 Castro Center Apt. 498, Spencerborough, TX 90328</t>
  </si>
  <si>
    <t>Psychologist, educational</t>
  </si>
  <si>
    <t>Hobbs PLC</t>
  </si>
  <si>
    <t>1995-10-30</t>
  </si>
  <si>
    <t>2021-03-24</t>
  </si>
  <si>
    <t>Evan West</t>
  </si>
  <si>
    <t>cmosley@miller.biz</t>
  </si>
  <si>
    <t>7829793312</t>
  </si>
  <si>
    <t>9548 Pope Brooks Apt. 508, North Walter, WI 97811</t>
  </si>
  <si>
    <t>Event organiser</t>
  </si>
  <si>
    <t>Downs, Gonzalez and Hunt</t>
  </si>
  <si>
    <t>1976-01-14</t>
  </si>
  <si>
    <t>2025-05-31</t>
  </si>
  <si>
    <t>Carlos Peterson</t>
  </si>
  <si>
    <t>michael37@thomas-watson.net</t>
  </si>
  <si>
    <t>001-907-676-1606x93951</t>
  </si>
  <si>
    <t>3309 Tamara Neck, West Charles, PA 73148</t>
  </si>
  <si>
    <t>Engineering geologist</t>
  </si>
  <si>
    <t>Bentley LLC</t>
  </si>
  <si>
    <t>2003-04-10</t>
  </si>
  <si>
    <t>2020-04-10</t>
  </si>
  <si>
    <t>Steven Davis</t>
  </si>
  <si>
    <t>kgarza@gmail.com</t>
  </si>
  <si>
    <t>001-464-667-3532x844</t>
  </si>
  <si>
    <t>815 Christopher Forges, Brendafurt, OK 69468</t>
  </si>
  <si>
    <t>Garcia, Morales and Small</t>
  </si>
  <si>
    <t>2004-07-30</t>
  </si>
  <si>
    <t>2023-03-18</t>
  </si>
  <si>
    <t>Michael Zuniga</t>
  </si>
  <si>
    <t>longwilliam@martin.com</t>
  </si>
  <si>
    <t>(956)611-0283</t>
  </si>
  <si>
    <t>363 Johnson Station, East Natasha, MD 59028</t>
  </si>
  <si>
    <t>Schwartz-King</t>
  </si>
  <si>
    <t>1988-12-15</t>
  </si>
  <si>
    <t>2024-02-19</t>
  </si>
  <si>
    <t>Daniel Moss</t>
  </si>
  <si>
    <t>heatherlopez@powell.biz</t>
  </si>
  <si>
    <t>+1-995-110-9295x16742</t>
  </si>
  <si>
    <t>9541 April Wells, Deborahville, NH 96048</t>
  </si>
  <si>
    <t>Rhodes Ltd</t>
  </si>
  <si>
    <t>1984-07-09</t>
  </si>
  <si>
    <t>2017-02-09</t>
  </si>
  <si>
    <t>Natasha Lawson</t>
  </si>
  <si>
    <t>lopezkaren@sherman.com</t>
  </si>
  <si>
    <t>0375372839</t>
  </si>
  <si>
    <t>27820 Levy River, Parkershire, CT 12324</t>
  </si>
  <si>
    <t>Andrews, Carter and Baker</t>
  </si>
  <si>
    <t>2001-05-30</t>
  </si>
  <si>
    <t>2015-11-23</t>
  </si>
  <si>
    <t>Karen Clark</t>
  </si>
  <si>
    <t>brendarobertson@hotmail.com</t>
  </si>
  <si>
    <t>949-278-4960</t>
  </si>
  <si>
    <t>18062 Derrick Dale Suite 623, Kellyshire, SC 47608</t>
  </si>
  <si>
    <t>Meteorologist</t>
  </si>
  <si>
    <t>Mason Ltd</t>
  </si>
  <si>
    <t>1968-02-03</t>
  </si>
  <si>
    <t>2018-06-19</t>
  </si>
  <si>
    <t>Kenneth Valdez</t>
  </si>
  <si>
    <t>laurenwatts@yahoo.com</t>
  </si>
  <si>
    <t>210-704-1826</t>
  </si>
  <si>
    <t>5849 Smith Isle Suite 960, South Alexanderchester, WA 59390</t>
  </si>
  <si>
    <t>Davis, Rivera and Jones</t>
  </si>
  <si>
    <t>2004-06-15</t>
  </si>
  <si>
    <t>2021-01-06</t>
  </si>
  <si>
    <t>Kimberly Mayer</t>
  </si>
  <si>
    <t>nhunter@yahoo.com</t>
  </si>
  <si>
    <t>001-670-002-9231x49225</t>
  </si>
  <si>
    <t>6758 Ashley Station, Garciachester, CT 54149</t>
  </si>
  <si>
    <t>Thompson-White</t>
  </si>
  <si>
    <t>1998-09-03</t>
  </si>
  <si>
    <t>2017-02-11</t>
  </si>
  <si>
    <t>Jeffery Murray</t>
  </si>
  <si>
    <t>jsullivan@gmail.com</t>
  </si>
  <si>
    <t>001-878-328-1930x21599</t>
  </si>
  <si>
    <t>8772 Richard Trail, Williamsville, KS 67913</t>
  </si>
  <si>
    <t>Greene Ltd</t>
  </si>
  <si>
    <t>1962-01-22</t>
  </si>
  <si>
    <t>2021-04-17</t>
  </si>
  <si>
    <t>Cheryl Houston</t>
  </si>
  <si>
    <t>vpark@yahoo.com</t>
  </si>
  <si>
    <t>558-533-8478x993</t>
  </si>
  <si>
    <t>52267 Robertson Brooks Apt. 012, Robertview, AR 65056</t>
  </si>
  <si>
    <t>Cartographer</t>
  </si>
  <si>
    <t>Burns, Wong and Perez</t>
  </si>
  <si>
    <t>1972-09-09</t>
  </si>
  <si>
    <t>2022-09-14</t>
  </si>
  <si>
    <t>Cynthia Hill</t>
  </si>
  <si>
    <t>stacychambers@hotmail.com</t>
  </si>
  <si>
    <t>001-336-272-1572x3450</t>
  </si>
  <si>
    <t>859 Mays Mountain, Jeffreyside, VT 14518</t>
  </si>
  <si>
    <t>Exhibition designer</t>
  </si>
  <si>
    <t>Marquez, Green and Robbins</t>
  </si>
  <si>
    <t>1982-02-19</t>
  </si>
  <si>
    <t>Maria Collins</t>
  </si>
  <si>
    <t>rhonda20@larson-rodriguez.net</t>
  </si>
  <si>
    <t>489.860.5519</t>
  </si>
  <si>
    <t>271 Danielle Roads Apt. 508, East Jonathantown, WY 09693</t>
  </si>
  <si>
    <t>Hayden, Tran and Hoover</t>
  </si>
  <si>
    <t>1995-10-05</t>
  </si>
  <si>
    <t>2022-10-17</t>
  </si>
  <si>
    <t>Yesenia Jones</t>
  </si>
  <si>
    <t>john37@farley.net</t>
  </si>
  <si>
    <t>001-422-848-7897x415</t>
  </si>
  <si>
    <t>9182 Lara Ports Suite 233, Williamburgh, KS 29274</t>
  </si>
  <si>
    <t>Jones, Brown and Murray</t>
  </si>
  <si>
    <t>1989-04-02</t>
  </si>
  <si>
    <t>2022-06-08</t>
  </si>
  <si>
    <t>Marvin Thompson</t>
  </si>
  <si>
    <t>andreagonzalez@baker.biz</t>
  </si>
  <si>
    <t>+1-300-266-8706x455</t>
  </si>
  <si>
    <t>82112 Brandy Forge Suite 868, Simston, MO 82886</t>
  </si>
  <si>
    <t>Warden/ranger</t>
  </si>
  <si>
    <t>Stone-Hernandez</t>
  </si>
  <si>
    <t>1993-10-14</t>
  </si>
  <si>
    <t>2018-03-26</t>
  </si>
  <si>
    <t>Brandon Parsons</t>
  </si>
  <si>
    <t>glasskyle@smith-crawford.com</t>
  </si>
  <si>
    <t>694-187-6641x8267</t>
  </si>
  <si>
    <t>7767 Gregory Dam Apt. 475, Lake Andrew, NM 90002</t>
  </si>
  <si>
    <t>Anderson-Miller</t>
  </si>
  <si>
    <t>1996-10-31</t>
  </si>
  <si>
    <t>2023-01-09</t>
  </si>
  <si>
    <t>Amy Arellano</t>
  </si>
  <si>
    <t>bradfordchristopher@lee.biz</t>
  </si>
  <si>
    <t>(591)780-2074x87001</t>
  </si>
  <si>
    <t>00395 Young Squares, South Kennethmouth, AZ 46582</t>
  </si>
  <si>
    <t>Teaching laboratory technician</t>
  </si>
  <si>
    <t>Decker-Holland</t>
  </si>
  <si>
    <t>1975-06-14</t>
  </si>
  <si>
    <t>2022-06-25</t>
  </si>
  <si>
    <t>Mrs. Brianna Lee Dvm</t>
  </si>
  <si>
    <t>mayojoshua@hotmail.com</t>
  </si>
  <si>
    <t>(083)959-2134</t>
  </si>
  <si>
    <t>954 Ramsey Pike, Gregmouth, AK 86671</t>
  </si>
  <si>
    <t>Simpson, Nelson and Allen</t>
  </si>
  <si>
    <t>1963-09-11</t>
  </si>
  <si>
    <t>2022-11-07</t>
  </si>
  <si>
    <t>Kelly Perez</t>
  </si>
  <si>
    <t>ambersandoval@hotmail.com</t>
  </si>
  <si>
    <t>360.453.8349</t>
  </si>
  <si>
    <t>92959 Jason Shoal, Alishire, WA 85990</t>
  </si>
  <si>
    <t>Smith, Lawrence and Lucas</t>
  </si>
  <si>
    <t>1996-01-03</t>
  </si>
  <si>
    <t>Rachel Mclaughlin</t>
  </si>
  <si>
    <t>curtischarles@fuentes.com</t>
  </si>
  <si>
    <t>(437)822-1471x4656</t>
  </si>
  <si>
    <t>984 Michael Ways Suite 298, Johnview, FL 10917</t>
  </si>
  <si>
    <t>Hospital pharmacist</t>
  </si>
  <si>
    <t>Bradley LLC</t>
  </si>
  <si>
    <t>1975-10-19</t>
  </si>
  <si>
    <t>2017-03-27</t>
  </si>
  <si>
    <t>Erin Guzman</t>
  </si>
  <si>
    <t>katherine92@gmail.com</t>
  </si>
  <si>
    <t>467.868.3278x11584</t>
  </si>
  <si>
    <t>Unit 8064 Box 4700, DPO AE 80206</t>
  </si>
  <si>
    <t>Architectural technologist</t>
  </si>
  <si>
    <t>Marsh, Payne and Gilbert</t>
  </si>
  <si>
    <t>1985-03-29</t>
  </si>
  <si>
    <t>2018-08-05</t>
  </si>
  <si>
    <t>Lindsey Murray</t>
  </si>
  <si>
    <t>xthompson@rivas.info</t>
  </si>
  <si>
    <t>+1-086-562-8758x210</t>
  </si>
  <si>
    <t>482 Erickson Station Suite 804, Tiffanyfurt, KY 22160</t>
  </si>
  <si>
    <t>Consulting civil engineer</t>
  </si>
  <si>
    <t>Blake-Smith</t>
  </si>
  <si>
    <t>1976-02-10</t>
  </si>
  <si>
    <t>2020-02-19</t>
  </si>
  <si>
    <t>Mark Benson</t>
  </si>
  <si>
    <t>barbaramckinney@hotmail.com</t>
  </si>
  <si>
    <t>+1-884-030-7270x784</t>
  </si>
  <si>
    <t>8145 Thomas Lake, Lake Harold, NJ 49506</t>
  </si>
  <si>
    <t>Crawford, Schmidt and Gonzalez</t>
  </si>
  <si>
    <t>1987-06-17</t>
  </si>
  <si>
    <t>2019-06-10</t>
  </si>
  <si>
    <t>Dr. Jennifer Munoz</t>
  </si>
  <si>
    <t>michael84@hotmail.com</t>
  </si>
  <si>
    <t>+1-926-329-3439x1757</t>
  </si>
  <si>
    <t>Unit 6804 Box 1054, DPO AE 94554</t>
  </si>
  <si>
    <t>Museum/gallery exhibitions officer</t>
  </si>
  <si>
    <t>Andersen, Jordan and Klein</t>
  </si>
  <si>
    <t>2004-07-29</t>
  </si>
  <si>
    <t>2024-06-23</t>
  </si>
  <si>
    <t>Zachary Wilson</t>
  </si>
  <si>
    <t>lsullivan@yahoo.com</t>
  </si>
  <si>
    <t>042-638-5433x895</t>
  </si>
  <si>
    <t>8902 King Valley, Kingmouth, IL 10055</t>
  </si>
  <si>
    <t>1975-11-24</t>
  </si>
  <si>
    <t>2025-03-17</t>
  </si>
  <si>
    <t>Paul Dominguez</t>
  </si>
  <si>
    <t>lindsey23@yahoo.com</t>
  </si>
  <si>
    <t>+1-825-664-9646</t>
  </si>
  <si>
    <t>368 Lawrence Field, Olivermouth, AZ 72662</t>
  </si>
  <si>
    <t>Page-Duncan</t>
  </si>
  <si>
    <t>2003-03-03</t>
  </si>
  <si>
    <t>2025-06-23</t>
  </si>
  <si>
    <t>Jeffery Black</t>
  </si>
  <si>
    <t>davidestrada@walker.com</t>
  </si>
  <si>
    <t>322-007-2726</t>
  </si>
  <si>
    <t>203 Jennifer Causeway Apt. 481, Davisshire, WV 12648</t>
  </si>
  <si>
    <t>Immunologist</t>
  </si>
  <si>
    <t>Phillips Inc</t>
  </si>
  <si>
    <t>1994-06-28</t>
  </si>
  <si>
    <t>2020-01-03</t>
  </si>
  <si>
    <t>James Lynch</t>
  </si>
  <si>
    <t>amy42@martin.net</t>
  </si>
  <si>
    <t>(421)656-5641x72994</t>
  </si>
  <si>
    <t>48097 Williams Estate, Port Bradleyland, PA 68796</t>
  </si>
  <si>
    <t>Occupational psychologist</t>
  </si>
  <si>
    <t>Bell, Moore and Myers</t>
  </si>
  <si>
    <t>1984-03-18</t>
  </si>
  <si>
    <t>2018-11-20</t>
  </si>
  <si>
    <t>Linda Anderson</t>
  </si>
  <si>
    <t>jennyhunt@gmail.com</t>
  </si>
  <si>
    <t>(594)527-4301x8702</t>
  </si>
  <si>
    <t>725 Walsh Greens, Hansonstad, MN 30677</t>
  </si>
  <si>
    <t>Johnson-Booker</t>
  </si>
  <si>
    <t>2005-06-15</t>
  </si>
  <si>
    <t>2020-12-12</t>
  </si>
  <si>
    <t>Emily Fisher</t>
  </si>
  <si>
    <t>thomas44@griffin.com</t>
  </si>
  <si>
    <t>449.487.4290</t>
  </si>
  <si>
    <t>Unit 0695 Box 0112, DPO AA 28750</t>
  </si>
  <si>
    <t>Surveyor, minerals</t>
  </si>
  <si>
    <t>Gomez-Cooper</t>
  </si>
  <si>
    <t>2004-06-11</t>
  </si>
  <si>
    <t>2020-12-02</t>
  </si>
  <si>
    <t>Jason Brown</t>
  </si>
  <si>
    <t>sherry16@gray.com</t>
  </si>
  <si>
    <t>(340)694-0989</t>
  </si>
  <si>
    <t>Unit 5042 Box 5535, DPO AE 77442</t>
  </si>
  <si>
    <t>Cabin crew</t>
  </si>
  <si>
    <t>Scott PLC</t>
  </si>
  <si>
    <t>1996-07-18</t>
  </si>
  <si>
    <t>2021-05-08</t>
  </si>
  <si>
    <t>Susan Rodriguez</t>
  </si>
  <si>
    <t>oguzman@yahoo.com</t>
  </si>
  <si>
    <t>(574)761-1722x897</t>
  </si>
  <si>
    <t>817 Adams Views Suite 226, Port Jessestad, WV 54368</t>
  </si>
  <si>
    <t>Pace-Brown</t>
  </si>
  <si>
    <t>1972-01-21</t>
  </si>
  <si>
    <t>2017-02-20</t>
  </si>
  <si>
    <t>Matthew Leon</t>
  </si>
  <si>
    <t>edwardstony@hood.com</t>
  </si>
  <si>
    <t>+1-989-701-5569x3359</t>
  </si>
  <si>
    <t>76963 Dawn Ville Suite 458, Knoxbury, SD 63918</t>
  </si>
  <si>
    <t>1972-12-17</t>
  </si>
  <si>
    <t>2020-09-01</t>
  </si>
  <si>
    <t>Emily Choi</t>
  </si>
  <si>
    <t>oscott@king-park.com</t>
  </si>
  <si>
    <t>025.307.8493</t>
  </si>
  <si>
    <t>58235 Stevenson Square Apt. 963, South Gail, CO 06449</t>
  </si>
  <si>
    <t>Public affairs consultant</t>
  </si>
  <si>
    <t>Lin-Coleman</t>
  </si>
  <si>
    <t>1974-08-20</t>
  </si>
  <si>
    <t>2019-10-30</t>
  </si>
  <si>
    <t>Vanessa Collins</t>
  </si>
  <si>
    <t>nicole13@norton.com</t>
  </si>
  <si>
    <t>092-726-8090</t>
  </si>
  <si>
    <t>2572 Erin Fall, Lake Patrickport, KY 88793</t>
  </si>
  <si>
    <t>Social researcher</t>
  </si>
  <si>
    <t>Jones-Hernandez</t>
  </si>
  <si>
    <t>1981-03-06</t>
  </si>
  <si>
    <t>2024-12-21</t>
  </si>
  <si>
    <t>James Huerta</t>
  </si>
  <si>
    <t>ilawrence@hotmail.com</t>
  </si>
  <si>
    <t>001-762-373-0288x611</t>
  </si>
  <si>
    <t>Unit 3230 Box 1766, DPO AE 72453</t>
  </si>
  <si>
    <t>Lee-Fletcher</t>
  </si>
  <si>
    <t>1962-03-29</t>
  </si>
  <si>
    <t>2022-08-22</t>
  </si>
  <si>
    <t>Gloria Jackson</t>
  </si>
  <si>
    <t>krandall@gmail.com</t>
  </si>
  <si>
    <t>001-502-354-7854x425</t>
  </si>
  <si>
    <t>187 John Pike, Jennifermouth, HI 50643</t>
  </si>
  <si>
    <t>Wellsite geologist</t>
  </si>
  <si>
    <t>Owens-Gonzalez</t>
  </si>
  <si>
    <t>1981-06-21</t>
  </si>
  <si>
    <t>2023-11-04</t>
  </si>
  <si>
    <t>Monica Green</t>
  </si>
  <si>
    <t>ifrancis@yahoo.com</t>
  </si>
  <si>
    <t>(618)047-8232</t>
  </si>
  <si>
    <t>0917 Hernandez Rest, Sullivanfort, WI 23874</t>
  </si>
  <si>
    <t>Chief Technology Officer</t>
  </si>
  <si>
    <t>Ingram, Herman and Chen</t>
  </si>
  <si>
    <t>1975-01-07</t>
  </si>
  <si>
    <t>2020-05-03</t>
  </si>
  <si>
    <t>Steven Calhoun</t>
  </si>
  <si>
    <t>julie50@edwards-poole.com</t>
  </si>
  <si>
    <t>+1-204-163-9894x5252</t>
  </si>
  <si>
    <t>6592 Ronald Roads Apt. 954, East Robertside, KY 03722</t>
  </si>
  <si>
    <t>Martin, Dixon and Duarte</t>
  </si>
  <si>
    <t>1990-03-16</t>
  </si>
  <si>
    <t>2017-02-10</t>
  </si>
  <si>
    <t>Taylor Garrett</t>
  </si>
  <si>
    <t>tammyholt@gmail.com</t>
  </si>
  <si>
    <t>(929)384-2849</t>
  </si>
  <si>
    <t>70238 Jeffery Mountain, Caldwellburgh, FL 93501</t>
  </si>
  <si>
    <t>Barnett-Roth</t>
  </si>
  <si>
    <t>2000-09-26</t>
  </si>
  <si>
    <t>2024-05-16</t>
  </si>
  <si>
    <t>Justin Anderson</t>
  </si>
  <si>
    <t>ilang@hotmail.com</t>
  </si>
  <si>
    <t>+1-523-746-8049x96258</t>
  </si>
  <si>
    <t>85099 Alan Views Suite 989, Davidborough, ND 27155</t>
  </si>
  <si>
    <t>Futures trader</t>
  </si>
  <si>
    <t>Harrison-Jones</t>
  </si>
  <si>
    <t>1964-08-23</t>
  </si>
  <si>
    <t>Danielle Robinson</t>
  </si>
  <si>
    <t>williamsvanessa@hotmail.com</t>
  </si>
  <si>
    <t>+1-358-082-2097</t>
  </si>
  <si>
    <t>3708 Blankenship Station Apt. 636, Lake Christopher, MT 22185</t>
  </si>
  <si>
    <t>Wilson, Shepherd and Johnson</t>
  </si>
  <si>
    <t>1963-05-16</t>
  </si>
  <si>
    <t>2017-06-07</t>
  </si>
  <si>
    <t>Gerald Turner</t>
  </si>
  <si>
    <t>gabriel22@yahoo.com</t>
  </si>
  <si>
    <t>652.629.0723x620</t>
  </si>
  <si>
    <t>USNS Rojas, FPO AE 65902</t>
  </si>
  <si>
    <t>Water engineer</t>
  </si>
  <si>
    <t>House Inc</t>
  </si>
  <si>
    <t>1975-02-10</t>
  </si>
  <si>
    <t>2019-01-08</t>
  </si>
  <si>
    <t>Jennifer Booth</t>
  </si>
  <si>
    <t>matthewsmallory@smith-jennings.info</t>
  </si>
  <si>
    <t>+1-793-144-4189x029</t>
  </si>
  <si>
    <t>07479 Campos Row, Samanthatown, IL 11229</t>
  </si>
  <si>
    <t>Scientist, water quality</t>
  </si>
  <si>
    <t>Baker-Johnson</t>
  </si>
  <si>
    <t>1966-01-01</t>
  </si>
  <si>
    <t>2022-10-13</t>
  </si>
  <si>
    <t>Paige Lane</t>
  </si>
  <si>
    <t>johnsonspencer@yahoo.com</t>
  </si>
  <si>
    <t>001-540-892-2665x1598</t>
  </si>
  <si>
    <t>567 Elizabeth Divide Apt. 650, South Christineburgh, OR 31466</t>
  </si>
  <si>
    <t>1961-03-26</t>
  </si>
  <si>
    <t>2019-07-18</t>
  </si>
  <si>
    <t>William Hunter</t>
  </si>
  <si>
    <t>natashaodonnell@gmail.com</t>
  </si>
  <si>
    <t>001-546-529-7998x02921</t>
  </si>
  <si>
    <t>6672 Austin Forest Apt. 682, Angelaborough, CO 78879</t>
  </si>
  <si>
    <t>Anderson Ltd</t>
  </si>
  <si>
    <t>1987-10-04</t>
  </si>
  <si>
    <t>2025-02-12</t>
  </si>
  <si>
    <t>Kimberly Werner</t>
  </si>
  <si>
    <t>christopher65@garcia.info</t>
  </si>
  <si>
    <t>3345245563</t>
  </si>
  <si>
    <t>27399 Jonathan Highway, Lake Lori, WV 79290</t>
  </si>
  <si>
    <t>Engineer, biomedical</t>
  </si>
  <si>
    <t>White-Lopez</t>
  </si>
  <si>
    <t>1962-07-26</t>
  </si>
  <si>
    <t>2017-10-08</t>
  </si>
  <si>
    <t>Kenneth Bryant</t>
  </si>
  <si>
    <t>daniel57@jackson.biz</t>
  </si>
  <si>
    <t>093-872-2391x99001</t>
  </si>
  <si>
    <t>PSC 9466, Box 5832, APO AE 40725</t>
  </si>
  <si>
    <t>Intelligence analyst</t>
  </si>
  <si>
    <t>Anderson, Patel and Davis</t>
  </si>
  <si>
    <t>1966-08-24</t>
  </si>
  <si>
    <t>2017-03-23</t>
  </si>
  <si>
    <t>Ashley Riley</t>
  </si>
  <si>
    <t>rodriguezbradley@gmail.com</t>
  </si>
  <si>
    <t>+1-557-826-6372x2730</t>
  </si>
  <si>
    <t>6387 Kelly Brooks, Port Bradleyland, MD 88601</t>
  </si>
  <si>
    <t>Animal nutritionist</t>
  </si>
  <si>
    <t>Rhodes, Webster and Morgan</t>
  </si>
  <si>
    <t>1997-12-20</t>
  </si>
  <si>
    <t>2021-12-09</t>
  </si>
  <si>
    <t>Diana Scott</t>
  </si>
  <si>
    <t>tarawalker@yahoo.com</t>
  </si>
  <si>
    <t>+1-779-553-8403x110</t>
  </si>
  <si>
    <t>857 Victor Burg, North Jessicaborough, MT 51721</t>
  </si>
  <si>
    <t>Hamilton PLC</t>
  </si>
  <si>
    <t>2000-01-03</t>
  </si>
  <si>
    <t>2016-05-16</t>
  </si>
  <si>
    <t>Christina Robinson</t>
  </si>
  <si>
    <t>warrensean@johnson.com</t>
  </si>
  <si>
    <t>719-658-1456</t>
  </si>
  <si>
    <t>760 Hanson Run, Nathanielview, MO 13143</t>
  </si>
  <si>
    <t>Dodson Ltd</t>
  </si>
  <si>
    <t>1973-02-15</t>
  </si>
  <si>
    <t>2019-08-09</t>
  </si>
  <si>
    <t>Jordan Sutton</t>
  </si>
  <si>
    <t>andrew85@gmail.com</t>
  </si>
  <si>
    <t>109.821.4731x6278</t>
  </si>
  <si>
    <t>5087 Audrey Stravenue, Bradyborough, PA 32181</t>
  </si>
  <si>
    <t>Office manager</t>
  </si>
  <si>
    <t>Joseph, Randolph and Best</t>
  </si>
  <si>
    <t>Emily Garrett</t>
  </si>
  <si>
    <t>nramirez@turner-weaver.com</t>
  </si>
  <si>
    <t>(554)064-3129x7478</t>
  </si>
  <si>
    <t>61572 Bailey Plain Suite 804, Tamarafort, NH 84569</t>
  </si>
  <si>
    <t>Stewart-Zavala</t>
  </si>
  <si>
    <t>2005-07-11</t>
  </si>
  <si>
    <t>2025-04-15</t>
  </si>
  <si>
    <t>Amy King</t>
  </si>
  <si>
    <t>grahammichael@winters.com</t>
  </si>
  <si>
    <t>+1-776-635-0441x876</t>
  </si>
  <si>
    <t>92607 Richard Spur Apt. 745, South Jose, MN 34516</t>
  </si>
  <si>
    <t>1999-10-10</t>
  </si>
  <si>
    <t>Jennifer Lewis</t>
  </si>
  <si>
    <t>nancy60@fields.info</t>
  </si>
  <si>
    <t>502.330.3206x27118</t>
  </si>
  <si>
    <t>349 Rhodes Route Suite 879, Rodrigueztown, TX 96997</t>
  </si>
  <si>
    <t>Moore Inc</t>
  </si>
  <si>
    <t>1994-02-06</t>
  </si>
  <si>
    <t>Katherine Arias</t>
  </si>
  <si>
    <t>rebekah31@johnson.org</t>
  </si>
  <si>
    <t>+1-794-316-6130x92748</t>
  </si>
  <si>
    <t>73372 Angel Forges Apt. 513, East Frederickfurt, KS 54668</t>
  </si>
  <si>
    <t>Melton-Miller</t>
  </si>
  <si>
    <t>1970-01-12</t>
  </si>
  <si>
    <t>2019-03-10</t>
  </si>
  <si>
    <t>Christine Stone</t>
  </si>
  <si>
    <t>steven30@davis.com</t>
  </si>
  <si>
    <t>(991)236-6813</t>
  </si>
  <si>
    <t>736 Figueroa Motorway, Samuelberg, VA 13888</t>
  </si>
  <si>
    <t>Broadcast presenter</t>
  </si>
  <si>
    <t>Lopez Group</t>
  </si>
  <si>
    <t>1980-06-29</t>
  </si>
  <si>
    <t>2023-07-01</t>
  </si>
  <si>
    <t>Allison Castillo</t>
  </si>
  <si>
    <t>gallegosjames@cruz-edwards.info</t>
  </si>
  <si>
    <t>+1-170-870-6814</t>
  </si>
  <si>
    <t>USCGC Fox, FPO AA 82561</t>
  </si>
  <si>
    <t>Sanders, Gillespie and Hill</t>
  </si>
  <si>
    <t>1998-10-13</t>
  </si>
  <si>
    <t>Michael Arroyo</t>
  </si>
  <si>
    <t>melindabolton@carpenter-ruiz.com</t>
  </si>
  <si>
    <t>001-476-186-9007x13230</t>
  </si>
  <si>
    <t>954 Keith Crossroad, Stewartmouth, OR 39298</t>
  </si>
  <si>
    <t>Jenkins PLC</t>
  </si>
  <si>
    <t>1983-07-23</t>
  </si>
  <si>
    <t>2021-05-27</t>
  </si>
  <si>
    <t>Tiffany Cox</t>
  </si>
  <si>
    <t>colemanlauren@hotmail.com</t>
  </si>
  <si>
    <t>956-440-3699</t>
  </si>
  <si>
    <t>87512 Barnes Station Suite 329, East Alishaville, TX 85628</t>
  </si>
  <si>
    <t>Oconnor-Newman</t>
  </si>
  <si>
    <t>1985-08-12</t>
  </si>
  <si>
    <t>2018-01-17</t>
  </si>
  <si>
    <t>Julian Bishop</t>
  </si>
  <si>
    <t>richardswilliam@thomas.com</t>
  </si>
  <si>
    <t>001-597-447-6095x61421</t>
  </si>
  <si>
    <t>Unit 6969 Box 9227, DPO AA 47053</t>
  </si>
  <si>
    <t>Luna Inc</t>
  </si>
  <si>
    <t>1967-01-06</t>
  </si>
  <si>
    <t>2019-03-18</t>
  </si>
  <si>
    <t>Stephanie Long</t>
  </si>
  <si>
    <t>aaron17@gmail.com</t>
  </si>
  <si>
    <t>001-130-087-9469x207</t>
  </si>
  <si>
    <t>85537 Michael Canyon Apt. 699, Chandlertown, MD 47217</t>
  </si>
  <si>
    <t>Thomas-Myers</t>
  </si>
  <si>
    <t>1982-02-07</t>
  </si>
  <si>
    <t>2018-03-23</t>
  </si>
  <si>
    <t>Jeremy Thompson</t>
  </si>
  <si>
    <t>arnoldalejandra@curtis.biz</t>
  </si>
  <si>
    <t>033-483-1070x073</t>
  </si>
  <si>
    <t>47365 Perkins Parkway Apt. 725, Lopezside, MN 14275</t>
  </si>
  <si>
    <t>Martin-Zamora</t>
  </si>
  <si>
    <t>1959-08-27</t>
  </si>
  <si>
    <t>2020-03-14</t>
  </si>
  <si>
    <t>Judith Day</t>
  </si>
  <si>
    <t>jameswhite@powell.net</t>
  </si>
  <si>
    <t>199.127.5261x9624</t>
  </si>
  <si>
    <t>61155 Spencer Mall Apt. 627, Emilybury, RI 22236</t>
  </si>
  <si>
    <t>Haynes, Young and Anderson</t>
  </si>
  <si>
    <t>1992-09-26</t>
  </si>
  <si>
    <t>Adam Torres</t>
  </si>
  <si>
    <t>michael61@yahoo.com</t>
  </si>
  <si>
    <t>001-985-095-7027</t>
  </si>
  <si>
    <t>70150 Shelby Manor Suite 872, East Lance, MD 51005</t>
  </si>
  <si>
    <t>Planning and development surveyor</t>
  </si>
  <si>
    <t>Li-Barnes</t>
  </si>
  <si>
    <t>2004-10-18</t>
  </si>
  <si>
    <t>2018-12-06</t>
  </si>
  <si>
    <t>Renee Morse</t>
  </si>
  <si>
    <t>garzasean@gmail.com</t>
  </si>
  <si>
    <t>177.981.4295</t>
  </si>
  <si>
    <t>98021 Thomas Light, North Jenniferfort, MA 20981</t>
  </si>
  <si>
    <t>Roberts, Jones and Munoz</t>
  </si>
  <si>
    <t>1970-05-17</t>
  </si>
  <si>
    <t>2020-12-28</t>
  </si>
  <si>
    <t>Victoria Anderson</t>
  </si>
  <si>
    <t>morgantheresa@davis.net</t>
  </si>
  <si>
    <t>948.582.3409</t>
  </si>
  <si>
    <t>40106 Daniel Ford Apt. 656, Smithside, MS 60940</t>
  </si>
  <si>
    <t>Prison officer</t>
  </si>
  <si>
    <t>Clark-Cochran</t>
  </si>
  <si>
    <t>1965-06-14</t>
  </si>
  <si>
    <t>2018-04-12</t>
  </si>
  <si>
    <t>David York</t>
  </si>
  <si>
    <t>robert92@hotmail.com</t>
  </si>
  <si>
    <t>828.952.5451</t>
  </si>
  <si>
    <t>820 King Drive Apt. 756, West Jimmymouth, UT 99385</t>
  </si>
  <si>
    <t>Stevens and Sons</t>
  </si>
  <si>
    <t>1993-09-02</t>
  </si>
  <si>
    <t>2021-09-10</t>
  </si>
  <si>
    <t>Sheri Alvarez</t>
  </si>
  <si>
    <t>luismcdonald@sanchez.com</t>
  </si>
  <si>
    <t>467.678.2471x6006</t>
  </si>
  <si>
    <t>13978 Rebecca Cliffs Suite 180, Ryanfort, WV 96922</t>
  </si>
  <si>
    <t>Castro Ltd</t>
  </si>
  <si>
    <t>1986-06-25</t>
  </si>
  <si>
    <t>John Gray</t>
  </si>
  <si>
    <t>barbaradavis@sherman.com</t>
  </si>
  <si>
    <t>8275893026</t>
  </si>
  <si>
    <t>5456 Nicole Curve Suite 848, Susanburgh, NY 48749</t>
  </si>
  <si>
    <t>Ramos-Tate</t>
  </si>
  <si>
    <t>1985-08-03</t>
  </si>
  <si>
    <t>2018-05-09</t>
  </si>
  <si>
    <t>Bradley Wilson</t>
  </si>
  <si>
    <t>keith93@rosales.com</t>
  </si>
  <si>
    <t>(784)313-6215</t>
  </si>
  <si>
    <t>59097 Williams Divide Suite 641, Carmenton, OK 47262</t>
  </si>
  <si>
    <t>Geophysical data processor</t>
  </si>
  <si>
    <t>Le, Garza and Smith</t>
  </si>
  <si>
    <t>1983-04-03</t>
  </si>
  <si>
    <t>2020-09-11</t>
  </si>
  <si>
    <t>Ana Brown</t>
  </si>
  <si>
    <t>dickersonstanley@pena-williams.com</t>
  </si>
  <si>
    <t>986.248.1517</t>
  </si>
  <si>
    <t>PSC 7115, Box 0734, APO AE 24857</t>
  </si>
  <si>
    <t>Johnson Inc</t>
  </si>
  <si>
    <t>1974-09-27</t>
  </si>
  <si>
    <t>2018-03-05</t>
  </si>
  <si>
    <t>Jennifer Robinson</t>
  </si>
  <si>
    <t>michellebrown@clark-davis.com</t>
  </si>
  <si>
    <t>001-221-091-5860x568</t>
  </si>
  <si>
    <t>95878 Bradley Pike, Haynesstad, NE 56630</t>
  </si>
  <si>
    <t>Francis-Schmidt</t>
  </si>
  <si>
    <t>2022-03-08</t>
  </si>
  <si>
    <t>Michael Jackson</t>
  </si>
  <si>
    <t>kellykimberly@vance.org</t>
  </si>
  <si>
    <t>+1-765-425-6288x863</t>
  </si>
  <si>
    <t>6806 Hernandez Ports Apt. 198, East Diane, OK 96864</t>
  </si>
  <si>
    <t>Madden-Robinson</t>
  </si>
  <si>
    <t>2005-03-12</t>
  </si>
  <si>
    <t>2017-04-19</t>
  </si>
  <si>
    <t>Jennifer Mccann</t>
  </si>
  <si>
    <t>woodsnicole@yahoo.com</t>
  </si>
  <si>
    <t>512.412.6828</t>
  </si>
  <si>
    <t>3077 Christopher Mews Suite 668, Kimstad, TX 81043</t>
  </si>
  <si>
    <t>Brady-Roberts</t>
  </si>
  <si>
    <t>2000-12-03</t>
  </si>
  <si>
    <t>2021-05-17</t>
  </si>
  <si>
    <t>Tracy Mcdowell</t>
  </si>
  <si>
    <t>aarias@parrish.com</t>
  </si>
  <si>
    <t>(780)874-2762x52511</t>
  </si>
  <si>
    <t>3930 Martin Mill, East Robertaside, MT 96989</t>
  </si>
  <si>
    <t>Engineer, materials</t>
  </si>
  <si>
    <t>Sanchez and Sons</t>
  </si>
  <si>
    <t>1984-01-03</t>
  </si>
  <si>
    <t>2018-02-06</t>
  </si>
  <si>
    <t>Jeffrey Fields</t>
  </si>
  <si>
    <t>codymason@stanton-larson.com</t>
  </si>
  <si>
    <t>(798)449-7963</t>
  </si>
  <si>
    <t>0583 Christian Islands Apt. 271, North John, OH 77809</t>
  </si>
  <si>
    <t>Parrish, Campbell and Rhodes</t>
  </si>
  <si>
    <t>2004-12-12</t>
  </si>
  <si>
    <t>2021-01-23</t>
  </si>
  <si>
    <t>April Anderson</t>
  </si>
  <si>
    <t>thomas60@young-carlson.com</t>
  </si>
  <si>
    <t>001-438-630-4938</t>
  </si>
  <si>
    <t>87472 Cindy Trail Apt. 011, Johnsonmouth, CT 28612</t>
  </si>
  <si>
    <t>Audiological scientist</t>
  </si>
  <si>
    <t>Avila and Sons</t>
  </si>
  <si>
    <t>1964-02-29</t>
  </si>
  <si>
    <t>2018-05-06</t>
  </si>
  <si>
    <t>suzannealexander@gmail.com</t>
  </si>
  <si>
    <t>874.916.5752x8906</t>
  </si>
  <si>
    <t>834 Rosario Via Apt. 599, New Kimberly, LA 27272</t>
  </si>
  <si>
    <t>Teacher, primary school</t>
  </si>
  <si>
    <t>Edwards-Williams</t>
  </si>
  <si>
    <t>1979-01-31</t>
  </si>
  <si>
    <t>2015-12-14</t>
  </si>
  <si>
    <t>Craig Cochran</t>
  </si>
  <si>
    <t>santosjames@brown.com</t>
  </si>
  <si>
    <t>+1-491-687-2698x7046</t>
  </si>
  <si>
    <t>84132 William Hollow Suite 861, North Teresachester, AK 10437</t>
  </si>
  <si>
    <t>Production assistant, radio</t>
  </si>
  <si>
    <t>Galvan, Ellis and Lopez</t>
  </si>
  <si>
    <t>1967-09-08</t>
  </si>
  <si>
    <t>2023-08-15</t>
  </si>
  <si>
    <t>Amy Brown</t>
  </si>
  <si>
    <t>whitedesiree@williams.com</t>
  </si>
  <si>
    <t>(439)205-3805x268</t>
  </si>
  <si>
    <t>USNS Anderson, FPO AA 63535</t>
  </si>
  <si>
    <t>Miller-Bush</t>
  </si>
  <si>
    <t>1972-12-25</t>
  </si>
  <si>
    <t>2024-06-21</t>
  </si>
  <si>
    <t>Steven Roach</t>
  </si>
  <si>
    <t>brittneywilson@roberson.com</t>
  </si>
  <si>
    <t>+1-370-974-8449x29297</t>
  </si>
  <si>
    <t>8460 Andrew Glen Apt. 240, Vanessaside, OR 75447</t>
  </si>
  <si>
    <t>White-Hanson</t>
  </si>
  <si>
    <t>1984-07-12</t>
  </si>
  <si>
    <t>2024-11-14</t>
  </si>
  <si>
    <t>Eric White</t>
  </si>
  <si>
    <t>iayers@pena-watkins.net</t>
  </si>
  <si>
    <t>2495496118</t>
  </si>
  <si>
    <t>32592 Catherine Springs, West Rubenmouth, DE 72517</t>
  </si>
  <si>
    <t>Set designer</t>
  </si>
  <si>
    <t>1970-08-30</t>
  </si>
  <si>
    <t>2018-08-02</t>
  </si>
  <si>
    <t>Diane Richard</t>
  </si>
  <si>
    <t>hunter13@gmail.com</t>
  </si>
  <si>
    <t>+1-133-235-4103x130</t>
  </si>
  <si>
    <t>2593 Shirley Mountain Apt. 811, Port Albert, DE 58102</t>
  </si>
  <si>
    <t>Torres, Williams and Murphy</t>
  </si>
  <si>
    <t>1989-08-11</t>
  </si>
  <si>
    <t>2016-01-18</t>
  </si>
  <si>
    <t>Jamie Walker</t>
  </si>
  <si>
    <t>ggonzalez@dawson.info</t>
  </si>
  <si>
    <t>(848)804-0418x24759</t>
  </si>
  <si>
    <t>0761 Kristine Flat, South Davidborough, SC 26646</t>
  </si>
  <si>
    <t>Medina, Owens and Mcintyre</t>
  </si>
  <si>
    <t>2001-07-04</t>
  </si>
  <si>
    <t>2017-08-18</t>
  </si>
  <si>
    <t>Jack Jones</t>
  </si>
  <si>
    <t>benjamin89@li.com</t>
  </si>
  <si>
    <t>445.410.6892</t>
  </si>
  <si>
    <t>2703 Nicole Shores Apt. 354, Lucasburgh, UT 76734</t>
  </si>
  <si>
    <t>Archaeologist</t>
  </si>
  <si>
    <t>Booker-Sanders</t>
  </si>
  <si>
    <t>1983-10-19</t>
  </si>
  <si>
    <t>2015-09-08</t>
  </si>
  <si>
    <t>Rebecca Sharp</t>
  </si>
  <si>
    <t>andersonkatie@james-lawrence.com</t>
  </si>
  <si>
    <t>+1-248-256-5209x9181</t>
  </si>
  <si>
    <t>108 Brianna Meadow, Randallhaven, VT 51409</t>
  </si>
  <si>
    <t>Engineer, maintenance</t>
  </si>
  <si>
    <t>Jones-George</t>
  </si>
  <si>
    <t>1997-07-20</t>
  </si>
  <si>
    <t>2018-07-06</t>
  </si>
  <si>
    <t>Jesse Gonzales</t>
  </si>
  <si>
    <t>patrick74@marsh.com</t>
  </si>
  <si>
    <t>519-695-7657x178</t>
  </si>
  <si>
    <t>8091 Pacheco Hill Apt. 831, Port Brooke, WI 16947</t>
  </si>
  <si>
    <t>Adult guidance worker</t>
  </si>
  <si>
    <t>Potter, Johnson and Faulkner</t>
  </si>
  <si>
    <t>1973-12-31</t>
  </si>
  <si>
    <t>2015-07-19</t>
  </si>
  <si>
    <t>Luis Leblanc</t>
  </si>
  <si>
    <t>luis50@logan.org</t>
  </si>
  <si>
    <t>(440)541-1050x902</t>
  </si>
  <si>
    <t>38582 Walker Flat, Owenstown, KS 14996</t>
  </si>
  <si>
    <t>Phytotherapist</t>
  </si>
  <si>
    <t>Scott and Sons</t>
  </si>
  <si>
    <t>1974-05-28</t>
  </si>
  <si>
    <t>2021-07-16</t>
  </si>
  <si>
    <t>Michele Jackson</t>
  </si>
  <si>
    <t>eric64@gardner.com</t>
  </si>
  <si>
    <t>(424)464-8514</t>
  </si>
  <si>
    <t>07502 Patricia Turnpike, Port Jorge, MD 17961</t>
  </si>
  <si>
    <t>Mccoy-Armstrong</t>
  </si>
  <si>
    <t>1992-01-14</t>
  </si>
  <si>
    <t>2019-03-25</t>
  </si>
  <si>
    <t>Chad Mcgrath</t>
  </si>
  <si>
    <t>cooperryan@gmail.com</t>
  </si>
  <si>
    <t>190.087.5478</t>
  </si>
  <si>
    <t>70812 Shawn Summit, Mitchellville, AL 10234</t>
  </si>
  <si>
    <t>Bell, Moore and Anderson</t>
  </si>
  <si>
    <t>1989-02-06</t>
  </si>
  <si>
    <t>2018-09-10</t>
  </si>
  <si>
    <t>Austin Atkins</t>
  </si>
  <si>
    <t>hgregory@gmail.com</t>
  </si>
  <si>
    <t>335.726.5905x213</t>
  </si>
  <si>
    <t>90373 Johnson Road, West Sarah, LA 00966</t>
  </si>
  <si>
    <t>Nature conservation officer</t>
  </si>
  <si>
    <t>Morales PLC</t>
  </si>
  <si>
    <t>2006-06-14</t>
  </si>
  <si>
    <t>2020-12-13</t>
  </si>
  <si>
    <t>Christine Jordan</t>
  </si>
  <si>
    <t>ahess@yahoo.com</t>
  </si>
  <si>
    <t>+1-495-899-2240x0727</t>
  </si>
  <si>
    <t>USCGC Crosby, FPO AP 22318</t>
  </si>
  <si>
    <t>Walton-Duran</t>
  </si>
  <si>
    <t>1981-10-17</t>
  </si>
  <si>
    <t>2023-09-01</t>
  </si>
  <si>
    <t>William Morales</t>
  </si>
  <si>
    <t>holtmichelle@davis-nixon.net</t>
  </si>
  <si>
    <t>518-248-0097x41453</t>
  </si>
  <si>
    <t>79594 Cody Keys Apt. 593, Michaelbury, NY 66632</t>
  </si>
  <si>
    <t>Horton-Cox</t>
  </si>
  <si>
    <t>2004-07-23</t>
  </si>
  <si>
    <t>2017-08-30</t>
  </si>
  <si>
    <t>Gina West</t>
  </si>
  <si>
    <t>downscrystal@yahoo.com</t>
  </si>
  <si>
    <t>303.040.4807x6081</t>
  </si>
  <si>
    <t>062 Johnson Glen Apt. 026, Marcusmouth, CO 55759</t>
  </si>
  <si>
    <t>Hill-Compton</t>
  </si>
  <si>
    <t>1998-06-02</t>
  </si>
  <si>
    <t>2015-10-17</t>
  </si>
  <si>
    <t>Dana Webb</t>
  </si>
  <si>
    <t>steinwilliam@leblanc.net</t>
  </si>
  <si>
    <t>3583833549</t>
  </si>
  <si>
    <t>431 Martinez Valleys, Lake Laurenborough, CO 39832</t>
  </si>
  <si>
    <t>Norton, Peck and Molina</t>
  </si>
  <si>
    <t>1985-12-18</t>
  </si>
  <si>
    <t>2025-06-26</t>
  </si>
  <si>
    <t>Terri Meza</t>
  </si>
  <si>
    <t>mchan@gmail.com</t>
  </si>
  <si>
    <t>790.499.7901x624</t>
  </si>
  <si>
    <t>9896 Christopher Spurs Suite 274, Jasonport, OH 46435</t>
  </si>
  <si>
    <t>Figueroa-King</t>
  </si>
  <si>
    <t>1965-11-10</t>
  </si>
  <si>
    <t>Thomas Huerta</t>
  </si>
  <si>
    <t>huntergary@hotmail.com</t>
  </si>
  <si>
    <t>389.980.4677</t>
  </si>
  <si>
    <t>13010 Joseph Courts, East Aaronland, NV 28460</t>
  </si>
  <si>
    <t>Surveyor, rural practice</t>
  </si>
  <si>
    <t>Bridges-Boyle</t>
  </si>
  <si>
    <t>1965-03-23</t>
  </si>
  <si>
    <t>2024-12-03</t>
  </si>
  <si>
    <t>Crystal Torres</t>
  </si>
  <si>
    <t>walshfrank@hernandez-collins.com</t>
  </si>
  <si>
    <t>(872)498-1617x640</t>
  </si>
  <si>
    <t>613 Barron Fork, Blankenshipmouth, NJ 63568</t>
  </si>
  <si>
    <t>Race relations officer</t>
  </si>
  <si>
    <t>Jones-Hodge</t>
  </si>
  <si>
    <t>1989-03-23</t>
  </si>
  <si>
    <t>2019-07-07</t>
  </si>
  <si>
    <t>Julie Lindsey</t>
  </si>
  <si>
    <t>frederickchristine@gilmore-foster.biz</t>
  </si>
  <si>
    <t>+1-012-120-4661x786</t>
  </si>
  <si>
    <t>90425 Townsend Shore, Donaldsonburgh, AR 59149</t>
  </si>
  <si>
    <t>Huerta-Parker</t>
  </si>
  <si>
    <t>1974-09-25</t>
  </si>
  <si>
    <t>2021-09-25</t>
  </si>
  <si>
    <t>Jennifer Wood</t>
  </si>
  <si>
    <t>rgreen@hotmail.com</t>
  </si>
  <si>
    <t>001-313-523-6696x12437</t>
  </si>
  <si>
    <t>093 Moss Stream, East Adamview, IL 40067</t>
  </si>
  <si>
    <t>Foster and Sons</t>
  </si>
  <si>
    <t>1970-02-15</t>
  </si>
  <si>
    <t>2020-07-06</t>
  </si>
  <si>
    <t>David Walters</t>
  </si>
  <si>
    <t>jasminemorton@melton.info</t>
  </si>
  <si>
    <t>366.151.6172x3706</t>
  </si>
  <si>
    <t>7479 Sharp Wells, West Rebecca, KY 45072</t>
  </si>
  <si>
    <t>Guerra LLC</t>
  </si>
  <si>
    <t>1965-01-02</t>
  </si>
  <si>
    <t>2020-02-11</t>
  </si>
  <si>
    <t>Rebecca Stevens</t>
  </si>
  <si>
    <t>lance45@porter.com</t>
  </si>
  <si>
    <t>(910)314-2729x434</t>
  </si>
  <si>
    <t>76726 Willie Tunnel, East Sandraton, NJ 05803</t>
  </si>
  <si>
    <t>Gaffer</t>
  </si>
  <si>
    <t>Hoffman-Richards</t>
  </si>
  <si>
    <t>1985-03-21</t>
  </si>
  <si>
    <t>Barbara Jimenez</t>
  </si>
  <si>
    <t>garciamiguel@kramer.biz</t>
  </si>
  <si>
    <t>950-248-2137x1313</t>
  </si>
  <si>
    <t>88813 Miller Island, Jonesshire, NC 65563</t>
  </si>
  <si>
    <t>Clayton and Sons</t>
  </si>
  <si>
    <t>2001-01-28</t>
  </si>
  <si>
    <t>2017-11-02</t>
  </si>
  <si>
    <t>Benjamin Ingram Dds</t>
  </si>
  <si>
    <t>beckyedwards@santos.biz</t>
  </si>
  <si>
    <t>+1-559-158-4429x25928</t>
  </si>
  <si>
    <t>0409 Hughes Port, Martinchester, MT 29704</t>
  </si>
  <si>
    <t>Geochemist</t>
  </si>
  <si>
    <t>Allen, Ellis and Cardenas</t>
  </si>
  <si>
    <t>1984-01-24</t>
  </si>
  <si>
    <t>Daniel Allen</t>
  </si>
  <si>
    <t>juan44@hotmail.com</t>
  </si>
  <si>
    <t>523.312.5228x4833</t>
  </si>
  <si>
    <t>0618 William Trafficway, Leemouth, MO 70137</t>
  </si>
  <si>
    <t>Deleon, Murray and Brown</t>
  </si>
  <si>
    <t>1978-08-30</t>
  </si>
  <si>
    <t>2016-07-26</t>
  </si>
  <si>
    <t>Erica Lopez</t>
  </si>
  <si>
    <t>jonesabigail@yahoo.com</t>
  </si>
  <si>
    <t>131.191.8863</t>
  </si>
  <si>
    <t>04893 Arnold Canyon Apt. 837, West Phillip, MD 47471</t>
  </si>
  <si>
    <t>Paediatric nurse</t>
  </si>
  <si>
    <t>Guerra, Strong and Bray</t>
  </si>
  <si>
    <t>2006-07-24</t>
  </si>
  <si>
    <t>Brian Arnold</t>
  </si>
  <si>
    <t>morrissheila@blair.com</t>
  </si>
  <si>
    <t>(400)100-1138x45942</t>
  </si>
  <si>
    <t>3095 Christine Road, Karenview, OH 11745</t>
  </si>
  <si>
    <t>Chavez-Walker</t>
  </si>
  <si>
    <t>1998-02-23</t>
  </si>
  <si>
    <t>2016-02-05</t>
  </si>
  <si>
    <t>Blake King</t>
  </si>
  <si>
    <t>leekenneth@gmail.com</t>
  </si>
  <si>
    <t>065.790.1321x880</t>
  </si>
  <si>
    <t>093 Jonathan Landing, South Craigview, KY 02670</t>
  </si>
  <si>
    <t>Computer games developer</t>
  </si>
  <si>
    <t>Ramos, Mitchell and Shelton</t>
  </si>
  <si>
    <t>1966-04-23</t>
  </si>
  <si>
    <t>2015-10-11</t>
  </si>
  <si>
    <t>Robert Yates</t>
  </si>
  <si>
    <t>millerdaniel@phillips.biz</t>
  </si>
  <si>
    <t>001-753-675-7988x295</t>
  </si>
  <si>
    <t>5444 Melton Summit, Susanport, IN 30001</t>
  </si>
  <si>
    <t>Edwards-Perry</t>
  </si>
  <si>
    <t>1994-05-27</t>
  </si>
  <si>
    <t>2023-03-27</t>
  </si>
  <si>
    <t>Dustin Moore</t>
  </si>
  <si>
    <t>whitneykirsten@hotmail.com</t>
  </si>
  <si>
    <t>618.673.4418x78524</t>
  </si>
  <si>
    <t>PSC 8838, Box 6160, APO AP 25620</t>
  </si>
  <si>
    <t>Building services engineer</t>
  </si>
  <si>
    <t>Love-Stewart</t>
  </si>
  <si>
    <t>1989-08-28</t>
  </si>
  <si>
    <t>2016-08-05</t>
  </si>
  <si>
    <t>Sabrina Cameron</t>
  </si>
  <si>
    <t>wanderson@morgan-alvarez.info</t>
  </si>
  <si>
    <t>5087991032</t>
  </si>
  <si>
    <t>124 Joel Corners Suite 315, New Stephanie, ND 15989</t>
  </si>
  <si>
    <t>Caldwell Inc</t>
  </si>
  <si>
    <t>1998-04-20</t>
  </si>
  <si>
    <t>2025-05-24</t>
  </si>
  <si>
    <t>Linda Bryant</t>
  </si>
  <si>
    <t>brittanyfloyd@ward-richardson.org</t>
  </si>
  <si>
    <t>(868)942-5055</t>
  </si>
  <si>
    <t>5388 Christine Burgs Apt. 105, West Henrystad, KS 92502</t>
  </si>
  <si>
    <t>Green and Sons</t>
  </si>
  <si>
    <t>1998-10-27</t>
  </si>
  <si>
    <t>2020-08-08</t>
  </si>
  <si>
    <t>Thomas Mason</t>
  </si>
  <si>
    <t>doughertymelissa@gmail.com</t>
  </si>
  <si>
    <t>372-657-0837</t>
  </si>
  <si>
    <t>297 Adams Pine Apt. 873, Lake Madisonborough, MS 67238</t>
  </si>
  <si>
    <t>Sub</t>
  </si>
  <si>
    <t>Meyers Inc</t>
  </si>
  <si>
    <t>1965-02-02</t>
  </si>
  <si>
    <t>2016-01-25</t>
  </si>
  <si>
    <t>Ana Smith</t>
  </si>
  <si>
    <t>maxtaylor@thomas.com</t>
  </si>
  <si>
    <t>001-929-177-8341</t>
  </si>
  <si>
    <t>1390 Torres Dale, Port Brendanfort, IL 85576</t>
  </si>
  <si>
    <t>Lester-Schmidt</t>
  </si>
  <si>
    <t>1984-07-05</t>
  </si>
  <si>
    <t>2022-07-26</t>
  </si>
  <si>
    <t>Randy Gonzalez</t>
  </si>
  <si>
    <t>jeffrey59@hahn-fernandez.org</t>
  </si>
  <si>
    <t>713-293-3786</t>
  </si>
  <si>
    <t>PSC 6034, Box 5437, APO AP 33020</t>
  </si>
  <si>
    <t>Operations geologist</t>
  </si>
  <si>
    <t>Wyatt-Walsh</t>
  </si>
  <si>
    <t>1973-02-08</t>
  </si>
  <si>
    <t>Michael Christensen</t>
  </si>
  <si>
    <t>carterwilliam@robles-gay.com</t>
  </si>
  <si>
    <t>(261)404-9178x76280</t>
  </si>
  <si>
    <t>3809 Gregory Crest Apt. 904, Justinstad, OK 18998</t>
  </si>
  <si>
    <t>Soil scientist</t>
  </si>
  <si>
    <t>Sherman, Allen and Daniels</t>
  </si>
  <si>
    <t>1980-09-08</t>
  </si>
  <si>
    <t>2016-02-16</t>
  </si>
  <si>
    <t>Kimberly Reid</t>
  </si>
  <si>
    <t>mark51@spencer.biz</t>
  </si>
  <si>
    <t>001-069-659-9803x1116</t>
  </si>
  <si>
    <t>65958 Tyler Spring Suite 875, New Daniel, CA 42285</t>
  </si>
  <si>
    <t>Mahoney-Ellis</t>
  </si>
  <si>
    <t>1971-03-24</t>
  </si>
  <si>
    <t>2021-03-08</t>
  </si>
  <si>
    <t>Melanie Richard</t>
  </si>
  <si>
    <t>dakota25@hotmail.com</t>
  </si>
  <si>
    <t>101.546.5921</t>
  </si>
  <si>
    <t>81491 Alexander Plaza Suite 228, Weaverview, NH 85334</t>
  </si>
  <si>
    <t>Chief of Staff</t>
  </si>
  <si>
    <t>Patterson-Mcfarland</t>
  </si>
  <si>
    <t>1972-01-11</t>
  </si>
  <si>
    <t>2021-04-21</t>
  </si>
  <si>
    <t>Samuel Hunt</t>
  </si>
  <si>
    <t>churchjimmy@wagner.com</t>
  </si>
  <si>
    <t>(707)506-7567</t>
  </si>
  <si>
    <t>04532 Dickson Manors Apt. 930, Ryanhaven, NJ 97201</t>
  </si>
  <si>
    <t>Chan, Weaver and Dyer</t>
  </si>
  <si>
    <t>1966-03-10</t>
  </si>
  <si>
    <t>2020-10-19</t>
  </si>
  <si>
    <t>Kelly Smith</t>
  </si>
  <si>
    <t>bjones@gmail.com</t>
  </si>
  <si>
    <t>001-963-972-7268</t>
  </si>
  <si>
    <t>PSC 3367, Box 1352, APO AA 07957</t>
  </si>
  <si>
    <t>Designer, ceramics/pottery</t>
  </si>
  <si>
    <t>Jones-Davis</t>
  </si>
  <si>
    <t>2007-05-23</t>
  </si>
  <si>
    <t>2022-12-04</t>
  </si>
  <si>
    <t>Eugene Martin</t>
  </si>
  <si>
    <t>mary37@gmail.com</t>
  </si>
  <si>
    <t>368.897.1771x10768</t>
  </si>
  <si>
    <t>14840 White Overpass Apt. 163, Domingueztown, CT 34172</t>
  </si>
  <si>
    <t>Blair Inc</t>
  </si>
  <si>
    <t>1963-11-02</t>
  </si>
  <si>
    <t>2021-10-26</t>
  </si>
  <si>
    <t>Alexis Miller</t>
  </si>
  <si>
    <t>bschmidt@ruiz-hamilton.com</t>
  </si>
  <si>
    <t>+1-353-818-0217</t>
  </si>
  <si>
    <t>920 Grimes Mission, East Lindsay, LA 30676</t>
  </si>
  <si>
    <t>Harris-Clark</t>
  </si>
  <si>
    <t>2003-04-12</t>
  </si>
  <si>
    <t>2022-10-31</t>
  </si>
  <si>
    <t>Lauren Daniels</t>
  </si>
  <si>
    <t>cmoore@hicks-young.com</t>
  </si>
  <si>
    <t>(771)923-0202x1004</t>
  </si>
  <si>
    <t>107 Pacheco Bypass, Wilsonland, OH 44202</t>
  </si>
  <si>
    <t>Sports coach</t>
  </si>
  <si>
    <t>Winters Inc</t>
  </si>
  <si>
    <t>1965-10-24</t>
  </si>
  <si>
    <t>Gloria Schultz</t>
  </si>
  <si>
    <t>nathan08@jones-wells.info</t>
  </si>
  <si>
    <t>420-337-9768x25627</t>
  </si>
  <si>
    <t>8930 Wayne Alley, Payneberg, NY 70060</t>
  </si>
  <si>
    <t>Journalist, broadcasting</t>
  </si>
  <si>
    <t>Wheeler Group</t>
  </si>
  <si>
    <t>1988-11-13</t>
  </si>
  <si>
    <t>Natasha Dodson</t>
  </si>
  <si>
    <t>yreyes@daniel.com</t>
  </si>
  <si>
    <t>264-842-7702x879</t>
  </si>
  <si>
    <t>519 Michael Corner Apt. 570, North Hayley, AL 50234</t>
  </si>
  <si>
    <t>Health and safety inspector</t>
  </si>
  <si>
    <t>Perez-Rogers</t>
  </si>
  <si>
    <t>1961-03-25</t>
  </si>
  <si>
    <t>Brenda Stanley</t>
  </si>
  <si>
    <t>gilbertandrea@hotmail.com</t>
  </si>
  <si>
    <t>(727)956-8300</t>
  </si>
  <si>
    <t>365 Michael Parks, Justinmouth, NY 09444</t>
  </si>
  <si>
    <t>Mining engineer</t>
  </si>
  <si>
    <t>Hall, Cardenas and Williams</t>
  </si>
  <si>
    <t>1978-08-28</t>
  </si>
  <si>
    <t>2016-06-02</t>
  </si>
  <si>
    <t>Edwin Smith</t>
  </si>
  <si>
    <t>jessica54@smith-dawson.com</t>
  </si>
  <si>
    <t>026.606.5757</t>
  </si>
  <si>
    <t>654 Aaron Plains, West Deborahview, WV 43125</t>
  </si>
  <si>
    <t>Webster, Cooper and Fuller</t>
  </si>
  <si>
    <t>1985-11-21</t>
  </si>
  <si>
    <t>2016-03-30</t>
  </si>
  <si>
    <t>Sabrina Hess</t>
  </si>
  <si>
    <t>katierodriguez@benson.com</t>
  </si>
  <si>
    <t>909.850.2431x48257</t>
  </si>
  <si>
    <t>0488 Donna Expressway, North Patricia, ME 90760</t>
  </si>
  <si>
    <t>Sports therapist</t>
  </si>
  <si>
    <t>Collins-Frazier</t>
  </si>
  <si>
    <t>1997-03-24</t>
  </si>
  <si>
    <t>2019-05-09</t>
  </si>
  <si>
    <t>James Obrien</t>
  </si>
  <si>
    <t>wrightlisa@yahoo.com</t>
  </si>
  <si>
    <t>+1-709-880-4476</t>
  </si>
  <si>
    <t>51683 Miller Branch Suite 932, Lake Nicholasfort, IA 43123</t>
  </si>
  <si>
    <t>Agricultural consultant</t>
  </si>
  <si>
    <t>Johnson-Moore</t>
  </si>
  <si>
    <t>2003-10-30</t>
  </si>
  <si>
    <t>2019-10-08</t>
  </si>
  <si>
    <t>Shawn Wade</t>
  </si>
  <si>
    <t>omorgan@bates-moore.net</t>
  </si>
  <si>
    <t>(709)302-3726</t>
  </si>
  <si>
    <t>16589 Salazar Circles Apt. 335, Alyssabury, NC 38042</t>
  </si>
  <si>
    <t>Ballard Group</t>
  </si>
  <si>
    <t>1968-02-02</t>
  </si>
  <si>
    <t>2016-08-14</t>
  </si>
  <si>
    <t>Ross Moss</t>
  </si>
  <si>
    <t>halestacey@gonzalez.com</t>
  </si>
  <si>
    <t>798-154-0401</t>
  </si>
  <si>
    <t>374 Christopher Forks Suite 062, North Kimberlystad, OH 06962</t>
  </si>
  <si>
    <t>Mccullough-Brown</t>
  </si>
  <si>
    <t>1969-03-05</t>
  </si>
  <si>
    <t>2016-05-08</t>
  </si>
  <si>
    <t>Kenneth Scott</t>
  </si>
  <si>
    <t>zcarpenter@sawyer-gonzalez.com</t>
  </si>
  <si>
    <t>001-966-737-8845</t>
  </si>
  <si>
    <t>4644 Munoz Shores, West Darlene, KS 83698</t>
  </si>
  <si>
    <t>Local government officer</t>
  </si>
  <si>
    <t>Sullivan, Schultz and Hartman</t>
  </si>
  <si>
    <t>1967-06-14</t>
  </si>
  <si>
    <t>2023-08-27</t>
  </si>
  <si>
    <t>Michael Callahan</t>
  </si>
  <si>
    <t>rebecca50@vance-williams.net</t>
  </si>
  <si>
    <t>725-557-2260x5628</t>
  </si>
  <si>
    <t>58493 Danielle Circles Suite 169, West Meganfurt, WA 71717</t>
  </si>
  <si>
    <t>Wright LLC</t>
  </si>
  <si>
    <t>1965-12-23</t>
  </si>
  <si>
    <t>2022-02-07</t>
  </si>
  <si>
    <t>Steven Mcbride</t>
  </si>
  <si>
    <t>sbrown@hotmail.com</t>
  </si>
  <si>
    <t>7954002511</t>
  </si>
  <si>
    <t>167 John Canyon, Amberville, AL 49703</t>
  </si>
  <si>
    <t>Davis-Walton</t>
  </si>
  <si>
    <t>1985-01-17</t>
  </si>
  <si>
    <t>2022-07-15</t>
  </si>
  <si>
    <t>Melissa Mata</t>
  </si>
  <si>
    <t>dawsonamber@klein.com</t>
  </si>
  <si>
    <t>001-537-155-2192x5568</t>
  </si>
  <si>
    <t>981 Jeffery Walks, Port Garymouth, OR 95214</t>
  </si>
  <si>
    <t>Research scientist (medical)</t>
  </si>
  <si>
    <t>Williams-Snyder</t>
  </si>
  <si>
    <t>2001-07-05</t>
  </si>
  <si>
    <t>2023-07-30</t>
  </si>
  <si>
    <t>Kyle Crosby</t>
  </si>
  <si>
    <t>michael54@moore-brown.com</t>
  </si>
  <si>
    <t>001-711-575-7771x961</t>
  </si>
  <si>
    <t>363 Perez Port, Jefferybury, FL 63232</t>
  </si>
  <si>
    <t>Willis-Garcia</t>
  </si>
  <si>
    <t>1988-10-10</t>
  </si>
  <si>
    <t>John Clark</t>
  </si>
  <si>
    <t>rojasjennifer@hill.com</t>
  </si>
  <si>
    <t>945.584.9836x135</t>
  </si>
  <si>
    <t>168 Garcia Shore Apt. 495, Clarkport, OH 91652</t>
  </si>
  <si>
    <t>Myers-Coleman</t>
  </si>
  <si>
    <t>1995-12-06</t>
  </si>
  <si>
    <t>2017-03-12</t>
  </si>
  <si>
    <t>Anthony Lane</t>
  </si>
  <si>
    <t>arnoldbrett@webb-jordan.com</t>
  </si>
  <si>
    <t>(819)390-3639x14124</t>
  </si>
  <si>
    <t>2853 Hayes Burg, West Jasontown, PA 29185</t>
  </si>
  <si>
    <t>Pierce-Stewart</t>
  </si>
  <si>
    <t>2003-08-29</t>
  </si>
  <si>
    <t>2020-08-20</t>
  </si>
  <si>
    <t>Micheal Riggs</t>
  </si>
  <si>
    <t>lauren24@hotmail.com</t>
  </si>
  <si>
    <t>198-105-4064x001</t>
  </si>
  <si>
    <t>0000 Jessica Plains Suite 056, Wilcoxfurt, IL 86977</t>
  </si>
  <si>
    <t>TEFL teacher</t>
  </si>
  <si>
    <t>Hill, Stout and Gallagher</t>
  </si>
  <si>
    <t>1986-03-29</t>
  </si>
  <si>
    <t>2022-12-11</t>
  </si>
  <si>
    <t>Angela Martinez</t>
  </si>
  <si>
    <t>nmorgan@gmail.com</t>
  </si>
  <si>
    <t>553.453.0870x1671</t>
  </si>
  <si>
    <t>665 Maria Park Suite 948, South Garyport, DC 92369</t>
  </si>
  <si>
    <t>Publishing rights manager</t>
  </si>
  <si>
    <t>Middleton PLC</t>
  </si>
  <si>
    <t>1982-10-19</t>
  </si>
  <si>
    <t>2017-07-31</t>
  </si>
  <si>
    <t>Jordan Hill</t>
  </si>
  <si>
    <t>owalter@hartman-garcia.com</t>
  </si>
  <si>
    <t>(244)113-5467x9259</t>
  </si>
  <si>
    <t>PSC 1657, Box 1840, APO AE 51045</t>
  </si>
  <si>
    <t>Anderson-Curry</t>
  </si>
  <si>
    <t>1988-10-15</t>
  </si>
  <si>
    <t>2022-06-01</t>
  </si>
  <si>
    <t>Daryl Davis</t>
  </si>
  <si>
    <t>nsanchez@hotmail.com</t>
  </si>
  <si>
    <t>+1-236-676-3229x74164</t>
  </si>
  <si>
    <t>16320 Rivera Island Suite 344, East Tammy, KY 52258</t>
  </si>
  <si>
    <t>Perry, Tran and Edwards</t>
  </si>
  <si>
    <t>1965-05-16</t>
  </si>
  <si>
    <t>2024-09-20</t>
  </si>
  <si>
    <t>Matthew Baird</t>
  </si>
  <si>
    <t>nmitchell@hotmail.com</t>
  </si>
  <si>
    <t>007.379.7376</t>
  </si>
  <si>
    <t>11600 Anne Rest, South Kevin, AR 02033</t>
  </si>
  <si>
    <t>Brady, Welch and Allen</t>
  </si>
  <si>
    <t>1971-06-13</t>
  </si>
  <si>
    <t>2022-04-14</t>
  </si>
  <si>
    <t>Monica Winters</t>
  </si>
  <si>
    <t>william31@moore-montoya.net</t>
  </si>
  <si>
    <t>(812)807-4448x49475</t>
  </si>
  <si>
    <t>91812 Cole Pines Suite 336, Michaelberg, NH 82286</t>
  </si>
  <si>
    <t>Sullivan LLC</t>
  </si>
  <si>
    <t>2022-06-15</t>
  </si>
  <si>
    <t>Richard Marquez</t>
  </si>
  <si>
    <t>christopher60@gmail.com</t>
  </si>
  <si>
    <t>708.747.7789x37099</t>
  </si>
  <si>
    <t>41183 Robert Center, Jordanfort, AK 41779</t>
  </si>
  <si>
    <t>Smith-Clark</t>
  </si>
  <si>
    <t>1999-04-06</t>
  </si>
  <si>
    <t>2025-02-16</t>
  </si>
  <si>
    <t>Justin Norman</t>
  </si>
  <si>
    <t>jason90@hotmail.com</t>
  </si>
  <si>
    <t>004.268.7347x41314</t>
  </si>
  <si>
    <t>0222 Jacqueline Meadows Apt. 420, Michaelside, AK 02114</t>
  </si>
  <si>
    <t>Harper and Sons</t>
  </si>
  <si>
    <t>1985-02-11</t>
  </si>
  <si>
    <t>2016-11-10</t>
  </si>
  <si>
    <t>Sara Richardson</t>
  </si>
  <si>
    <t>oarnold@wright.net</t>
  </si>
  <si>
    <t>(722)503-1210x170</t>
  </si>
  <si>
    <t>769 Farley Keys Suite 981, Hoganstad, KS 64105</t>
  </si>
  <si>
    <t>Hernandez, Hart and Acosta</t>
  </si>
  <si>
    <t>1970-08-18</t>
  </si>
  <si>
    <t>2023-04-07</t>
  </si>
  <si>
    <t>Rachel Fleming</t>
  </si>
  <si>
    <t>ruthochoa@cook.org</t>
  </si>
  <si>
    <t>001-143-819-5637</t>
  </si>
  <si>
    <t>099 Nicholas Viaduct Apt. 112, Dyerstad, IL 75070</t>
  </si>
  <si>
    <t>Press photographer</t>
  </si>
  <si>
    <t>Castro, Gibson and Mcconnell</t>
  </si>
  <si>
    <t>1977-04-27</t>
  </si>
  <si>
    <t>2024-11-11</t>
  </si>
  <si>
    <t>Renee Aguilar</t>
  </si>
  <si>
    <t>david48@yahoo.com</t>
  </si>
  <si>
    <t>(427)665-7524x8424</t>
  </si>
  <si>
    <t>9256 Webb Gateway, North Sabrina, CT 89430</t>
  </si>
  <si>
    <t>Civil Service fast streamer</t>
  </si>
  <si>
    <t>Collins, Wyatt and Garcia</t>
  </si>
  <si>
    <t>1993-07-22</t>
  </si>
  <si>
    <t>2022-12-18</t>
  </si>
  <si>
    <t>William Myers</t>
  </si>
  <si>
    <t>andrea24@michael.net</t>
  </si>
  <si>
    <t>(646)202-9828</t>
  </si>
  <si>
    <t>601 Gabriela Way, Rogersport, ME 64821</t>
  </si>
  <si>
    <t>Technical brewer</t>
  </si>
  <si>
    <t>Diaz, Alexander and Parker</t>
  </si>
  <si>
    <t>1998-12-24</t>
  </si>
  <si>
    <t>2018-08-16</t>
  </si>
  <si>
    <t>Stephanie Fowler</t>
  </si>
  <si>
    <t>michael81@gmail.com</t>
  </si>
  <si>
    <t>(430)606-1441x8701</t>
  </si>
  <si>
    <t>66867 David Way Suite 935, Perezport, TX 36279</t>
  </si>
  <si>
    <t>Forensic scientist</t>
  </si>
  <si>
    <t>Evans, Peterson and Elliott</t>
  </si>
  <si>
    <t>1993-05-01</t>
  </si>
  <si>
    <t>2018-11-01</t>
  </si>
  <si>
    <t>Anna Franklin</t>
  </si>
  <si>
    <t>sroberts@gentry.com</t>
  </si>
  <si>
    <t>001-027-943-0728x870</t>
  </si>
  <si>
    <t>072 Emily Lane Suite 680, New Jack, TN 95704</t>
  </si>
  <si>
    <t>Wiley and Sons</t>
  </si>
  <si>
    <t>2017-01-01</t>
  </si>
  <si>
    <t>sethwilson@hotmail.com</t>
  </si>
  <si>
    <t>(518)473-2019</t>
  </si>
  <si>
    <t>068 Peter Light, Gonzalezland, WA 75074</t>
  </si>
  <si>
    <t>Luna, Levine and Young</t>
  </si>
  <si>
    <t>1964-12-20</t>
  </si>
  <si>
    <t>2017-02-13</t>
  </si>
  <si>
    <t>lori87@mclean.net</t>
  </si>
  <si>
    <t>+1-624-016-5561</t>
  </si>
  <si>
    <t>20544 Mitchell Extension Suite 021, Millerville, WA 91081</t>
  </si>
  <si>
    <t>Producer, radio</t>
  </si>
  <si>
    <t>Burgess-Nelson</t>
  </si>
  <si>
    <t>1977-09-18</t>
  </si>
  <si>
    <t>2024-06-29</t>
  </si>
  <si>
    <t>Derrick Snyder</t>
  </si>
  <si>
    <t>derrick93@thomas-long.com</t>
  </si>
  <si>
    <t>+1-191-793-4457x81104</t>
  </si>
  <si>
    <t>042 Marisa Shore Apt. 525, East Deborahburgh, NC 00705</t>
  </si>
  <si>
    <t>Engineer, technical sales</t>
  </si>
  <si>
    <t>Jackson-Cooper</t>
  </si>
  <si>
    <t>1979-02-09</t>
  </si>
  <si>
    <t>2017-05-20</t>
  </si>
  <si>
    <t>Martin Hopkins</t>
  </si>
  <si>
    <t>alan69@brown-hess.info</t>
  </si>
  <si>
    <t>184.736.1152x936</t>
  </si>
  <si>
    <t>83726 Lisa Forks, Seanmouth, DC 39573</t>
  </si>
  <si>
    <t>Further education lecturer</t>
  </si>
  <si>
    <t>Welch and Sons</t>
  </si>
  <si>
    <t>1983-01-07</t>
  </si>
  <si>
    <t>2019-07-14</t>
  </si>
  <si>
    <t>John Mcdonald</t>
  </si>
  <si>
    <t>escobarlori@gonzalez.info</t>
  </si>
  <si>
    <t>995.900.4927</t>
  </si>
  <si>
    <t>736 Jones Islands Apt. 585, Montgomeryhaven, NY 95239</t>
  </si>
  <si>
    <t>Corporate treasurer</t>
  </si>
  <si>
    <t>Hawkins-Miller</t>
  </si>
  <si>
    <t>1967-09-17</t>
  </si>
  <si>
    <t>2020-09-02</t>
  </si>
  <si>
    <t>Kyle Clark</t>
  </si>
  <si>
    <t>tuckerdavid@gmail.com</t>
  </si>
  <si>
    <t>532.971.5199x56067</t>
  </si>
  <si>
    <t>2610 Simpson Groves Apt. 448, East Brian, LA 37819</t>
  </si>
  <si>
    <t>Coleman, Sanchez and Riley</t>
  </si>
  <si>
    <t>1965-09-28</t>
  </si>
  <si>
    <t>2023-12-28</t>
  </si>
  <si>
    <t>Jasmine Avila</t>
  </si>
  <si>
    <t>robertobrooks@gallagher.net</t>
  </si>
  <si>
    <t>+1-342-714-4828</t>
  </si>
  <si>
    <t>263 David Pines, South Paulaton, MS 45725</t>
  </si>
  <si>
    <t>Dancer</t>
  </si>
  <si>
    <t>Page-Aguirre</t>
  </si>
  <si>
    <t>1989-12-13</t>
  </si>
  <si>
    <t>2019-03-23</t>
  </si>
  <si>
    <t>James Johnson</t>
  </si>
  <si>
    <t>cnichols@gmail.com</t>
  </si>
  <si>
    <t>(487)853-5673x97556</t>
  </si>
  <si>
    <t>73707 Simpson Underpass, Richardstad, WV 04498</t>
  </si>
  <si>
    <t>Cummings, Walker and Peterson</t>
  </si>
  <si>
    <t>1998-04-13</t>
  </si>
  <si>
    <t>Richard Jones</t>
  </si>
  <si>
    <t>ofoster@hamilton.com</t>
  </si>
  <si>
    <t>001-326-960-4365x0123</t>
  </si>
  <si>
    <t>583 Russell Freeway Apt. 671, West Cathy, NC 26846</t>
  </si>
  <si>
    <t>Hardin, Johnson and Chung</t>
  </si>
  <si>
    <t>1988-12-21</t>
  </si>
  <si>
    <t>2017-10-31</t>
  </si>
  <si>
    <t>Darren Lowery</t>
  </si>
  <si>
    <t>alozano@yahoo.com</t>
  </si>
  <si>
    <t>+1-586-735-2445x31613</t>
  </si>
  <si>
    <t>53845 Douglas Isle, East Peter, RI 14490</t>
  </si>
  <si>
    <t>Higgins, Jensen and Rodriguez</t>
  </si>
  <si>
    <t>1982-01-07</t>
  </si>
  <si>
    <t>2023-08-04</t>
  </si>
  <si>
    <t>Mary Robinson</t>
  </si>
  <si>
    <t>romerorobert@yahoo.com</t>
  </si>
  <si>
    <t>+1-099-286-0600x02932</t>
  </si>
  <si>
    <t>5006 Taylor Radial, New Bradley, PA 66704</t>
  </si>
  <si>
    <t>Brown PLC</t>
  </si>
  <si>
    <t>2000-07-15</t>
  </si>
  <si>
    <t>2023-07-17</t>
  </si>
  <si>
    <t>Olivia Shields</t>
  </si>
  <si>
    <t>ryanandrews@hotmail.com</t>
  </si>
  <si>
    <t>(095)623-2639x439</t>
  </si>
  <si>
    <t>5011 Harris Tunnel Suite 924, North Amyport, OH 04427</t>
  </si>
  <si>
    <t>Financial adviser</t>
  </si>
  <si>
    <t>Nelson, Curtis and Robinson</t>
  </si>
  <si>
    <t>1992-04-29</t>
  </si>
  <si>
    <t>2025-02-09</t>
  </si>
  <si>
    <t>Kelsey Chandler</t>
  </si>
  <si>
    <t>leroy26@taylor.com</t>
  </si>
  <si>
    <t>001-063-936-6659x472</t>
  </si>
  <si>
    <t>75268 Simmons Ferry Suite 960, Craigfort, MA 37748</t>
  </si>
  <si>
    <t>Surveyor, mining</t>
  </si>
  <si>
    <t>Lopez Ltd</t>
  </si>
  <si>
    <t>1989-01-05</t>
  </si>
  <si>
    <t>2020-10-10</t>
  </si>
  <si>
    <t>Stephanie Clark</t>
  </si>
  <si>
    <t>eallen@yahoo.com</t>
  </si>
  <si>
    <t>001-485-873-4361</t>
  </si>
  <si>
    <t>658 Bryan Park, East Anthony, AK 58599</t>
  </si>
  <si>
    <t>Edwards and Sons</t>
  </si>
  <si>
    <t>1972-07-14</t>
  </si>
  <si>
    <t>2023-09-20</t>
  </si>
  <si>
    <t>Veronica Crosby</t>
  </si>
  <si>
    <t>samantha71@hale.org</t>
  </si>
  <si>
    <t>227-082-6425x60858</t>
  </si>
  <si>
    <t>57421 Ann Courts Suite 358, Danielside, CA 53824</t>
  </si>
  <si>
    <t>Chief Executive Officer</t>
  </si>
  <si>
    <t>Barnett-Oconnor</t>
  </si>
  <si>
    <t>2005-03-22</t>
  </si>
  <si>
    <t>2020-07-22</t>
  </si>
  <si>
    <t>Samantha Miller</t>
  </si>
  <si>
    <t>yolanda94@yahoo.com</t>
  </si>
  <si>
    <t>339.034.6760x559</t>
  </si>
  <si>
    <t>6649 Natalie Court Apt. 626, Davilabury, AL 66491</t>
  </si>
  <si>
    <t>Morrison-Shannon</t>
  </si>
  <si>
    <t>1982-07-18</t>
  </si>
  <si>
    <t>2015-12-28</t>
  </si>
  <si>
    <t>Mr. Jimmy Odonnell Jr.</t>
  </si>
  <si>
    <t>orrteresa@ray.com</t>
  </si>
  <si>
    <t>315.845.6099x05027</t>
  </si>
  <si>
    <t>48715 Parker Road Suite 701, South Douglas, NY 34511</t>
  </si>
  <si>
    <t>Little, Black and Barrera</t>
  </si>
  <si>
    <t>1996-10-21</t>
  </si>
  <si>
    <t>2022-02-09</t>
  </si>
  <si>
    <t>Michael Hanson</t>
  </si>
  <si>
    <t>hannah49@gmail.com</t>
  </si>
  <si>
    <t>759.113.4142</t>
  </si>
  <si>
    <t>8665 Mark Center Suite 643, New Elizabeth, IL 32348</t>
  </si>
  <si>
    <t>Richardson-Beasley</t>
  </si>
  <si>
    <t>1985-09-29</t>
  </si>
  <si>
    <t>2017-04-01</t>
  </si>
  <si>
    <t>Christopher Harris</t>
  </si>
  <si>
    <t>dawnramos@gmail.com</t>
  </si>
  <si>
    <t>001-122-861-0903x0605</t>
  </si>
  <si>
    <t>76271 Stephanie Trace Suite 196, New Jonathan, NE 50126</t>
  </si>
  <si>
    <t>Video editor</t>
  </si>
  <si>
    <t>Frederick-Schwartz</t>
  </si>
  <si>
    <t>2003-05-21</t>
  </si>
  <si>
    <t>2016-01-08</t>
  </si>
  <si>
    <t>Jennifer Wallace</t>
  </si>
  <si>
    <t>ekoch@brown.com</t>
  </si>
  <si>
    <t>1675033191</t>
  </si>
  <si>
    <t>Unit 0832 Box 8180, DPO AE 80953</t>
  </si>
  <si>
    <t>Armstrong Group</t>
  </si>
  <si>
    <t>1984-07-24</t>
  </si>
  <si>
    <t>2024-03-17</t>
  </si>
  <si>
    <t>Sharon Trevino</t>
  </si>
  <si>
    <t>jennifermontoya@pena.com</t>
  </si>
  <si>
    <t>(444)141-4247x7618</t>
  </si>
  <si>
    <t>Unit 4441 Box 9304, DPO AP 06127</t>
  </si>
  <si>
    <t>Ramos LLC</t>
  </si>
  <si>
    <t>1963-05-09</t>
  </si>
  <si>
    <t>Jacob Walker</t>
  </si>
  <si>
    <t>kristin51@yahoo.com</t>
  </si>
  <si>
    <t>001-293-486-5152x2057</t>
  </si>
  <si>
    <t>3288 Dana Throughway, West Danielle, SC 03978</t>
  </si>
  <si>
    <t>Franklin LLC</t>
  </si>
  <si>
    <t>2002-06-11</t>
  </si>
  <si>
    <t>2023-04-13</t>
  </si>
  <si>
    <t>Johnny Dalton</t>
  </si>
  <si>
    <t>holly73@yahoo.com</t>
  </si>
  <si>
    <t>(012)246-9593</t>
  </si>
  <si>
    <t>Unit 9953 Box 3920, DPO AA 09588</t>
  </si>
  <si>
    <t>Dietitian</t>
  </si>
  <si>
    <t>Lowe, Davis and Santos</t>
  </si>
  <si>
    <t>2007-05-19</t>
  </si>
  <si>
    <t>2025-02-27</t>
  </si>
  <si>
    <t>Larry Diaz</t>
  </si>
  <si>
    <t>zcole@yahoo.com</t>
  </si>
  <si>
    <t>+1-506-205-7715x67148</t>
  </si>
  <si>
    <t>234 Martinez Brooks, Port Catherineton, CT 58666</t>
  </si>
  <si>
    <t>Adkins Inc</t>
  </si>
  <si>
    <t>1963-05-19</t>
  </si>
  <si>
    <t>2022-12-05</t>
  </si>
  <si>
    <t>Julia Welch</t>
  </si>
  <si>
    <t>dadams@flores-phillips.info</t>
  </si>
  <si>
    <t>737.422.5544x6231</t>
  </si>
  <si>
    <t>767 Banks Meadow, New Staceymouth, ME 83123</t>
  </si>
  <si>
    <t>Porter-Ruiz</t>
  </si>
  <si>
    <t>2005-04-13</t>
  </si>
  <si>
    <t>2018-04-26</t>
  </si>
  <si>
    <t>Steven Johnson</t>
  </si>
  <si>
    <t>patrickrivera@hotmail.com</t>
  </si>
  <si>
    <t>+1-409-369-4446</t>
  </si>
  <si>
    <t>7873 Mclaughlin Wall Apt. 220, New Emily, NE 66962</t>
  </si>
  <si>
    <t>Alvarez, Curry and Jones</t>
  </si>
  <si>
    <t>1962-05-09</t>
  </si>
  <si>
    <t>2024-01-13</t>
  </si>
  <si>
    <t>Evan Jackson</t>
  </si>
  <si>
    <t>aaronrivera@hotmail.com</t>
  </si>
  <si>
    <t>299-942-1191</t>
  </si>
  <si>
    <t>919 Danielle Spring Suite 851, Gabrielashire, WY 61787</t>
  </si>
  <si>
    <t>Sound technician, broadcasting/film/video</t>
  </si>
  <si>
    <t>Sanchez Group</t>
  </si>
  <si>
    <t>1966-12-18</t>
  </si>
  <si>
    <t>2017-11-03</t>
  </si>
  <si>
    <t>Edward Ali</t>
  </si>
  <si>
    <t>matthew03@johnson.net</t>
  </si>
  <si>
    <t>046.818.1739x890</t>
  </si>
  <si>
    <t>31862 Johnson Ramp, New John, CO 61224</t>
  </si>
  <si>
    <t>Bowers-Wright</t>
  </si>
  <si>
    <t>2001-04-06</t>
  </si>
  <si>
    <t>Don Jenkins</t>
  </si>
  <si>
    <t>carolyn06@yahoo.com</t>
  </si>
  <si>
    <t>(556)881-8064x976</t>
  </si>
  <si>
    <t>60944 Victoria Tunnel Suite 315, Wrightview, OR 23111</t>
  </si>
  <si>
    <t>Electronics engineer</t>
  </si>
  <si>
    <t>Miller, Bryan and Pratt</t>
  </si>
  <si>
    <t>2000-01-23</t>
  </si>
  <si>
    <t>2021-11-09</t>
  </si>
  <si>
    <t>Meghan Foster</t>
  </si>
  <si>
    <t>tross@haney-berger.biz</t>
  </si>
  <si>
    <t>(280)617-2978x89153</t>
  </si>
  <si>
    <t>303 Andrew Ramp, Lake Christinebury, KS 48419</t>
  </si>
  <si>
    <t>Summers, Cunningham and Castro</t>
  </si>
  <si>
    <t>1979-09-30</t>
  </si>
  <si>
    <t>2015-08-21</t>
  </si>
  <si>
    <t>Bridget Brown</t>
  </si>
  <si>
    <t>juliewilliams@gmail.com</t>
  </si>
  <si>
    <t>879.199.5981</t>
  </si>
  <si>
    <t>278 Kaylee Freeway Suite 917, Hogantown, KS 07959</t>
  </si>
  <si>
    <t>Market researcher</t>
  </si>
  <si>
    <t>Kaiser-Lozano</t>
  </si>
  <si>
    <t>1978-05-18</t>
  </si>
  <si>
    <t>2025-02-15</t>
  </si>
  <si>
    <t>blairalyssa@santana.biz</t>
  </si>
  <si>
    <t>718.780.1196x8020</t>
  </si>
  <si>
    <t>810 Brandon Greens, Devinburgh, IA 79542</t>
  </si>
  <si>
    <t>Hoffman, Manning and Harvey</t>
  </si>
  <si>
    <t>2002-12-21</t>
  </si>
  <si>
    <t>2022-03-25</t>
  </si>
  <si>
    <t>Bradley Murray</t>
  </si>
  <si>
    <t>maldonadoerik@thompson.com</t>
  </si>
  <si>
    <t>(261)782-6143</t>
  </si>
  <si>
    <t>33736 Moran Estate, East Rickyburgh, OR 80677</t>
  </si>
  <si>
    <t>Lopez, Young and Stanley</t>
  </si>
  <si>
    <t>1995-11-21</t>
  </si>
  <si>
    <t>2024-12-24</t>
  </si>
  <si>
    <t>Douglas Hurley</t>
  </si>
  <si>
    <t>johnsonlatoya@chavez.biz</t>
  </si>
  <si>
    <t>5879313533</t>
  </si>
  <si>
    <t>Unit 9371 Box 7515, DPO AA 89967</t>
  </si>
  <si>
    <t>Careers information officer</t>
  </si>
  <si>
    <t>Davis, Carroll and Webb</t>
  </si>
  <si>
    <t>1995-04-18</t>
  </si>
  <si>
    <t>2017-11-04</t>
  </si>
  <si>
    <t>Christopher Wright</t>
  </si>
  <si>
    <t>butlerchristopher@robertson.net</t>
  </si>
  <si>
    <t>001-133-568-1443</t>
  </si>
  <si>
    <t>0493 Mary Loop Suite 862, North Fernando, TN 48218</t>
  </si>
  <si>
    <t>Buyer, industrial</t>
  </si>
  <si>
    <t>Walker-Booker</t>
  </si>
  <si>
    <t>1996-04-08</t>
  </si>
  <si>
    <t>2016-08-30</t>
  </si>
  <si>
    <t>Robert Clark</t>
  </si>
  <si>
    <t>stephaniehunter@gmail.com</t>
  </si>
  <si>
    <t>987.622.9545</t>
  </si>
  <si>
    <t>99129 Hernandez Mount, Brownside, AL 16398</t>
  </si>
  <si>
    <t>Production manager</t>
  </si>
  <si>
    <t>Weber, Khan and Jackson</t>
  </si>
  <si>
    <t>1976-03-17</t>
  </si>
  <si>
    <t>2017-08-04</t>
  </si>
  <si>
    <t>Cindy Fuller</t>
  </si>
  <si>
    <t>gibbsashley@shelton.com</t>
  </si>
  <si>
    <t>276-282-8141</t>
  </si>
  <si>
    <t>1253 Adrian Isle, Parkerton, ND 47937</t>
  </si>
  <si>
    <t>Sherman-Smith</t>
  </si>
  <si>
    <t>1987-10-01</t>
  </si>
  <si>
    <t>2017-03-22</t>
  </si>
  <si>
    <t>Chris Walker</t>
  </si>
  <si>
    <t>esingh@peterson.biz</t>
  </si>
  <si>
    <t>371-089-6548</t>
  </si>
  <si>
    <t>609 Skinner Course, Lake Teresa, MA 96947</t>
  </si>
  <si>
    <t>Cole Inc</t>
  </si>
  <si>
    <t>1988-07-24</t>
  </si>
  <si>
    <t>2016-04-04</t>
  </si>
  <si>
    <t>Denise Singleton</t>
  </si>
  <si>
    <t>vaustin@perez.biz</t>
  </si>
  <si>
    <t>957-808-3695x38904</t>
  </si>
  <si>
    <t>68205 Tristan Turnpike Suite 799, Garretttown, TX 17644</t>
  </si>
  <si>
    <t>Ray, Hughes and Moore</t>
  </si>
  <si>
    <t>1965-03-29</t>
  </si>
  <si>
    <t>2022-05-23</t>
  </si>
  <si>
    <t>Julie Eaton</t>
  </si>
  <si>
    <t>weberdenise@johnson.com</t>
  </si>
  <si>
    <t>(217)390-6226x5312</t>
  </si>
  <si>
    <t>2057 Weaver Mountain Suite 922, Sydneyton, IL 59448</t>
  </si>
  <si>
    <t>Combs-Sandoval</t>
  </si>
  <si>
    <t>1979-04-03</t>
  </si>
  <si>
    <t>2023-11-29</t>
  </si>
  <si>
    <t>Kayla Gordon</t>
  </si>
  <si>
    <t>marycherry@charles-harris.org</t>
  </si>
  <si>
    <t>546-502-7446x0554</t>
  </si>
  <si>
    <t>2583 Christopher Pines Suite 752, Port Lisa, UT 93377</t>
  </si>
  <si>
    <t>Beck PLC</t>
  </si>
  <si>
    <t>1965-07-20</t>
  </si>
  <si>
    <t>2016-11-30</t>
  </si>
  <si>
    <t>Brent Larson</t>
  </si>
  <si>
    <t>matthewray@hotmail.com</t>
  </si>
  <si>
    <t>001-387-830-3467</t>
  </si>
  <si>
    <t>086 King Ridge, North Luismouth, WI 85623</t>
  </si>
  <si>
    <t>Fernandez and Sons</t>
  </si>
  <si>
    <t>1968-12-23</t>
  </si>
  <si>
    <t>2016-05-20</t>
  </si>
  <si>
    <t>Patrick Patton</t>
  </si>
  <si>
    <t>chloe62@hotmail.com</t>
  </si>
  <si>
    <t>833-606-2332x27407</t>
  </si>
  <si>
    <t>581 Alejandra Lane Suite 980, North Chad, GA 46323</t>
  </si>
  <si>
    <t>Barnes, Russell and Hendricks</t>
  </si>
  <si>
    <t>1959-12-05</t>
  </si>
  <si>
    <t>2017-08-15</t>
  </si>
  <si>
    <t>Linda Williams</t>
  </si>
  <si>
    <t>bfreeman@gmail.com</t>
  </si>
  <si>
    <t>999-300-3822x424</t>
  </si>
  <si>
    <t>USNS Bass, FPO AE 17067</t>
  </si>
  <si>
    <t>Mcintosh, Smith and Taylor</t>
  </si>
  <si>
    <t>1983-01-30</t>
  </si>
  <si>
    <t>2024-07-02</t>
  </si>
  <si>
    <t>Cynthia Odonnell</t>
  </si>
  <si>
    <t>dawn67@burnett.biz</t>
  </si>
  <si>
    <t>(105)678-8123x2821</t>
  </si>
  <si>
    <t>74783 Madison Lock Apt. 987, West Annafurt, IN 63990</t>
  </si>
  <si>
    <t>Maintenance engineer</t>
  </si>
  <si>
    <t>Davis and Sons</t>
  </si>
  <si>
    <t>1993-03-06</t>
  </si>
  <si>
    <t>Joshua Wade</t>
  </si>
  <si>
    <t>valenciacarolyn@hotmail.com</t>
  </si>
  <si>
    <t>001-735-486-7264x726</t>
  </si>
  <si>
    <t>43252 Lee Pike Suite 948, Tiffanybury, OK 56541</t>
  </si>
  <si>
    <t>Radio broadcast assistant</t>
  </si>
  <si>
    <t>Gonzales Group</t>
  </si>
  <si>
    <t>1995-01-02</t>
  </si>
  <si>
    <t>2020-08-13</t>
  </si>
  <si>
    <t>Madison Morgan</t>
  </si>
  <si>
    <t>qjohnson@williams.com</t>
  </si>
  <si>
    <t>976.867.0972</t>
  </si>
  <si>
    <t>00124 Sarah Villages, Davidchester, VT 23992</t>
  </si>
  <si>
    <t>Scott Ltd</t>
  </si>
  <si>
    <t>1971-07-01</t>
  </si>
  <si>
    <t>2020-01-20</t>
  </si>
  <si>
    <t>Terry Thomas</t>
  </si>
  <si>
    <t>martinjones@gmail.com</t>
  </si>
  <si>
    <t>763.033.5175x967</t>
  </si>
  <si>
    <t>9560 Carlos Points, North Ericshire, MD 31733</t>
  </si>
  <si>
    <t>Huffman, Goodman and Salazar</t>
  </si>
  <si>
    <t>2007-01-22</t>
  </si>
  <si>
    <t>2022-12-02</t>
  </si>
  <si>
    <t>Sara Hill</t>
  </si>
  <si>
    <t>taracase@tucker.info</t>
  </si>
  <si>
    <t>353.165.3439</t>
  </si>
  <si>
    <t>07877 Timothy Divide Suite 788, Brownview, CT 90626</t>
  </si>
  <si>
    <t>Rogers, Olsen and Foster</t>
  </si>
  <si>
    <t>1994-09-13</t>
  </si>
  <si>
    <t>2019-01-12</t>
  </si>
  <si>
    <t>Elizabeth Rice</t>
  </si>
  <si>
    <t>richardanthony@hotmail.com</t>
  </si>
  <si>
    <t>4598844667</t>
  </si>
  <si>
    <t>91537 Laura Pike, Pinedastad, WY 51924</t>
  </si>
  <si>
    <t>Sport and exercise psychologist</t>
  </si>
  <si>
    <t>Powell LLC</t>
  </si>
  <si>
    <t>1994-01-03</t>
  </si>
  <si>
    <t>2018-10-12</t>
  </si>
  <si>
    <t>Sonya Kaufman</t>
  </si>
  <si>
    <t>popechad@ferguson.org</t>
  </si>
  <si>
    <t>+1-669-926-4442</t>
  </si>
  <si>
    <t>69721 Myers Isle, South Nicole, MS 48507</t>
  </si>
  <si>
    <t>Conrad-Joseph</t>
  </si>
  <si>
    <t>1974-12-21</t>
  </si>
  <si>
    <t>2016-02-27</t>
  </si>
  <si>
    <t>Crystal Blankenship</t>
  </si>
  <si>
    <t>plane@erickson.com</t>
  </si>
  <si>
    <t>708.988.6712x84318</t>
  </si>
  <si>
    <t>2292 Nicholas Harbor, East Bradleyshire, WI 27038</t>
  </si>
  <si>
    <t>Network engineer</t>
  </si>
  <si>
    <t>1988-05-28</t>
  </si>
  <si>
    <t>2016-07-03</t>
  </si>
  <si>
    <t>Mary Brown</t>
  </si>
  <si>
    <t>mark69@richardson.info</t>
  </si>
  <si>
    <t>042-139-5545x56196</t>
  </si>
  <si>
    <t>1160 Davis Ferry, Matthewside, FL 75454</t>
  </si>
  <si>
    <t>Martin, Patel and Bullock</t>
  </si>
  <si>
    <t>1981-05-26</t>
  </si>
  <si>
    <t>2016-10-28</t>
  </si>
  <si>
    <t>Rebecca Lawson</t>
  </si>
  <si>
    <t>brianwatson@hotmail.com</t>
  </si>
  <si>
    <t>047-818-2077</t>
  </si>
  <si>
    <t>217 William Extension, South Leechester, MA 76436</t>
  </si>
  <si>
    <t>Rasmussen Inc</t>
  </si>
  <si>
    <t>1959-12-20</t>
  </si>
  <si>
    <t>2022-06-19</t>
  </si>
  <si>
    <t>Dustin Zhang</t>
  </si>
  <si>
    <t>jessicaallison@jones.com</t>
  </si>
  <si>
    <t>(189)524-5304</t>
  </si>
  <si>
    <t>86229 Cathy Summit Apt. 563, Gregoryfurt, SC 17189</t>
  </si>
  <si>
    <t>Reid-Hodges</t>
  </si>
  <si>
    <t>1991-12-11</t>
  </si>
  <si>
    <t>2023-01-04</t>
  </si>
  <si>
    <t>Rebecca Baker</t>
  </si>
  <si>
    <t>dylan55@hotmail.com</t>
  </si>
  <si>
    <t>384-231-3328</t>
  </si>
  <si>
    <t>1637 Anderson Dam, Deannabury, IL 96941</t>
  </si>
  <si>
    <t>Ophthalmologist</t>
  </si>
  <si>
    <t>Gordon-Ford</t>
  </si>
  <si>
    <t>1992-08-23</t>
  </si>
  <si>
    <t>2023-12-11</t>
  </si>
  <si>
    <t>Laura Sanchez</t>
  </si>
  <si>
    <t>nicholaswright@lewis-harrison.org</t>
  </si>
  <si>
    <t>001-464-742-1570x356</t>
  </si>
  <si>
    <t>35713 Keith Ridges, Gardnerside, WA 42357</t>
  </si>
  <si>
    <t>Ellis-Collins</t>
  </si>
  <si>
    <t>1963-04-14</t>
  </si>
  <si>
    <t>2018-03-06</t>
  </si>
  <si>
    <t>Timothy Johnson</t>
  </si>
  <si>
    <t>jessicagoodwin@hahn.info</t>
  </si>
  <si>
    <t>249.672.9008x6360</t>
  </si>
  <si>
    <t>3270 Brittany Mountain, Tuckerville, ND 09413</t>
  </si>
  <si>
    <t>Mckee Inc</t>
  </si>
  <si>
    <t>1979-12-12</t>
  </si>
  <si>
    <t>2023-05-18</t>
  </si>
  <si>
    <t>Dominique King</t>
  </si>
  <si>
    <t>phillipgutierrez@gmail.com</t>
  </si>
  <si>
    <t>745.492.1404x0660</t>
  </si>
  <si>
    <t>7819 Manuel Trail Apt. 454, Christinemouth, ME 34953</t>
  </si>
  <si>
    <t>Clark and Sons</t>
  </si>
  <si>
    <t>1987-03-16</t>
  </si>
  <si>
    <t>2024-03-15</t>
  </si>
  <si>
    <t>Emily Wilson</t>
  </si>
  <si>
    <t>caitlyn25@hotmail.com</t>
  </si>
  <si>
    <t>001-089-037-2149</t>
  </si>
  <si>
    <t>1174 Douglas Ports, Cynthiamouth, MO 71266</t>
  </si>
  <si>
    <t>Medical secretary</t>
  </si>
  <si>
    <t>Brown-Flores</t>
  </si>
  <si>
    <t>1960-09-27</t>
  </si>
  <si>
    <t>2023-05-26</t>
  </si>
  <si>
    <t>Carmen Bradley</t>
  </si>
  <si>
    <t>marywebb@hotmail.com</t>
  </si>
  <si>
    <t>578-165-2739</t>
  </si>
  <si>
    <t>3754 Edwards Springs Apt. 030, East Victoriamouth, UT 14401</t>
  </si>
  <si>
    <t>Accountant, chartered management</t>
  </si>
  <si>
    <t>Williamson, Kennedy and Estes</t>
  </si>
  <si>
    <t>1966-06-11</t>
  </si>
  <si>
    <t>2018-04-08</t>
  </si>
  <si>
    <t>Terry Rodriguez</t>
  </si>
  <si>
    <t>mcclainmichael@yahoo.com</t>
  </si>
  <si>
    <t>088-126-4817x542</t>
  </si>
  <si>
    <t>795 Scott Field Apt. 270, Port Kristin, RI 20811</t>
  </si>
  <si>
    <t>Stafford-Wilkinson</t>
  </si>
  <si>
    <t>1981-03-17</t>
  </si>
  <si>
    <t>2020-01-17</t>
  </si>
  <si>
    <t>Kyle Mcclure Dds</t>
  </si>
  <si>
    <t>adamreed@leonard.com</t>
  </si>
  <si>
    <t>(540)170-3538</t>
  </si>
  <si>
    <t>5023 Harris Islands Apt. 032, Andrewchester, NV 08438</t>
  </si>
  <si>
    <t>Psychologist, sport and exercise</t>
  </si>
  <si>
    <t>Tanner, Mccoy and Lynch</t>
  </si>
  <si>
    <t>1982-05-29</t>
  </si>
  <si>
    <t>2021-06-18</t>
  </si>
  <si>
    <t>Brandi Chen</t>
  </si>
  <si>
    <t>aliciacampbell@campbell.org</t>
  </si>
  <si>
    <t>886-522-9677</t>
  </si>
  <si>
    <t>5836 Valerie Summit, Frankbury, KY 75889</t>
  </si>
  <si>
    <t>Editor, commissioning</t>
  </si>
  <si>
    <t>Reese-Hanna</t>
  </si>
  <si>
    <t>1967-05-10</t>
  </si>
  <si>
    <t>2023-10-17</t>
  </si>
  <si>
    <t>David Henry</t>
  </si>
  <si>
    <t>jessica07@hotmail.com</t>
  </si>
  <si>
    <t>933-611-6581x086</t>
  </si>
  <si>
    <t>5781 Garza Glens Apt. 749, Port Jeff, SC 52761</t>
  </si>
  <si>
    <t>Dunn Group</t>
  </si>
  <si>
    <t>1977-07-11</t>
  </si>
  <si>
    <t>2019-12-02</t>
  </si>
  <si>
    <t>Michael Schmidt</t>
  </si>
  <si>
    <t>stephenbowman@gmail.com</t>
  </si>
  <si>
    <t>547.015.7075x15162</t>
  </si>
  <si>
    <t>USNS Delgado, FPO AE 99568</t>
  </si>
  <si>
    <t>Interpreter</t>
  </si>
  <si>
    <t>Odom, Carey and Brown</t>
  </si>
  <si>
    <t>2002-03-06</t>
  </si>
  <si>
    <t>2016-02-13</t>
  </si>
  <si>
    <t>Chase Simmons</t>
  </si>
  <si>
    <t>jameslopez@henry-bush.com</t>
  </si>
  <si>
    <t>224.770.3609</t>
  </si>
  <si>
    <t>61132 Roberts Skyway, Lake Haley, AK 14898</t>
  </si>
  <si>
    <t>Rhodes-Carr</t>
  </si>
  <si>
    <t>1982-11-23</t>
  </si>
  <si>
    <t>2021-10-27</t>
  </si>
  <si>
    <t>Sarah Mcdonald</t>
  </si>
  <si>
    <t>evan45@ashley-carroll.com</t>
  </si>
  <si>
    <t>967-710-3663x1016</t>
  </si>
  <si>
    <t>5851 Austin Inlet Suite 843, North Sarahberg, VA 25847</t>
  </si>
  <si>
    <t>Scientist, research (physical sciences)</t>
  </si>
  <si>
    <t>Mcdonald-Welch</t>
  </si>
  <si>
    <t>1976-05-12</t>
  </si>
  <si>
    <t>2021-04-09</t>
  </si>
  <si>
    <t>Samuel Ryan</t>
  </si>
  <si>
    <t>sandygilmore@gmail.com</t>
  </si>
  <si>
    <t>983.694.6919x56179</t>
  </si>
  <si>
    <t>612 Norman Fork, New Ryanmouth, WA 31963</t>
  </si>
  <si>
    <t>Flowers-Sherman</t>
  </si>
  <si>
    <t>1973-06-19</t>
  </si>
  <si>
    <t>2019-01-03</t>
  </si>
  <si>
    <t>Cory Smith</t>
  </si>
  <si>
    <t>chavezmelanie@hotmail.com</t>
  </si>
  <si>
    <t>+1-584-332-1895</t>
  </si>
  <si>
    <t>52860 Meyer Forges, Emilymouth, OR 96965</t>
  </si>
  <si>
    <t>Health service manager</t>
  </si>
  <si>
    <t>Bray-Taylor</t>
  </si>
  <si>
    <t>Mrs. Rachel Graves Md</t>
  </si>
  <si>
    <t>austinamanda@frank.org</t>
  </si>
  <si>
    <t>+1-871-696-6875</t>
  </si>
  <si>
    <t>37383 Farrell Isle, Suzanneburgh, AK 10551</t>
  </si>
  <si>
    <t>Henry Inc</t>
  </si>
  <si>
    <t>1973-04-16</t>
  </si>
  <si>
    <t>Aaron Phillips</t>
  </si>
  <si>
    <t>escott@gmail.com</t>
  </si>
  <si>
    <t>304-123-9069x457</t>
  </si>
  <si>
    <t>259 Janet Mission, Port Vincentberg, CO 47480</t>
  </si>
  <si>
    <t>Powell-Cummings</t>
  </si>
  <si>
    <t>1981-05-04</t>
  </si>
  <si>
    <t>2021-01-26</t>
  </si>
  <si>
    <t>Kathleen Lawrence</t>
  </si>
  <si>
    <t>kathleen73@collins.org</t>
  </si>
  <si>
    <t>001-348-717-8062x548</t>
  </si>
  <si>
    <t>USNV Turner, FPO AE 57760</t>
  </si>
  <si>
    <t>Plant breeder/geneticist</t>
  </si>
  <si>
    <t>Stout-Avery</t>
  </si>
  <si>
    <t>1998-10-11</t>
  </si>
  <si>
    <t>2023-10-12</t>
  </si>
  <si>
    <t>Kristin Morrison</t>
  </si>
  <si>
    <t>barbara19@hotmail.com</t>
  </si>
  <si>
    <t>(279)361-9307x772</t>
  </si>
  <si>
    <t>490 Martinez Lane Apt. 869, Mooreport, WY 08753</t>
  </si>
  <si>
    <t>Kaiser-Flores</t>
  </si>
  <si>
    <t>1965-05-14</t>
  </si>
  <si>
    <t>2018-06-13</t>
  </si>
  <si>
    <t>Denise Stanley</t>
  </si>
  <si>
    <t>hudsonjennifer@gmail.com</t>
  </si>
  <si>
    <t>011-204-8220</t>
  </si>
  <si>
    <t>6456 Edwards Pass Apt. 109, Newmanmouth, OR 05533</t>
  </si>
  <si>
    <t>Programmer, applications</t>
  </si>
  <si>
    <t>Bell, Padilla and Turner</t>
  </si>
  <si>
    <t>1998-11-14</t>
  </si>
  <si>
    <t>Cynthia Wood</t>
  </si>
  <si>
    <t>kcaldwell@short.com</t>
  </si>
  <si>
    <t>001-272-009-0423x3614</t>
  </si>
  <si>
    <t>828 Roach Freeway Apt. 972, Charlesmouth, IA 27061</t>
  </si>
  <si>
    <t>Music therapist</t>
  </si>
  <si>
    <t>Campbell, Powers and Rodriguez</t>
  </si>
  <si>
    <t>1977-05-11</t>
  </si>
  <si>
    <t>2018-07-16</t>
  </si>
  <si>
    <t>Kathleen Griffin</t>
  </si>
  <si>
    <t>charlesmiles@villarreal.net</t>
  </si>
  <si>
    <t>+1-464-049-9219</t>
  </si>
  <si>
    <t>359 Valdez Village, Maryview, ME 98325</t>
  </si>
  <si>
    <t>Mathis, Wright and Fuller</t>
  </si>
  <si>
    <t>1990-03-04</t>
  </si>
  <si>
    <t>2025-04-14</t>
  </si>
  <si>
    <t>Erica Curtis</t>
  </si>
  <si>
    <t>lisa54@harrington.info</t>
  </si>
  <si>
    <t>+1-168-925-5549x343</t>
  </si>
  <si>
    <t>68303 Brenda Cape, North Elizabeth, CO 24200</t>
  </si>
  <si>
    <t>Programme researcher, broadcasting/film/video</t>
  </si>
  <si>
    <t>Perkins-Flynn</t>
  </si>
  <si>
    <t>1989-02-25</t>
  </si>
  <si>
    <t>2019-01-02</t>
  </si>
  <si>
    <t>Elizabeth Anderson</t>
  </si>
  <si>
    <t>hwallace@cantu.com</t>
  </si>
  <si>
    <t>497-472-0179x59461</t>
  </si>
  <si>
    <t>8682 Trujillo Ferry Suite 757, North Joshua, AL 02494</t>
  </si>
  <si>
    <t>Casey Ltd</t>
  </si>
  <si>
    <t>1972-01-25</t>
  </si>
  <si>
    <t>2019-09-14</t>
  </si>
  <si>
    <t>Bruce Huynh</t>
  </si>
  <si>
    <t>roberto86@cox.org</t>
  </si>
  <si>
    <t>356-163-3870x58058</t>
  </si>
  <si>
    <t>0863 Donald Expressway Apt. 991, Powellchester, DE 89848</t>
  </si>
  <si>
    <t>Travel agency manager</t>
  </si>
  <si>
    <t>Montgomery-Hampton</t>
  </si>
  <si>
    <t>1986-08-30</t>
  </si>
  <si>
    <t>2020-06-21</t>
  </si>
  <si>
    <t>Kathryn Sanchez</t>
  </si>
  <si>
    <t>juliascott@hotmail.com</t>
  </si>
  <si>
    <t>+1-782-139-5808x40222</t>
  </si>
  <si>
    <t>28112 Olivia Bypass, Brandonton, ID 70961</t>
  </si>
  <si>
    <t>Klein and Sons</t>
  </si>
  <si>
    <t>1985-03-18</t>
  </si>
  <si>
    <t>Danielle Woods</t>
  </si>
  <si>
    <t>scottwilliam@hotmail.com</t>
  </si>
  <si>
    <t>2523623374</t>
  </si>
  <si>
    <t>USNV Carpenter, FPO AP 75147</t>
  </si>
  <si>
    <t>Diagnostic radiographer</t>
  </si>
  <si>
    <t>Gray and Sons</t>
  </si>
  <si>
    <t>1989-03-25</t>
  </si>
  <si>
    <t>2018-07-24</t>
  </si>
  <si>
    <t>Katelyn Robinson</t>
  </si>
  <si>
    <t>earl81@foster.com</t>
  </si>
  <si>
    <t>(299)388-1709x593</t>
  </si>
  <si>
    <t>43553 Michael Canyon Suite 725, Jonesport, FL 49832</t>
  </si>
  <si>
    <t>Speech and language therapist</t>
  </si>
  <si>
    <t>Smith, Mckay and Gilbert</t>
  </si>
  <si>
    <t>1983-08-31</t>
  </si>
  <si>
    <t>2023-09-14</t>
  </si>
  <si>
    <t>Sherry Rodriguez</t>
  </si>
  <si>
    <t>ijones@quinn-parrish.com</t>
  </si>
  <si>
    <t>904-813-5446</t>
  </si>
  <si>
    <t>88607 Sean Spurs Suite 132, Lake Heatherstad, TX 55179</t>
  </si>
  <si>
    <t>Simpson-Mitchell</t>
  </si>
  <si>
    <t>1977-04-14</t>
  </si>
  <si>
    <t>2016-04-05</t>
  </si>
  <si>
    <t>Lisa Park</t>
  </si>
  <si>
    <t>danielbaker@buchanan.com</t>
  </si>
  <si>
    <t>(458)704-6540x48226</t>
  </si>
  <si>
    <t>PSC 0598, Box 4703, APO AP 99484</t>
  </si>
  <si>
    <t>Tucker-Carlson</t>
  </si>
  <si>
    <t>1995-09-10</t>
  </si>
  <si>
    <t>Alec Davis</t>
  </si>
  <si>
    <t>clopez@hotmail.com</t>
  </si>
  <si>
    <t>868-179-2396x820</t>
  </si>
  <si>
    <t>28208 Crystal Viaduct, Kyleshire, DE 26512</t>
  </si>
  <si>
    <t>Ward Group</t>
  </si>
  <si>
    <t>1963-06-15</t>
  </si>
  <si>
    <t>2017-10-10</t>
  </si>
  <si>
    <t>Mrs. Holly Carr Md</t>
  </si>
  <si>
    <t>ltate@brown.com</t>
  </si>
  <si>
    <t>+1-652-948-9393x0457</t>
  </si>
  <si>
    <t>40623 Kim Plaza, Mccartytown, FL 39695</t>
  </si>
  <si>
    <t>Lawson-Bennett</t>
  </si>
  <si>
    <t>Tracy Campbell</t>
  </si>
  <si>
    <t>cannonwayne@yahoo.com</t>
  </si>
  <si>
    <t>(389)230-0146x85465</t>
  </si>
  <si>
    <t>PSC 5136, Box 1673, APO AA 12147</t>
  </si>
  <si>
    <t>Evans-Martin</t>
  </si>
  <si>
    <t>1960-03-29</t>
  </si>
  <si>
    <t>2016-05-19</t>
  </si>
  <si>
    <t>Jessica Reynolds</t>
  </si>
  <si>
    <t>aguilardebra@gmail.com</t>
  </si>
  <si>
    <t>865.148.0900</t>
  </si>
  <si>
    <t>622 Tammy Ramp, Fosterland, MN 50109</t>
  </si>
  <si>
    <t>Wilson Group</t>
  </si>
  <si>
    <t>1995-11-17</t>
  </si>
  <si>
    <t>Jacob Marquez</t>
  </si>
  <si>
    <t>dmartinez@yahoo.com</t>
  </si>
  <si>
    <t>001-955-259-2787</t>
  </si>
  <si>
    <t>0881 Watson Crossroad Apt. 819, Jacksonport, WY 91317</t>
  </si>
  <si>
    <t>Analytical chemist</t>
  </si>
  <si>
    <t>West-Juarez</t>
  </si>
  <si>
    <t>1993-04-14</t>
  </si>
  <si>
    <t>2025-06-14</t>
  </si>
  <si>
    <t>Jeffrey Raymond</t>
  </si>
  <si>
    <t>erinburke@norman-rivera.com</t>
  </si>
  <si>
    <t>+1-067-368-0033</t>
  </si>
  <si>
    <t>843 Barrera Lane Apt. 595, Port Nicolemouth, WI 79835</t>
  </si>
  <si>
    <t>2003-10-12</t>
  </si>
  <si>
    <t>2023-10-16</t>
  </si>
  <si>
    <t>Justin Cruz Dds</t>
  </si>
  <si>
    <t>jacobscory@yahoo.com</t>
  </si>
  <si>
    <t>177.968.1835x506</t>
  </si>
  <si>
    <t>2145 Kelsey Overpass, South Derek, CO 03414</t>
  </si>
  <si>
    <t>Christensen, Wiley and Gibson</t>
  </si>
  <si>
    <t>1975-10-02</t>
  </si>
  <si>
    <t>2021-12-05</t>
  </si>
  <si>
    <t>Jennifer Gutierrez</t>
  </si>
  <si>
    <t>donna45@hotmail.com</t>
  </si>
  <si>
    <t>5127607710</t>
  </si>
  <si>
    <t>PSC 5234, Box 2272, APO AA 30537</t>
  </si>
  <si>
    <t>Anderson-Ewing</t>
  </si>
  <si>
    <t>1965-10-25</t>
  </si>
  <si>
    <t>2015-10-28</t>
  </si>
  <si>
    <t>Mrs. Kristie Adams</t>
  </si>
  <si>
    <t>uhenderson@mcpherson.com</t>
  </si>
  <si>
    <t>001-152-514-6589</t>
  </si>
  <si>
    <t>3948 Gloria Ville Apt. 420, North Jacquelineborough, WV 59022</t>
  </si>
  <si>
    <t>Fuentes-Espinoza</t>
  </si>
  <si>
    <t>1980-04-21</t>
  </si>
  <si>
    <t>2016-05-12</t>
  </si>
  <si>
    <t>Bailey Weiss</t>
  </si>
  <si>
    <t>rebecca68@scott.org</t>
  </si>
  <si>
    <t>+1-075-659-2529x5412</t>
  </si>
  <si>
    <t>2253 Cody Pines, Lanestad, NH 10899</t>
  </si>
  <si>
    <t>Santiago-Larson</t>
  </si>
  <si>
    <t>1974-01-17</t>
  </si>
  <si>
    <t>2016-03-18</t>
  </si>
  <si>
    <t>Tony Munoz</t>
  </si>
  <si>
    <t>yangstacy@hotmail.com</t>
  </si>
  <si>
    <t>001-224-436-8309x8559</t>
  </si>
  <si>
    <t>PSC 3535, Box 3949, APO AA 52351</t>
  </si>
  <si>
    <t>Facilities manager</t>
  </si>
  <si>
    <t>Moss and Sons</t>
  </si>
  <si>
    <t>1986-08-04</t>
  </si>
  <si>
    <t>2019-02-10</t>
  </si>
  <si>
    <t>Victoria Wright</t>
  </si>
  <si>
    <t>georgejohnson@hotmail.com</t>
  </si>
  <si>
    <t>651-915-8779</t>
  </si>
  <si>
    <t>022 Wright Junction, New Tanyaburgh, DC 09128</t>
  </si>
  <si>
    <t>Designer, multimedia</t>
  </si>
  <si>
    <t>1964-07-13</t>
  </si>
  <si>
    <t>Crystal Collins</t>
  </si>
  <si>
    <t>tara11@hotmail.com</t>
  </si>
  <si>
    <t>+1-961-257-6340x11912</t>
  </si>
  <si>
    <t>72821 Mitchell Drives Suite 245, Ortizfurt, OK 65434</t>
  </si>
  <si>
    <t>Wade-Walters</t>
  </si>
  <si>
    <t>2024-06-09</t>
  </si>
  <si>
    <t>Mark Aguilar</t>
  </si>
  <si>
    <t>sheila14@hanson-irwin.biz</t>
  </si>
  <si>
    <t>(158)251-4873</t>
  </si>
  <si>
    <t>1672 Sanchez Ports, Stevensonburgh, MI 39735</t>
  </si>
  <si>
    <t>Martin Inc</t>
  </si>
  <si>
    <t>1980-12-05</t>
  </si>
  <si>
    <t>2017-06-14</t>
  </si>
  <si>
    <t>Megan Wagner</t>
  </si>
  <si>
    <t>smithryan@hotmail.com</t>
  </si>
  <si>
    <t>143.115.1188x1265</t>
  </si>
  <si>
    <t>3535 Annette Rue Suite 678, Laurenborough, WA 87486</t>
  </si>
  <si>
    <t>Film/video editor</t>
  </si>
  <si>
    <t>Richard, Barton and Garcia</t>
  </si>
  <si>
    <t>1966-08-11</t>
  </si>
  <si>
    <t>2016-11-19</t>
  </si>
  <si>
    <t>Traci Kemp</t>
  </si>
  <si>
    <t>browndon@hotmail.com</t>
  </si>
  <si>
    <t>093-040-2742</t>
  </si>
  <si>
    <t>201 King Courts Apt. 316, North Oliviaton, WA 18691</t>
  </si>
  <si>
    <t>Miller-Jones</t>
  </si>
  <si>
    <t>2000-07-06</t>
  </si>
  <si>
    <t>2020-05-09</t>
  </si>
  <si>
    <t>Micheal Morris</t>
  </si>
  <si>
    <t>gnorton@burton-browning.com</t>
  </si>
  <si>
    <t>(181)626-6068x05071</t>
  </si>
  <si>
    <t>57574 Brandon Island, East Christophertown, GA 99594</t>
  </si>
  <si>
    <t>Pena-Spencer</t>
  </si>
  <si>
    <t>1959-12-31</t>
  </si>
  <si>
    <t>Jennifer Lopez</t>
  </si>
  <si>
    <t>uturner@yahoo.com</t>
  </si>
  <si>
    <t>962.695.5362x686</t>
  </si>
  <si>
    <t>95785 Chapman Wells Apt. 251, Port Josephport, NY 17260</t>
  </si>
  <si>
    <t>Equities trader</t>
  </si>
  <si>
    <t>Foster-Griffin</t>
  </si>
  <si>
    <t>2002-03-03</t>
  </si>
  <si>
    <t>2021-11-12</t>
  </si>
  <si>
    <t>Jennifer Adams Dds</t>
  </si>
  <si>
    <t>brian46@ward.com</t>
  </si>
  <si>
    <t>+1-356-360-3118x29272</t>
  </si>
  <si>
    <t>3673 Adams Mission Suite 507, Port Christophertown, SD 69956</t>
  </si>
  <si>
    <t>Lyons, Brooks and Kim</t>
  </si>
  <si>
    <t>1975-03-22</t>
  </si>
  <si>
    <t>2016-02-09</t>
  </si>
  <si>
    <t>Wanda Bradley</t>
  </si>
  <si>
    <t>smithsean@mills-foster.com</t>
  </si>
  <si>
    <t>+1-254-663-4559x002</t>
  </si>
  <si>
    <t>1646 Michele Points, Lake Michaelhaven, KY 86602</t>
  </si>
  <si>
    <t>Miller-Perez</t>
  </si>
  <si>
    <t>1964-05-05</t>
  </si>
  <si>
    <t>2024-10-29</t>
  </si>
  <si>
    <t>Maria Jarvis</t>
  </si>
  <si>
    <t>jthomas@miller-butler.com</t>
  </si>
  <si>
    <t>210-357-8495x5518</t>
  </si>
  <si>
    <t>281 Gardner Stream Suite 522, Keithville, NY 33201</t>
  </si>
  <si>
    <t>Recycling officer</t>
  </si>
  <si>
    <t>Obrien-Stafford</t>
  </si>
  <si>
    <t>1997-05-21</t>
  </si>
  <si>
    <t>2022-10-11</t>
  </si>
  <si>
    <t>Ashley Casey</t>
  </si>
  <si>
    <t>jimenezmelanie@gmail.com</t>
  </si>
  <si>
    <t>594-945-2294</t>
  </si>
  <si>
    <t>614 Denise Port, Wongshire, NJ 44466</t>
  </si>
  <si>
    <t>Haynes-Hinton</t>
  </si>
  <si>
    <t>1991-03-03</t>
  </si>
  <si>
    <t>2021-10-18</t>
  </si>
  <si>
    <t>Toni Cummings</t>
  </si>
  <si>
    <t>dixonsharon@tapia.info</t>
  </si>
  <si>
    <t>+1-272-441-3259</t>
  </si>
  <si>
    <t>764 Stewart Well, Franklinberg, HI 74109</t>
  </si>
  <si>
    <t>Snyder and Sons</t>
  </si>
  <si>
    <t>1960-10-09</t>
  </si>
  <si>
    <t>2020-07-23</t>
  </si>
  <si>
    <t>Elizabeth Carter</t>
  </si>
  <si>
    <t>kimberlygeorge@hansen.com</t>
  </si>
  <si>
    <t>+1-232-062-0043x483</t>
  </si>
  <si>
    <t>2645 Lee Causeway Suite 279, Port Michaelton, WA 33651</t>
  </si>
  <si>
    <t>Davis, Boone and Lawson</t>
  </si>
  <si>
    <t>2004-08-10</t>
  </si>
  <si>
    <t>2015-10-04</t>
  </si>
  <si>
    <t>Joshua Powers</t>
  </si>
  <si>
    <t>normanpaige@mooney-trujillo.com</t>
  </si>
  <si>
    <t>750.266.7752</t>
  </si>
  <si>
    <t>4939 Christy Road Apt. 455, Campbellmouth, AL 43332</t>
  </si>
  <si>
    <t>Mcdaniel LLC</t>
  </si>
  <si>
    <t>2004-06-13</t>
  </si>
  <si>
    <t>Robert Lane</t>
  </si>
  <si>
    <t>matthew50@moore.info</t>
  </si>
  <si>
    <t>522-411-2939x05453</t>
  </si>
  <si>
    <t>5439 Nelson Curve, East Randyview, WY 44952</t>
  </si>
  <si>
    <t>Education officer, community</t>
  </si>
  <si>
    <t>Hicks Inc</t>
  </si>
  <si>
    <t>1987-03-10</t>
  </si>
  <si>
    <t>2016-11-06</t>
  </si>
  <si>
    <t>Sandra Becker</t>
  </si>
  <si>
    <t>hnguyen@hotmail.com</t>
  </si>
  <si>
    <t>988-686-9972x520</t>
  </si>
  <si>
    <t>USNV Scott, FPO AP 60694</t>
  </si>
  <si>
    <t>Montoya, Gomez and Hendricks</t>
  </si>
  <si>
    <t>1990-03-19</t>
  </si>
  <si>
    <t>2022-09-11</t>
  </si>
  <si>
    <t>Seth Perry</t>
  </si>
  <si>
    <t>drakejustin@wood.net</t>
  </si>
  <si>
    <t>(383)118-4839x27041</t>
  </si>
  <si>
    <t>82521 Bradley Pines, Sandrashire, MO 71010</t>
  </si>
  <si>
    <t>Journalist, newspaper</t>
  </si>
  <si>
    <t>Thomas, Christian and Gomez</t>
  </si>
  <si>
    <t>1983-05-19</t>
  </si>
  <si>
    <t>2015-09-23</t>
  </si>
  <si>
    <t>Tammy Frost</t>
  </si>
  <si>
    <t>pshah@reeves.com</t>
  </si>
  <si>
    <t>+1-016-585-3948x520</t>
  </si>
  <si>
    <t>772 Thomas Flats Apt. 101, South Samantha, NE 64782</t>
  </si>
  <si>
    <t>Financial controller</t>
  </si>
  <si>
    <t>Hubbard LLC</t>
  </si>
  <si>
    <t>1960-05-21</t>
  </si>
  <si>
    <t>2025-01-30</t>
  </si>
  <si>
    <t>Calvin Fleming</t>
  </si>
  <si>
    <t>james69@yahoo.com</t>
  </si>
  <si>
    <t>938-329-9622</t>
  </si>
  <si>
    <t>PSC 6257, Box 5039, APO AA 72728</t>
  </si>
  <si>
    <t>Sampson, Hernandez and Robertson</t>
  </si>
  <si>
    <t>1978-11-08</t>
  </si>
  <si>
    <t>2022-12-30</t>
  </si>
  <si>
    <t>Donald Hernandez</t>
  </si>
  <si>
    <t>sandra68@wells-olsen.com</t>
  </si>
  <si>
    <t>(753)650-9962</t>
  </si>
  <si>
    <t>USNV Guerrero, FPO AA 87975</t>
  </si>
  <si>
    <t>Administrator</t>
  </si>
  <si>
    <t>Howard-Lawrence</t>
  </si>
  <si>
    <t>1974-07-28</t>
  </si>
  <si>
    <t>2016-03-26</t>
  </si>
  <si>
    <t>Lisa West</t>
  </si>
  <si>
    <t>katrinastewart@henderson.org</t>
  </si>
  <si>
    <t>001-661-422-5447x7072</t>
  </si>
  <si>
    <t>865 Martinez Hills Suite 427, South Melanie, AZ 45915</t>
  </si>
  <si>
    <t>Banker</t>
  </si>
  <si>
    <t>Fuller-Ward</t>
  </si>
  <si>
    <t>1970-08-25</t>
  </si>
  <si>
    <t>2025-01-28</t>
  </si>
  <si>
    <t>Kelsey Fitzgerald</t>
  </si>
  <si>
    <t>cwood@adams.com</t>
  </si>
  <si>
    <t>(484)897-9719</t>
  </si>
  <si>
    <t>USS Dennis, FPO AA 68927</t>
  </si>
  <si>
    <t>White Inc</t>
  </si>
  <si>
    <t>1967-08-07</t>
  </si>
  <si>
    <t>2016-07-05</t>
  </si>
  <si>
    <t>Andrew Reynolds</t>
  </si>
  <si>
    <t>mitchell37@hammond.com</t>
  </si>
  <si>
    <t>560.107.5489x7293</t>
  </si>
  <si>
    <t>6211 Simpson Fords, West Terrence, KS 61658</t>
  </si>
  <si>
    <t>Lewis and Sons</t>
  </si>
  <si>
    <t>1973-03-29</t>
  </si>
  <si>
    <t>2025-06-10</t>
  </si>
  <si>
    <t>Lindsey Lucero</t>
  </si>
  <si>
    <t>castanedadavid@oliver.org</t>
  </si>
  <si>
    <t>386-191-7036</t>
  </si>
  <si>
    <t>7530 Carpenter Street, Port Gerald, ME 78908</t>
  </si>
  <si>
    <t>Walker Ltd</t>
  </si>
  <si>
    <t>2005-12-26</t>
  </si>
  <si>
    <t>Samuel Greene</t>
  </si>
  <si>
    <t>robertssara@meyer-avery.com</t>
  </si>
  <si>
    <t>(614)121-4785x34941</t>
  </si>
  <si>
    <t>366 Wilkins Alley, New Hunter, TX 84291</t>
  </si>
  <si>
    <t>Advertising art director</t>
  </si>
  <si>
    <t>Nguyen-Gonzalez</t>
  </si>
  <si>
    <t>1973-10-22</t>
  </si>
  <si>
    <t>Mckenzie Harding</t>
  </si>
  <si>
    <t>hannahgalvan@shepherd-greene.com</t>
  </si>
  <si>
    <t>+1-125-731-4001x13333</t>
  </si>
  <si>
    <t>836 Williams Forest Apt. 572, Downsland, NV 03476</t>
  </si>
  <si>
    <t>Williams, Brown and Barker</t>
  </si>
  <si>
    <t>2001-09-21</t>
  </si>
  <si>
    <t>2021-07-20</t>
  </si>
  <si>
    <t>Michael Wilson</t>
  </si>
  <si>
    <t>fletcherashley@yahoo.com</t>
  </si>
  <si>
    <t>692.946.4169</t>
  </si>
  <si>
    <t>041 Richards Fields Apt. 990, Floresshire, UT 50724</t>
  </si>
  <si>
    <t>Holiday representative</t>
  </si>
  <si>
    <t>Patel, Crawford and Brown</t>
  </si>
  <si>
    <t>1963-10-15</t>
  </si>
  <si>
    <t>2017-04-12</t>
  </si>
  <si>
    <t>Wesley Moran</t>
  </si>
  <si>
    <t>josephlewis@hotmail.com</t>
  </si>
  <si>
    <t>953.549.0216x581</t>
  </si>
  <si>
    <t>3986 Barbara Fields, Melanieton, OK 24099</t>
  </si>
  <si>
    <t>Miller-Becker</t>
  </si>
  <si>
    <t>1969-11-04</t>
  </si>
  <si>
    <t>2016-01-11</t>
  </si>
  <si>
    <t>James Russell</t>
  </si>
  <si>
    <t>savannahperez@king.net</t>
  </si>
  <si>
    <t>379.929.2060</t>
  </si>
  <si>
    <t>781 Jeffrey Lane, New Christopherfort, VT 50112</t>
  </si>
  <si>
    <t>Purchasing manager</t>
  </si>
  <si>
    <t>Wolf PLC</t>
  </si>
  <si>
    <t>1976-07-15</t>
  </si>
  <si>
    <t>2022-08-04</t>
  </si>
  <si>
    <t>Joseph Dunn</t>
  </si>
  <si>
    <t>onicholson@gmail.com</t>
  </si>
  <si>
    <t>217.138.5404x520</t>
  </si>
  <si>
    <t>519 Edward Flats Apt. 835, Erichaven, GA 84660</t>
  </si>
  <si>
    <t>Pierce, Velazquez and Krueger</t>
  </si>
  <si>
    <t>1960-10-15</t>
  </si>
  <si>
    <t>2019-04-24</t>
  </si>
  <si>
    <t>Taylor Morris</t>
  </si>
  <si>
    <t>emily38@lee.info</t>
  </si>
  <si>
    <t>831-647-5321x59719</t>
  </si>
  <si>
    <t>4209 Tammy Ports Suite 381, Lake Jacobchester, OR 59900</t>
  </si>
  <si>
    <t>Engineer, maintenance (IT)</t>
  </si>
  <si>
    <t>Ortiz Ltd</t>
  </si>
  <si>
    <t>1986-03-18</t>
  </si>
  <si>
    <t>2020-06-25</t>
  </si>
  <si>
    <t>Shelby Santiago</t>
  </si>
  <si>
    <t>salazarandrew@velazquez.com</t>
  </si>
  <si>
    <t>857.778.1627x97290</t>
  </si>
  <si>
    <t>345 Fisher Radial, Nelsonshire, WI 23319</t>
  </si>
  <si>
    <t>Therapist, horticultural</t>
  </si>
  <si>
    <t>Hodge-Park</t>
  </si>
  <si>
    <t>1978-12-07</t>
  </si>
  <si>
    <t>2018-01-04</t>
  </si>
  <si>
    <t>Jennifer Harmon</t>
  </si>
  <si>
    <t>jeffwells@gmail.com</t>
  </si>
  <si>
    <t>016.587.8146</t>
  </si>
  <si>
    <t>1029 Young Stream Apt. 235, East Nicholasburgh, SD 53185</t>
  </si>
  <si>
    <t>Records manager</t>
  </si>
  <si>
    <t>Smith, Scott and Bailey</t>
  </si>
  <si>
    <t>1974-03-01</t>
  </si>
  <si>
    <t>2024-06-16</t>
  </si>
  <si>
    <t>Nancy Thomas</t>
  </si>
  <si>
    <t>andrew34@guerra-gross.com</t>
  </si>
  <si>
    <t>361.610.8952x41420</t>
  </si>
  <si>
    <t>434 Andrew Causeway Suite 086, Lake Kevin, CO 20975</t>
  </si>
  <si>
    <t>Munoz and Sons</t>
  </si>
  <si>
    <t>2021-09-02</t>
  </si>
  <si>
    <t>Lori Griffin</t>
  </si>
  <si>
    <t>cjohnson@yahoo.com</t>
  </si>
  <si>
    <t>+1-037-934-1580x220</t>
  </si>
  <si>
    <t>0143 Fisher Points Apt. 172, South Kayla, KY 40789</t>
  </si>
  <si>
    <t>Randall LLC</t>
  </si>
  <si>
    <t>1992-06-25</t>
  </si>
  <si>
    <t>2018-02-23</t>
  </si>
  <si>
    <t>John Mills</t>
  </si>
  <si>
    <t>susan03@collins.com</t>
  </si>
  <si>
    <t>(448)236-1656x0703</t>
  </si>
  <si>
    <t>538 Justin Plaza, Gatesburgh, WI 17697</t>
  </si>
  <si>
    <t>Orthoptist</t>
  </si>
  <si>
    <t>Alexander LLC</t>
  </si>
  <si>
    <t>1986-08-11</t>
  </si>
  <si>
    <t>2020-03-10</t>
  </si>
  <si>
    <t>Gerald Gonzales</t>
  </si>
  <si>
    <t>sarahcollins@ponce.biz</t>
  </si>
  <si>
    <t>001-612-951-2302x92739</t>
  </si>
  <si>
    <t>2278 Lopez Track, East Larryville, MN 97130</t>
  </si>
  <si>
    <t>Long, Carter and Curtis</t>
  </si>
  <si>
    <t>1976-12-09</t>
  </si>
  <si>
    <t>2023-07-21</t>
  </si>
  <si>
    <t>Rodney Turner</t>
  </si>
  <si>
    <t>ugibbs@copeland.info</t>
  </si>
  <si>
    <t>(987)395-4910x35771</t>
  </si>
  <si>
    <t>16097 Vickie Manors Apt. 384, North Alexisport, CA 48911</t>
  </si>
  <si>
    <t>Daniel, Smith and Cobb</t>
  </si>
  <si>
    <t>1988-04-13</t>
  </si>
  <si>
    <t>2016-04-28</t>
  </si>
  <si>
    <t>Daniel Jackson</t>
  </si>
  <si>
    <t>ashley57@hotmail.com</t>
  </si>
  <si>
    <t>(438)266-5123</t>
  </si>
  <si>
    <t>043 Joseph Forks Suite 422, Brandonmouth, IA 61277</t>
  </si>
  <si>
    <t>Howard-Martinez</t>
  </si>
  <si>
    <t>1978-01-27</t>
  </si>
  <si>
    <t>2016-07-12</t>
  </si>
  <si>
    <t>Nathan Garcia</t>
  </si>
  <si>
    <t>gardnerwilliam@le.com</t>
  </si>
  <si>
    <t>(857)570-7582x683</t>
  </si>
  <si>
    <t>027 Henry Greens, West Sandra, IA 36042</t>
  </si>
  <si>
    <t>Castro, Reed and Sanchez</t>
  </si>
  <si>
    <t>1989-08-10</t>
  </si>
  <si>
    <t>2019-01-07</t>
  </si>
  <si>
    <t>Kathy Thompson</t>
  </si>
  <si>
    <t>william73@gmail.com</t>
  </si>
  <si>
    <t>6386834385</t>
  </si>
  <si>
    <t>765 Wesley Passage Suite 296, West Frederick, WV 20458</t>
  </si>
  <si>
    <t>White, Johnson and Hahn</t>
  </si>
  <si>
    <t>2007-07-10</t>
  </si>
  <si>
    <t>2018-05-25</t>
  </si>
  <si>
    <t>Miranda Rivera</t>
  </si>
  <si>
    <t>llee@yahoo.com</t>
  </si>
  <si>
    <t>+1-636-378-4761x4926</t>
  </si>
  <si>
    <t>38318 Ochoa Squares Suite 496, Smithland, PA 65803</t>
  </si>
  <si>
    <t>Williamson-Bryan</t>
  </si>
  <si>
    <t>2001-01-09</t>
  </si>
  <si>
    <t>2017-01-31</t>
  </si>
  <si>
    <t>Michele Bryant</t>
  </si>
  <si>
    <t>gomezchristina@yahoo.com</t>
  </si>
  <si>
    <t>+1-829-150-9495x5123</t>
  </si>
  <si>
    <t>721 Gregory Lodge Apt. 837, Traceyburgh, MO 69311</t>
  </si>
  <si>
    <t>Personnel officer</t>
  </si>
  <si>
    <t>Short, Martin and Hughes</t>
  </si>
  <si>
    <t>1986-04-12</t>
  </si>
  <si>
    <t>2023-03-05</t>
  </si>
  <si>
    <t>Gabrielle Hopkins</t>
  </si>
  <si>
    <t>mcleanashley@hotmail.com</t>
  </si>
  <si>
    <t>+1-692-079-1985x92332</t>
  </si>
  <si>
    <t>1980 Cox Branch Apt. 527, Lake Thomas, CA 71666</t>
  </si>
  <si>
    <t>Black-Smith</t>
  </si>
  <si>
    <t>1971-03-23</t>
  </si>
  <si>
    <t>Wendy Meyer</t>
  </si>
  <si>
    <t>jenniferpark@gmail.com</t>
  </si>
  <si>
    <t>6423496873</t>
  </si>
  <si>
    <t>720 Brian Parkway, Port Janetmouth, MA 19792</t>
  </si>
  <si>
    <t>Surveyor, land/geomatics</t>
  </si>
  <si>
    <t>Medina Inc</t>
  </si>
  <si>
    <t>1993-11-12</t>
  </si>
  <si>
    <t>2022-09-03</t>
  </si>
  <si>
    <t>Todd Parker</t>
  </si>
  <si>
    <t>chapmansteven@martin-clark.com</t>
  </si>
  <si>
    <t>001-077-127-4714x04838</t>
  </si>
  <si>
    <t>Unit 6498 Box 0829, DPO AE 42423</t>
  </si>
  <si>
    <t>Tucker-Jackson</t>
  </si>
  <si>
    <t>1973-08-25</t>
  </si>
  <si>
    <t>2019-07-17</t>
  </si>
  <si>
    <t>Jennifer Williams</t>
  </si>
  <si>
    <t>cochrancaleb@blackburn-robinson.com</t>
  </si>
  <si>
    <t>153-029-4963x38954</t>
  </si>
  <si>
    <t>457 Nathaniel Unions Suite 828, Port Carlastad, OR 49259</t>
  </si>
  <si>
    <t>Mechanical engineer</t>
  </si>
  <si>
    <t>Vargas-Clarke</t>
  </si>
  <si>
    <t>1966-05-06</t>
  </si>
  <si>
    <t>2022-06-16</t>
  </si>
  <si>
    <t>Brittney Mitchell</t>
  </si>
  <si>
    <t>gburns@gmail.com</t>
  </si>
  <si>
    <t>499-694-8590</t>
  </si>
  <si>
    <t>005 John Falls, West Mikeshire, AR 57921</t>
  </si>
  <si>
    <t>English as a foreign language teacher</t>
  </si>
  <si>
    <t>Carter, Carter and Williams</t>
  </si>
  <si>
    <t>1998-12-25</t>
  </si>
  <si>
    <t>2015-11-12</t>
  </si>
  <si>
    <t>Annette Gordon</t>
  </si>
  <si>
    <t>etaylor@hotmail.com</t>
  </si>
  <si>
    <t>001-755-903-6542x6593</t>
  </si>
  <si>
    <t>13186 Rodney Plains Apt. 135, Jonesstad, VA 43469</t>
  </si>
  <si>
    <t>Obrien LLC</t>
  </si>
  <si>
    <t>1992-05-31</t>
  </si>
  <si>
    <t>2022-05-15</t>
  </si>
  <si>
    <t>Jordan Hicks</t>
  </si>
  <si>
    <t>lewiskelly@yahoo.com</t>
  </si>
  <si>
    <t>160-050-2417x980</t>
  </si>
  <si>
    <t>41690 Beth Dale, Zimmermanville, KS 24798</t>
  </si>
  <si>
    <t>Ambulance person</t>
  </si>
  <si>
    <t>Cunningham Group</t>
  </si>
  <si>
    <t>1981-06-09</t>
  </si>
  <si>
    <t>2024-12-25</t>
  </si>
  <si>
    <t>Dawn Williams</t>
  </si>
  <si>
    <t>esmith@juarez.biz</t>
  </si>
  <si>
    <t>764-099-8800</t>
  </si>
  <si>
    <t>3198 Ethan Key Suite 291, Lake Shannonmouth, MN 64335</t>
  </si>
  <si>
    <t>Contreras LLC</t>
  </si>
  <si>
    <t>1975-02-09</t>
  </si>
  <si>
    <t>Melissa Keith</t>
  </si>
  <si>
    <t>alejandroedwards@yahoo.com</t>
  </si>
  <si>
    <t>(774)266-4450</t>
  </si>
  <si>
    <t>279 Brandy Shoals Apt. 463, Michaelside, PA 72745</t>
  </si>
  <si>
    <t>Thompson, Castillo and Zimmerman</t>
  </si>
  <si>
    <t>1998-07-19</t>
  </si>
  <si>
    <t>Tommy Chavez</t>
  </si>
  <si>
    <t>elizabethcole@howe-melton.com</t>
  </si>
  <si>
    <t>802-672-2498</t>
  </si>
  <si>
    <t>263 Jennings Fall, New Shannonstad, MI 88807</t>
  </si>
  <si>
    <t>Barrister's clerk</t>
  </si>
  <si>
    <t>Conway and Sons</t>
  </si>
  <si>
    <t>1986-03-31</t>
  </si>
  <si>
    <t>2020-12-04</t>
  </si>
  <si>
    <t>John Robinson</t>
  </si>
  <si>
    <t>fhuff@gmail.com</t>
  </si>
  <si>
    <t>(365)878-4984</t>
  </si>
  <si>
    <t>8317 Clarke Underpass, Lewisshire, WY 58963</t>
  </si>
  <si>
    <t>1978-11-04</t>
  </si>
  <si>
    <t>2024-04-14</t>
  </si>
  <si>
    <t>Angela Harris</t>
  </si>
  <si>
    <t>daniel76@adams-mcpherson.com</t>
  </si>
  <si>
    <t>188.356.2474x0990</t>
  </si>
  <si>
    <t>726 Yolanda Green, North Todd, MA 58403</t>
  </si>
  <si>
    <t>Producer, television/film/video</t>
  </si>
  <si>
    <t>Weiss-White</t>
  </si>
  <si>
    <t>1991-05-05</t>
  </si>
  <si>
    <t>2020-02-27</t>
  </si>
  <si>
    <t>Karen Ramos</t>
  </si>
  <si>
    <t>margaret45@richardson.com</t>
  </si>
  <si>
    <t>(889)819-1989x1367</t>
  </si>
  <si>
    <t>0033 Matthews Wells, Port Kaitlinfurt, MN 42422</t>
  </si>
  <si>
    <t>Savage and Sons</t>
  </si>
  <si>
    <t>1981-03-16</t>
  </si>
  <si>
    <t>2017-02-26</t>
  </si>
  <si>
    <t>Patricia Graham</t>
  </si>
  <si>
    <t>pli@quinn-smith.biz</t>
  </si>
  <si>
    <t>1032194138</t>
  </si>
  <si>
    <t>73887 Gray Overpass Apt. 749, Smithbury, IL 88230</t>
  </si>
  <si>
    <t>Surveyor, insurance</t>
  </si>
  <si>
    <t>Turner-Nicholson</t>
  </si>
  <si>
    <t>2006-09-26</t>
  </si>
  <si>
    <t>2023-09-26</t>
  </si>
  <si>
    <t>Gabriella Monroe</t>
  </si>
  <si>
    <t>franklinchristian@hotmail.com</t>
  </si>
  <si>
    <t>621-346-1480x5751</t>
  </si>
  <si>
    <t>0119 Jacob Alley Apt. 107, Robinsonview, AK 31772</t>
  </si>
  <si>
    <t>Jarvis Inc</t>
  </si>
  <si>
    <t>1990-08-24</t>
  </si>
  <si>
    <t>2017-06-01</t>
  </si>
  <si>
    <t>Jerry Baker</t>
  </si>
  <si>
    <t>nwright@gmail.com</t>
  </si>
  <si>
    <t>868.725.2289x25179</t>
  </si>
  <si>
    <t>44942 Lopez Route Suite 290, Jonstad, SD 83385</t>
  </si>
  <si>
    <t>Grimes-Guzman</t>
  </si>
  <si>
    <t>1971-03-30</t>
  </si>
  <si>
    <t>2022-06-29</t>
  </si>
  <si>
    <t>Michael Smith</t>
  </si>
  <si>
    <t>ashleymoyer@rojas-finley.net</t>
  </si>
  <si>
    <t>403.784.0660x5647</t>
  </si>
  <si>
    <t>388 Roy Knolls Suite 925, Chaneyport, LA 09700</t>
  </si>
  <si>
    <t>Industrial/product designer</t>
  </si>
  <si>
    <t>Conley-Price</t>
  </si>
  <si>
    <t>1972-06-02</t>
  </si>
  <si>
    <t>2022-12-03</t>
  </si>
  <si>
    <t>Laura Willis</t>
  </si>
  <si>
    <t>karen68@stewart-casey.com</t>
  </si>
  <si>
    <t>274-587-9264x29002</t>
  </si>
  <si>
    <t>05142 Cook Creek Apt. 996, Kennedyview, DC 90826</t>
  </si>
  <si>
    <t>Science writer</t>
  </si>
  <si>
    <t>Mosley-Lewis</t>
  </si>
  <si>
    <t>2007-01-20</t>
  </si>
  <si>
    <t>2015-08-05</t>
  </si>
  <si>
    <t>Richard Sullivan</t>
  </si>
  <si>
    <t>johnscynthia@russell.info</t>
  </si>
  <si>
    <t>042.672.8762x3338</t>
  </si>
  <si>
    <t>Unit 7545 Box 7403, DPO AA 01931</t>
  </si>
  <si>
    <t>Scientist, biomedical</t>
  </si>
  <si>
    <t>Williamson, Alexander and Trevino</t>
  </si>
  <si>
    <t>1998-02-27</t>
  </si>
  <si>
    <t>Allison Raymond</t>
  </si>
  <si>
    <t>justinjohnson@hotmail.com</t>
  </si>
  <si>
    <t>395.817.3604x31355</t>
  </si>
  <si>
    <t>312 Glenn Gardens, New Danielstad, LA 98925</t>
  </si>
  <si>
    <t>Glass blower/designer</t>
  </si>
  <si>
    <t>Hamilton-Brown</t>
  </si>
  <si>
    <t>1985-08-28</t>
  </si>
  <si>
    <t>Sean Harris</t>
  </si>
  <si>
    <t>ronald60@hotmail.com</t>
  </si>
  <si>
    <t>(972)497-0779x01723</t>
  </si>
  <si>
    <t>23819 Robert Valleys, North Brandyview, WY 15584</t>
  </si>
  <si>
    <t>Wiggins-Cruz</t>
  </si>
  <si>
    <t>1971-05-13</t>
  </si>
  <si>
    <t>Melissa Jennings</t>
  </si>
  <si>
    <t>kennethjohnson@chandler-jackson.com</t>
  </si>
  <si>
    <t>915-245-2709x6006</t>
  </si>
  <si>
    <t>56989 Flynn Expressway, South Johnathanville, NE 10321</t>
  </si>
  <si>
    <t>Weber, Walker and Dennis</t>
  </si>
  <si>
    <t>1985-09-16</t>
  </si>
  <si>
    <t>Tammy Martin</t>
  </si>
  <si>
    <t>tlawson@wilson-taylor.com</t>
  </si>
  <si>
    <t>628-174-3289x1778</t>
  </si>
  <si>
    <t>7205 Kim Estate, West Amanda, WY 34259</t>
  </si>
  <si>
    <t>Wilson, Gibbs and Moore</t>
  </si>
  <si>
    <t>1962-03-08</t>
  </si>
  <si>
    <t>jonesedward@bartlett.com</t>
  </si>
  <si>
    <t>(278)318-9709x33134</t>
  </si>
  <si>
    <t>557 Beard Grove, Andrestown, NV 74981</t>
  </si>
  <si>
    <t>Snyder-Jenkins</t>
  </si>
  <si>
    <t>1983-05-01</t>
  </si>
  <si>
    <t>2019-01-13</t>
  </si>
  <si>
    <t>Brittany Brooks</t>
  </si>
  <si>
    <t>garrett48@hotmail.com</t>
  </si>
  <si>
    <t>+1-706-176-0961</t>
  </si>
  <si>
    <t>592 Martinez Trace, South Mackenziestad, IA 96261</t>
  </si>
  <si>
    <t>Evans-Edwards</t>
  </si>
  <si>
    <t>1980-03-10</t>
  </si>
  <si>
    <t>2019-04-17</t>
  </si>
  <si>
    <t>Edwin Adams</t>
  </si>
  <si>
    <t>william29@hotmail.com</t>
  </si>
  <si>
    <t>(124)259-6827x879</t>
  </si>
  <si>
    <t>PSC 0232, Box 1847, APO AP 87463</t>
  </si>
  <si>
    <t>Archivist</t>
  </si>
  <si>
    <t>Brown-Wagner</t>
  </si>
  <si>
    <t>1991-11-12</t>
  </si>
  <si>
    <t>2025-05-26</t>
  </si>
  <si>
    <t>Bobby Williamson</t>
  </si>
  <si>
    <t>stevenrussell@smith.com</t>
  </si>
  <si>
    <t>001-951-343-7523x1744</t>
  </si>
  <si>
    <t>067 Braun Pines, North Ronaldhaven, MO 64888</t>
  </si>
  <si>
    <t>Armed forces logistics/support/administrative officer</t>
  </si>
  <si>
    <t>Ruiz, Davis and Floyd</t>
  </si>
  <si>
    <t>1991-01-01</t>
  </si>
  <si>
    <t>2019-03-21</t>
  </si>
  <si>
    <t>Jacob Hernandez Ii</t>
  </si>
  <si>
    <t>armstrongjason@gmail.com</t>
  </si>
  <si>
    <t>976-929-5458x5780</t>
  </si>
  <si>
    <t>697 Steven Wells Suite 693, Reedfort, DC 95716</t>
  </si>
  <si>
    <t>Scientist, forensic</t>
  </si>
  <si>
    <t>Juarez, Campbell and Hernandez</t>
  </si>
  <si>
    <t>1982-11-21</t>
  </si>
  <si>
    <t>2020-02-14</t>
  </si>
  <si>
    <t>Donald Johnson</t>
  </si>
  <si>
    <t>elizabethscott@hotmail.com</t>
  </si>
  <si>
    <t>728.666.2761x3052</t>
  </si>
  <si>
    <t>365 Ann Circle Apt. 620, Port Melindamouth, WA 95692</t>
  </si>
  <si>
    <t>Investment analyst</t>
  </si>
  <si>
    <t>Ramos, Smith and Mitchell</t>
  </si>
  <si>
    <t>1995-01-16</t>
  </si>
  <si>
    <t>2018-08-21</t>
  </si>
  <si>
    <t>Andrew Terrell</t>
  </si>
  <si>
    <t>prestonquinn@gmail.com</t>
  </si>
  <si>
    <t>+1-106-305-0287x0596</t>
  </si>
  <si>
    <t>199 Daniel Parkway Apt. 913, New Aprilton, IA 09037</t>
  </si>
  <si>
    <t>Lamb, Becker and Jenkins</t>
  </si>
  <si>
    <t>1968-10-29</t>
  </si>
  <si>
    <t>2015-09-14</t>
  </si>
  <si>
    <t>Patrick Lewis</t>
  </si>
  <si>
    <t>elizabethbrown@yahoo.com</t>
  </si>
  <si>
    <t>001-698-311-4984x6315</t>
  </si>
  <si>
    <t>9156 Christopher Inlet Suite 598, New Jeffreyfort, CT 85916</t>
  </si>
  <si>
    <t>Astronomer</t>
  </si>
  <si>
    <t>1981-07-26</t>
  </si>
  <si>
    <t>2015-07-20</t>
  </si>
  <si>
    <t>Joanne Dodson</t>
  </si>
  <si>
    <t>judithwalsh@yahoo.com</t>
  </si>
  <si>
    <t>319.575.7734</t>
  </si>
  <si>
    <t>368 Cross Lights, Ashleyton, MA 25093</t>
  </si>
  <si>
    <t>Hospital doctor</t>
  </si>
  <si>
    <t>Fowler Group</t>
  </si>
  <si>
    <t>1999-09-02</t>
  </si>
  <si>
    <t>2019-02-02</t>
  </si>
  <si>
    <t>Joshua Wallace</t>
  </si>
  <si>
    <t>jenna06@gmail.com</t>
  </si>
  <si>
    <t>+1-319-598-5601</t>
  </si>
  <si>
    <t>875 Alejandro Fall, East Michele, UT 85678</t>
  </si>
  <si>
    <t>Shelton and Sons</t>
  </si>
  <si>
    <t>1973-01-06</t>
  </si>
  <si>
    <t>2019-05-01</t>
  </si>
  <si>
    <t>Hannah Fernandez</t>
  </si>
  <si>
    <t>qdavis@yahoo.com</t>
  </si>
  <si>
    <t>658-172-9819</t>
  </si>
  <si>
    <t>Unit 2997 Box 3028, DPO AP 35609</t>
  </si>
  <si>
    <t>Leonard PLC</t>
  </si>
  <si>
    <t>1972-03-12</t>
  </si>
  <si>
    <t>2024-12-10</t>
  </si>
  <si>
    <t>Valerie Hawkins</t>
  </si>
  <si>
    <t>ronnieglover@rivera.com</t>
  </si>
  <si>
    <t>001-385-437-2947</t>
  </si>
  <si>
    <t>9225 Tran Island, New Marilynfurt, MO 74094</t>
  </si>
  <si>
    <t>Cannon Inc</t>
  </si>
  <si>
    <t>1969-04-01</t>
  </si>
  <si>
    <t>2022-02-08</t>
  </si>
  <si>
    <t>Brandon Gomez</t>
  </si>
  <si>
    <t>thompsonlauren@vaughan.net</t>
  </si>
  <si>
    <t>(047)735-8486</t>
  </si>
  <si>
    <t>36967 Jeffrey Ranch, New Larry, NY 43671</t>
  </si>
  <si>
    <t>Conley-Thomas</t>
  </si>
  <si>
    <t>1993-09-19</t>
  </si>
  <si>
    <t>2017-02-07</t>
  </si>
  <si>
    <t>Derek Barnett</t>
  </si>
  <si>
    <t>zacharywoods@gmail.com</t>
  </si>
  <si>
    <t>173.193.6578</t>
  </si>
  <si>
    <t>73826 Yvonne Brooks Suite 373, Deborahshire, NV 97715</t>
  </si>
  <si>
    <t>Broadcast engineer</t>
  </si>
  <si>
    <t>Wright, Grant and Francis</t>
  </si>
  <si>
    <t>1991-06-13</t>
  </si>
  <si>
    <t>Mrs. Lori Hansen</t>
  </si>
  <si>
    <t>jessicamcintyre@hotmail.com</t>
  </si>
  <si>
    <t>+1-333-740-6694x11906</t>
  </si>
  <si>
    <t>951 Eric Locks Suite 878, Lake Nicholasside, CO 94075</t>
  </si>
  <si>
    <t>Wilson-Lawson</t>
  </si>
  <si>
    <t>1986-08-24</t>
  </si>
  <si>
    <t>2017-06-12</t>
  </si>
  <si>
    <t>Hannah Taylor</t>
  </si>
  <si>
    <t>justin62@anderson.info</t>
  </si>
  <si>
    <t>029-792-6055</t>
  </si>
  <si>
    <t>3860 James Cove Apt. 572, Spencershire, AK 43051</t>
  </si>
  <si>
    <t>Solomon PLC</t>
  </si>
  <si>
    <t>1999-02-19</t>
  </si>
  <si>
    <t>2016-05-07</t>
  </si>
  <si>
    <t>Brian Martinez</t>
  </si>
  <si>
    <t>nathan80@burke.com</t>
  </si>
  <si>
    <t>(304)963-0604x8293</t>
  </si>
  <si>
    <t>479 Jermaine Rue, Port Francesfurt, NM 03911</t>
  </si>
  <si>
    <t>Wright-Watkins</t>
  </si>
  <si>
    <t>1993-09-23</t>
  </si>
  <si>
    <t>2017-05-10</t>
  </si>
  <si>
    <t>Justin Bird</t>
  </si>
  <si>
    <t>vgardner@hotmail.com</t>
  </si>
  <si>
    <t>818-387-9579</t>
  </si>
  <si>
    <t>47616 Adriana Plaza, Curtistown, MN 07322</t>
  </si>
  <si>
    <t>Merchant navy officer</t>
  </si>
  <si>
    <t>Fowler, Smith and Watkins</t>
  </si>
  <si>
    <t>1965-04-18</t>
  </si>
  <si>
    <t>2018-06-28</t>
  </si>
  <si>
    <t>Marcus Parsons</t>
  </si>
  <si>
    <t>colemanmichael@hotmail.com</t>
  </si>
  <si>
    <t>+1-280-493-1881</t>
  </si>
  <si>
    <t>4401 Wilkins Meadows Suite 356, South Jamesmouth, CT 16526</t>
  </si>
  <si>
    <t>Hill Group</t>
  </si>
  <si>
    <t>1989-06-26</t>
  </si>
  <si>
    <t>2021-09-20</t>
  </si>
  <si>
    <t>Richard Miller</t>
  </si>
  <si>
    <t>browntravis@gmail.com</t>
  </si>
  <si>
    <t>001-200-828-9478x021</t>
  </si>
  <si>
    <t>99242 Latasha Stream Apt. 494, Smithton, WA 93240</t>
  </si>
  <si>
    <t>Riley, Carroll and Washington</t>
  </si>
  <si>
    <t>1993-12-30</t>
  </si>
  <si>
    <t>2017-09-26</t>
  </si>
  <si>
    <t>Brandon Johnson</t>
  </si>
  <si>
    <t>xdominguez@gmail.com</t>
  </si>
  <si>
    <t>828.001.0203x060</t>
  </si>
  <si>
    <t>07819 Justin Mews Suite 981, Juliemouth, MD 07222</t>
  </si>
  <si>
    <t>Michael Inc</t>
  </si>
  <si>
    <t>1962-12-13</t>
  </si>
  <si>
    <t>2019-09-20</t>
  </si>
  <si>
    <t>Shelley Shaw</t>
  </si>
  <si>
    <t>williammitchell@price.com</t>
  </si>
  <si>
    <t>(682)065-5830</t>
  </si>
  <si>
    <t>329 Wilson Isle Apt. 698, West Cassandra, NE 75852</t>
  </si>
  <si>
    <t>Townsend, Gaines and Harvey</t>
  </si>
  <si>
    <t>2003-07-03</t>
  </si>
  <si>
    <t>Sarah Gordon</t>
  </si>
  <si>
    <t>melissawarner@yahoo.com</t>
  </si>
  <si>
    <t>371-808-8241x2390</t>
  </si>
  <si>
    <t>363 Deborah Roads Apt. 295, New Brendan, NE 73972</t>
  </si>
  <si>
    <t>Public librarian</t>
  </si>
  <si>
    <t>Rodriguez Ltd</t>
  </si>
  <si>
    <t>2001-04-16</t>
  </si>
  <si>
    <t>2019-03-16</t>
  </si>
  <si>
    <t>Anthony Miller</t>
  </si>
  <si>
    <t>destinyparrish@hill-kennedy.biz</t>
  </si>
  <si>
    <t>(452)425-0027</t>
  </si>
  <si>
    <t>30604 Amy Ports Apt. 393, Susanmouth, FL 97045</t>
  </si>
  <si>
    <t>Johnson-Blair</t>
  </si>
  <si>
    <t>1990-09-21</t>
  </si>
  <si>
    <t>2016-03-02</t>
  </si>
  <si>
    <t>Ryan Sharp</t>
  </si>
  <si>
    <t>hwatts@phillips.biz</t>
  </si>
  <si>
    <t>(858)413-5282x950</t>
  </si>
  <si>
    <t>593 Sullivan Islands Apt. 817, New Robert, RI 44887</t>
  </si>
  <si>
    <t>Special educational needs teacher</t>
  </si>
  <si>
    <t>Wallace Ltd</t>
  </si>
  <si>
    <t>2022-07-21</t>
  </si>
  <si>
    <t>Megan Sanchez</t>
  </si>
  <si>
    <t>janeboyle@yahoo.com</t>
  </si>
  <si>
    <t>204-264-0535x6381</t>
  </si>
  <si>
    <t>890 Sarah Mission Suite 264, Brianport, IN 54194</t>
  </si>
  <si>
    <t>Ramirez Group</t>
  </si>
  <si>
    <t>1961-10-30</t>
  </si>
  <si>
    <t>2018-06-03</t>
  </si>
  <si>
    <t>Amanda Mcbride</t>
  </si>
  <si>
    <t>nelsonclaire@gmail.com</t>
  </si>
  <si>
    <t>5653134725</t>
  </si>
  <si>
    <t>USS French, FPO AP 16534</t>
  </si>
  <si>
    <t>Teacher, music</t>
  </si>
  <si>
    <t>Carpenter, Johnson and Sanders</t>
  </si>
  <si>
    <t>2006-04-19</t>
  </si>
  <si>
    <t>2023-04-03</t>
  </si>
  <si>
    <t>Daniel Mckinney</t>
  </si>
  <si>
    <t>ptapia@conley.com</t>
  </si>
  <si>
    <t>+1-647-002-4856</t>
  </si>
  <si>
    <t>134 Cynthia Tunnel Apt. 640, North Melissa, IN 33297</t>
  </si>
  <si>
    <t>Lopez, Walters and Cooper</t>
  </si>
  <si>
    <t>1959-11-03</t>
  </si>
  <si>
    <t>2017-03-04</t>
  </si>
  <si>
    <t>Rebecca Johnson</t>
  </si>
  <si>
    <t>kristin94@yahoo.com</t>
  </si>
  <si>
    <t>156-572-2701x0068</t>
  </si>
  <si>
    <t>4299 Glenn Knoll, Port Elizabeth, OR 09643</t>
  </si>
  <si>
    <t>Administrator, arts</t>
  </si>
  <si>
    <t>Washington PLC</t>
  </si>
  <si>
    <t>1975-09-21</t>
  </si>
  <si>
    <t>2016-04-07</t>
  </si>
  <si>
    <t>Kayla Pratt</t>
  </si>
  <si>
    <t>sarah22@yahoo.com</t>
  </si>
  <si>
    <t>957-489-7287x49737</t>
  </si>
  <si>
    <t>4272 Kathryn Mall Apt. 337, Lake Shawn, TN 41853</t>
  </si>
  <si>
    <t>Davidson, Vasquez and Newman</t>
  </si>
  <si>
    <t>2001-11-06</t>
  </si>
  <si>
    <t>Dan Brown</t>
  </si>
  <si>
    <t>ckelly@hardy-alvarado.com</t>
  </si>
  <si>
    <t>(596)479-7948x354</t>
  </si>
  <si>
    <t>568 Huang Field Suite 930, South Eduardostad, WA 01541</t>
  </si>
  <si>
    <t>Evans and Sons</t>
  </si>
  <si>
    <t>1974-09-09</t>
  </si>
  <si>
    <t>2019-10-02</t>
  </si>
  <si>
    <t>Mary Nixon</t>
  </si>
  <si>
    <t>brad19@gmail.com</t>
  </si>
  <si>
    <t>478-614-6797x29374</t>
  </si>
  <si>
    <t>45335 William Loaf, Allisonhaven, AR 99143</t>
  </si>
  <si>
    <t>Chief Financial Officer</t>
  </si>
  <si>
    <t>Mason, Powell and Calderon</t>
  </si>
  <si>
    <t>1996-02-28</t>
  </si>
  <si>
    <t>Maria Sims</t>
  </si>
  <si>
    <t>sarah71@yahoo.com</t>
  </si>
  <si>
    <t>(120)301-2012</t>
  </si>
  <si>
    <t>6275 Brittney Locks, West David, AK 43102</t>
  </si>
  <si>
    <t>Nolan, Davis and Wolfe</t>
  </si>
  <si>
    <t>1969-12-20</t>
  </si>
  <si>
    <t>2024-03-01</t>
  </si>
  <si>
    <t>Jennifer Miller</t>
  </si>
  <si>
    <t>dhuerta@smith.com</t>
  </si>
  <si>
    <t>+1-119-113-5749</t>
  </si>
  <si>
    <t>54626 Richard Rapid Suite 415, Thomasville, WI 91532</t>
  </si>
  <si>
    <t>Chief Strategy Officer</t>
  </si>
  <si>
    <t>Miller Group</t>
  </si>
  <si>
    <t>2006-03-28</t>
  </si>
  <si>
    <t>2020-03-04</t>
  </si>
  <si>
    <t>Mary Robbins</t>
  </si>
  <si>
    <t>christina72@hoover.com</t>
  </si>
  <si>
    <t>001-149-681-0728x1305</t>
  </si>
  <si>
    <t>USCGC Young, FPO AE 14607</t>
  </si>
  <si>
    <t>Clayton, Adams and Jones</t>
  </si>
  <si>
    <t>1973-08-17</t>
  </si>
  <si>
    <t>Jason Jones</t>
  </si>
  <si>
    <t>keith76@wallace.com</t>
  </si>
  <si>
    <t>(384)065-1248</t>
  </si>
  <si>
    <t>513 Yolanda Forges Apt. 767, Jimmyland, NC 75858</t>
  </si>
  <si>
    <t>Howard and Sons</t>
  </si>
  <si>
    <t>1963-08-19</t>
  </si>
  <si>
    <t>2018-04-23</t>
  </si>
  <si>
    <t>Charles Moore</t>
  </si>
  <si>
    <t>bonniesullivan@long.com</t>
  </si>
  <si>
    <t>291.237.9453</t>
  </si>
  <si>
    <t>680 Amber Pines, Martinberg, WV 97413</t>
  </si>
  <si>
    <t>Perry-Campbell</t>
  </si>
  <si>
    <t>1969-07-17</t>
  </si>
  <si>
    <t>2017-10-04</t>
  </si>
  <si>
    <t>Douglas Thomas</t>
  </si>
  <si>
    <t>milleryolanda@underwood.org</t>
  </si>
  <si>
    <t>001-058-180-3780</t>
  </si>
  <si>
    <t>4752 Robert Villages, Palmerside, PA 97534</t>
  </si>
  <si>
    <t>Scientist, research (medical)</t>
  </si>
  <si>
    <t>Stewart-Torres</t>
  </si>
  <si>
    <t>1965-09-30</t>
  </si>
  <si>
    <t>2021-08-20</t>
  </si>
  <si>
    <t>David Cox</t>
  </si>
  <si>
    <t>gmeyers@joseph.info</t>
  </si>
  <si>
    <t>803-652-6263x78666</t>
  </si>
  <si>
    <t>758 Lauren Lights, Georgebury, AR 29565</t>
  </si>
  <si>
    <t>Small, Baker and Wallace</t>
  </si>
  <si>
    <t>1993-01-21</t>
  </si>
  <si>
    <t>2021-11-19</t>
  </si>
  <si>
    <t>Dalton Rodriguez</t>
  </si>
  <si>
    <t>cindygilbert@phillips.com</t>
  </si>
  <si>
    <t>3604070303</t>
  </si>
  <si>
    <t>USCGC Pierce, FPO AA 91244</t>
  </si>
  <si>
    <t>Webster, Harris and Perry</t>
  </si>
  <si>
    <t>1994-06-10</t>
  </si>
  <si>
    <t>2024-06-20</t>
  </si>
  <si>
    <t>Bob Wong</t>
  </si>
  <si>
    <t>lbarnett@gmail.com</t>
  </si>
  <si>
    <t>001-323-289-6182</t>
  </si>
  <si>
    <t>36853 Flores Motorway Apt. 580, Port Sarahstad, AL 02529</t>
  </si>
  <si>
    <t>Colour technologist</t>
  </si>
  <si>
    <t>Fisher, Cummings and Kelly</t>
  </si>
  <si>
    <t>1980-06-12</t>
  </si>
  <si>
    <t>2018-08-01</t>
  </si>
  <si>
    <t>Ricardo Williams</t>
  </si>
  <si>
    <t>walshdoris@hotmail.com</t>
  </si>
  <si>
    <t>916-983-0687x385</t>
  </si>
  <si>
    <t>84737 Martinez Ville Apt. 211, New Robertfort, SC 56397</t>
  </si>
  <si>
    <t>Phillips, Martin and Kim</t>
  </si>
  <si>
    <t>1978-04-01</t>
  </si>
  <si>
    <t>2016-03-31</t>
  </si>
  <si>
    <t>Amanda Clark</t>
  </si>
  <si>
    <t>holly48@hotmail.com</t>
  </si>
  <si>
    <t>001-846-783-1674x1590</t>
  </si>
  <si>
    <t>PSC 5447, Box 9679, APO AP 18178</t>
  </si>
  <si>
    <t>Green, Fitzpatrick and Moran</t>
  </si>
  <si>
    <t>1968-05-30</t>
  </si>
  <si>
    <t>Kimberly Thompson</t>
  </si>
  <si>
    <t>taylorsnyder@hotmail.com</t>
  </si>
  <si>
    <t>9723588964</t>
  </si>
  <si>
    <t>2606 Vance Road, Sonyaton, WY 39639</t>
  </si>
  <si>
    <t>Morgan-Rogers</t>
  </si>
  <si>
    <t>1991-04-01</t>
  </si>
  <si>
    <t>2022-02-20</t>
  </si>
  <si>
    <t>Lindsey Ramirez</t>
  </si>
  <si>
    <t>boyerandre@gmail.com</t>
  </si>
  <si>
    <t>530.418.4890</t>
  </si>
  <si>
    <t>8190 Arnold Plains Suite 974, Bellside, NM 35577</t>
  </si>
  <si>
    <t>Warren, Nguyen and Lee</t>
  </si>
  <si>
    <t>1979-02-08</t>
  </si>
  <si>
    <t>2021-09-08</t>
  </si>
  <si>
    <t>Carlos Prince</t>
  </si>
  <si>
    <t>ulang@cherry.biz</t>
  </si>
  <si>
    <t>001-513-493-6291x8653</t>
  </si>
  <si>
    <t>73164 Anthony Crossing Suite 836, Howardborough, MS 91541</t>
  </si>
  <si>
    <t>Martinez-Stone</t>
  </si>
  <si>
    <t>1985-06-30</t>
  </si>
  <si>
    <t>Dean Perez</t>
  </si>
  <si>
    <t>omejia@gmail.com</t>
  </si>
  <si>
    <t>001-841-051-0175x6435</t>
  </si>
  <si>
    <t>812 Kayla Knoll Apt. 202, Port Andreaview, SC 12866</t>
  </si>
  <si>
    <t>Geophysicist/field seismologist</t>
  </si>
  <si>
    <t>Taylor, Snyder and White</t>
  </si>
  <si>
    <t>1997-06-26</t>
  </si>
  <si>
    <t>2021-07-26</t>
  </si>
  <si>
    <t>Joseph Olsen</t>
  </si>
  <si>
    <t>nguyenjose@nguyen.org</t>
  </si>
  <si>
    <t>895.686.2280x222</t>
  </si>
  <si>
    <t>15895 Vazquez Pike, West Corey, AR 54353</t>
  </si>
  <si>
    <t>Moreno Inc</t>
  </si>
  <si>
    <t>1961-03-09</t>
  </si>
  <si>
    <t>2020-06-13</t>
  </si>
  <si>
    <t>Michael Wallace</t>
  </si>
  <si>
    <t>cabreraalicia@cabrera-newman.net</t>
  </si>
  <si>
    <t>001-818-619-2738x9142</t>
  </si>
  <si>
    <t>485 Zachary Turnpike, Port Steven, MA 03059</t>
  </si>
  <si>
    <t>Fisher, Carrillo and Young</t>
  </si>
  <si>
    <t>Rebecca Carter</t>
  </si>
  <si>
    <t>lorigallegos@russell.org</t>
  </si>
  <si>
    <t>808-881-6138x716</t>
  </si>
  <si>
    <t>Unit 4193 Box 9865, DPO AA 55945</t>
  </si>
  <si>
    <t>Holmes, Gutierrez and Moore</t>
  </si>
  <si>
    <t>1975-05-03</t>
  </si>
  <si>
    <t>2017-12-03</t>
  </si>
  <si>
    <t>Andrea Henry</t>
  </si>
  <si>
    <t>ojohnson@gmail.com</t>
  </si>
  <si>
    <t>+1-997-835-1926x9141</t>
  </si>
  <si>
    <t>0017 Alexis Forest, East Richardmouth, SD 94188</t>
  </si>
  <si>
    <t>Olson-Gross</t>
  </si>
  <si>
    <t>1960-02-17</t>
  </si>
  <si>
    <t>2021-04-22</t>
  </si>
  <si>
    <t>Julia Martin</t>
  </si>
  <si>
    <t>brewersteven@matthews-gomez.com</t>
  </si>
  <si>
    <t>342-292-7889x10617</t>
  </si>
  <si>
    <t>PSC 8393, Box 0588, APO AA 84334</t>
  </si>
  <si>
    <t>Reyes PLC</t>
  </si>
  <si>
    <t>1963-09-22</t>
  </si>
  <si>
    <t>2017-08-13</t>
  </si>
  <si>
    <t>Mrs. Desiree Berry</t>
  </si>
  <si>
    <t>davidsonmichael@gmail.com</t>
  </si>
  <si>
    <t>001-528-629-1539x27860</t>
  </si>
  <si>
    <t>949 Robinson Parkway, Bradleytown, HI 15949</t>
  </si>
  <si>
    <t>Occupational therapist</t>
  </si>
  <si>
    <t>Cruz, Howard and Mooney</t>
  </si>
  <si>
    <t>1991-09-28</t>
  </si>
  <si>
    <t>2020-11-14</t>
  </si>
  <si>
    <t>Randy Day</t>
  </si>
  <si>
    <t>jonespeter@hughes-davis.com</t>
  </si>
  <si>
    <t>(409)843-6812x6992</t>
  </si>
  <si>
    <t>USCGC Young, FPO AE 16356</t>
  </si>
  <si>
    <t>Fernandez, Swanson and Love</t>
  </si>
  <si>
    <t>1978-01-02</t>
  </si>
  <si>
    <t>2022-11-18</t>
  </si>
  <si>
    <t>Haley Mata</t>
  </si>
  <si>
    <t>holtamber@hill-walker.com</t>
  </si>
  <si>
    <t>415.388.1422</t>
  </si>
  <si>
    <t>3054 Lester Ports Suite 907, Zacharyville, AR 66660</t>
  </si>
  <si>
    <t>Walters, Glover and Burton</t>
  </si>
  <si>
    <t>1960-12-28</t>
  </si>
  <si>
    <t>2017-10-02</t>
  </si>
  <si>
    <t>Christine Huffman</t>
  </si>
  <si>
    <t>nicolefoster@gmail.com</t>
  </si>
  <si>
    <t>6060408424</t>
  </si>
  <si>
    <t>793 Avila Plaza, North Elizabethstad, ND 47464</t>
  </si>
  <si>
    <t>Conservation officer, historic buildings</t>
  </si>
  <si>
    <t>Bailey Group</t>
  </si>
  <si>
    <t>2005-11-02</t>
  </si>
  <si>
    <t>2016-08-25</t>
  </si>
  <si>
    <t>Jamie Ali</t>
  </si>
  <si>
    <t>tburke@gmail.com</t>
  </si>
  <si>
    <t>987-811-0235x2340</t>
  </si>
  <si>
    <t>9006 Gordon Underpass, Sarabury, UT 33618</t>
  </si>
  <si>
    <t>Kelly, Mora and Johnson</t>
  </si>
  <si>
    <t>2000-07-29</t>
  </si>
  <si>
    <t>2025-03-28</t>
  </si>
  <si>
    <t>Lisa Forbes</t>
  </si>
  <si>
    <t>jonesdiana@kemp.net</t>
  </si>
  <si>
    <t>979-437-1692x958</t>
  </si>
  <si>
    <t>4357 Rojas Club Apt. 287, Humphreyside, OH 38939</t>
  </si>
  <si>
    <t>Tree surgeon</t>
  </si>
  <si>
    <t>Melton-Johnson</t>
  </si>
  <si>
    <t>1996-12-09</t>
  </si>
  <si>
    <t>2021-12-01</t>
  </si>
  <si>
    <t>Tommy Hale</t>
  </si>
  <si>
    <t>christina04@gmail.com</t>
  </si>
  <si>
    <t>(951)463-4383</t>
  </si>
  <si>
    <t>9420 Keith Haven, East Melissa, CA 75271</t>
  </si>
  <si>
    <t>2004-06-18</t>
  </si>
  <si>
    <t>2024-10-20</t>
  </si>
  <si>
    <t>kevin95@yahoo.com</t>
  </si>
  <si>
    <t>533-675-8355x6973</t>
  </si>
  <si>
    <t>502 John Rapid, East Tracey, TN 26463</t>
  </si>
  <si>
    <t>Rogers, Woodard and Garrison</t>
  </si>
  <si>
    <t>2001-12-20</t>
  </si>
  <si>
    <t>Deborah Gonzalez</t>
  </si>
  <si>
    <t>welchchristina@yahoo.com</t>
  </si>
  <si>
    <t>001-879-143-7905x552</t>
  </si>
  <si>
    <t>4820 Melanie Stream Apt. 169, Deanfurt, ID 82266</t>
  </si>
  <si>
    <t>Elliott-Deleon</t>
  </si>
  <si>
    <t>2022-04-27</t>
  </si>
  <si>
    <t>Amber Hughes</t>
  </si>
  <si>
    <t>gomezkathleen@king-lynch.com</t>
  </si>
  <si>
    <t>(251)276-3661x619</t>
  </si>
  <si>
    <t>3656 Taylor Crossroad Suite 390, Port Alexismouth, MI 53409</t>
  </si>
  <si>
    <t>Sanders LLC</t>
  </si>
  <si>
    <t>1968-03-09</t>
  </si>
  <si>
    <t>2021-10-21</t>
  </si>
  <si>
    <t>Derrick Gill</t>
  </si>
  <si>
    <t>dorseyjudith@yahoo.com</t>
  </si>
  <si>
    <t>324.441.6320x9827</t>
  </si>
  <si>
    <t>99204 Robert Burg Apt. 827, Courtneytown, OK 96042</t>
  </si>
  <si>
    <t>Chartered loss adjuster</t>
  </si>
  <si>
    <t>Garcia Group</t>
  </si>
  <si>
    <t>1994-04-30</t>
  </si>
  <si>
    <t>2017-07-17</t>
  </si>
  <si>
    <t>Jessica Smith</t>
  </si>
  <si>
    <t>qhowell@yahoo.com</t>
  </si>
  <si>
    <t>+1-048-171-7322x2078</t>
  </si>
  <si>
    <t>USNS Aguirre, FPO AE 15059</t>
  </si>
  <si>
    <t>IT technical support officer</t>
  </si>
  <si>
    <t>Cole, Spence and Johnson</t>
  </si>
  <si>
    <t>2002-08-03</t>
  </si>
  <si>
    <t>2017-02-16</t>
  </si>
  <si>
    <t>Ashley Jones</t>
  </si>
  <si>
    <t>anthony92@rodriguez-arnold.com</t>
  </si>
  <si>
    <t>799.886.5450x94077</t>
  </si>
  <si>
    <t>8162 Thomas Causeway Apt. 385, Lake Michelletown, NV 18358</t>
  </si>
  <si>
    <t>Medical illustrator</t>
  </si>
  <si>
    <t>Baxter PLC</t>
  </si>
  <si>
    <t>1989-03-10</t>
  </si>
  <si>
    <t>2019-12-29</t>
  </si>
  <si>
    <t>Cheyenne Chapman</t>
  </si>
  <si>
    <t>jdaniels@edwards.com</t>
  </si>
  <si>
    <t>443.884.5783</t>
  </si>
  <si>
    <t>8618 Mary Road Apt. 780, Miastad, NC 68857</t>
  </si>
  <si>
    <t>Walton, Walters and Morgan</t>
  </si>
  <si>
    <t>1993-12-16</t>
  </si>
  <si>
    <t>2022-01-19</t>
  </si>
  <si>
    <t>Renee Santiago</t>
  </si>
  <si>
    <t>gallegosmichael@howard-boyd.org</t>
  </si>
  <si>
    <t>773.374.0073x12495</t>
  </si>
  <si>
    <t>3626 Barnes Village Suite 259, South Mark, OR 34117</t>
  </si>
  <si>
    <t>Fuller PLC</t>
  </si>
  <si>
    <t>1970-09-12</t>
  </si>
  <si>
    <t>2016-07-14</t>
  </si>
  <si>
    <t>Katelyn Rhodes</t>
  </si>
  <si>
    <t>faulknerdeborah@gmail.com</t>
  </si>
  <si>
    <t>605.943.0489x96568</t>
  </si>
  <si>
    <t>30325 Susan Shores, Bowmanchester, WA 36955</t>
  </si>
  <si>
    <t>Accountant, chartered certified</t>
  </si>
  <si>
    <t>Cole LLC</t>
  </si>
  <si>
    <t>1996-07-19</t>
  </si>
  <si>
    <t>Brandy Howe</t>
  </si>
  <si>
    <t>fharvey@hotmail.com</t>
  </si>
  <si>
    <t>334.173.2495x511</t>
  </si>
  <si>
    <t>10555 Amber Viaduct, Monicabury, VA 89710</t>
  </si>
  <si>
    <t>Coleman and Sons</t>
  </si>
  <si>
    <t>1991-03-25</t>
  </si>
  <si>
    <t>2022-02-23</t>
  </si>
  <si>
    <t>Dawn Martin</t>
  </si>
  <si>
    <t>millerjennifer@ramirez.com</t>
  </si>
  <si>
    <t>001-850-217-9493x7867</t>
  </si>
  <si>
    <t>2253 Lopez Harbors, Lake Jimmymouth, LA 36617</t>
  </si>
  <si>
    <t>Romero, Griffith and Anderson</t>
  </si>
  <si>
    <t>1975-07-23</t>
  </si>
  <si>
    <t>Andrew Davidson</t>
  </si>
  <si>
    <t>hhill@west-wilson.com</t>
  </si>
  <si>
    <t>860-044-9541x81617</t>
  </si>
  <si>
    <t>1518 Wallace Crest Apt. 098, Port Elizabeth, NY 56986</t>
  </si>
  <si>
    <t>Mitchell, Thomas and Leonard</t>
  </si>
  <si>
    <t>1982-03-16</t>
  </si>
  <si>
    <t>2017-01-27</t>
  </si>
  <si>
    <t>Lisa Diaz</t>
  </si>
  <si>
    <t>marshmichael@romero-thomas.com</t>
  </si>
  <si>
    <t>+1-972-198-2766</t>
  </si>
  <si>
    <t>9963 Deborah Glens Apt. 988, Brianhaven, IA 13400</t>
  </si>
  <si>
    <t>Gomez-Thomas</t>
  </si>
  <si>
    <t>1971-11-16</t>
  </si>
  <si>
    <t>Brittney Johnson</t>
  </si>
  <si>
    <t>medinarichard@yahoo.com</t>
  </si>
  <si>
    <t>605.839.9641</t>
  </si>
  <si>
    <t>Unit 1592 Box 7275, DPO AP 59519</t>
  </si>
  <si>
    <t>Marshall-Mitchell</t>
  </si>
  <si>
    <t>1990-07-22</t>
  </si>
  <si>
    <t>2022-12-29</t>
  </si>
  <si>
    <t>Joseph Howard</t>
  </si>
  <si>
    <t>garrett75@rodriguez.com</t>
  </si>
  <si>
    <t>079.109.1752</t>
  </si>
  <si>
    <t>7870 Alicia Union, Lake Margaret, NM 25175</t>
  </si>
  <si>
    <t>Hunt, Olson and Morris</t>
  </si>
  <si>
    <t>1967-01-15</t>
  </si>
  <si>
    <t>2024-08-03</t>
  </si>
  <si>
    <t>Wesley Noble</t>
  </si>
  <si>
    <t>figueroakarina@howard.com</t>
  </si>
  <si>
    <t>+1-130-843-6249</t>
  </si>
  <si>
    <t>01815 Elizabeth Summit, Turnermouth, FL 22592</t>
  </si>
  <si>
    <t>Lewis Ltd</t>
  </si>
  <si>
    <t>1966-12-24</t>
  </si>
  <si>
    <t>Christopher Cooper</t>
  </si>
  <si>
    <t>kelly98@ashley-herrera.com</t>
  </si>
  <si>
    <t>088-482-8362x27427</t>
  </si>
  <si>
    <t>722 Pamela Pines, West Jamesmouth, CO 73805</t>
  </si>
  <si>
    <t>Engineer, chemical</t>
  </si>
  <si>
    <t>Walton Inc</t>
  </si>
  <si>
    <t>1963-02-28</t>
  </si>
  <si>
    <t>2020-04-08</t>
  </si>
  <si>
    <t>Joseph Wilson</t>
  </si>
  <si>
    <t>pruittashley@rodgers.com</t>
  </si>
  <si>
    <t>(011)452-3412x94344</t>
  </si>
  <si>
    <t>34984 Barker Estate Apt. 107, Port Miranda, IL 03641</t>
  </si>
  <si>
    <t>Edwards Ltd</t>
  </si>
  <si>
    <t>1972-07-31</t>
  </si>
  <si>
    <t>2021-06-28</t>
  </si>
  <si>
    <t>Travis Bailey</t>
  </si>
  <si>
    <t>susansanchez@marshall-lewis.org</t>
  </si>
  <si>
    <t>001-817-974-1088x5311</t>
  </si>
  <si>
    <t>1220 Kimberly Grove Suite 458, Williamsonville, MA 08153</t>
  </si>
  <si>
    <t>Biomedical engineer</t>
  </si>
  <si>
    <t>Berry, Garcia and Cameron</t>
  </si>
  <si>
    <t>1975-04-12</t>
  </si>
  <si>
    <t>2021-06-03</t>
  </si>
  <si>
    <t>Jonathan Ortiz</t>
  </si>
  <si>
    <t>russellmoss@guzman.com</t>
  </si>
  <si>
    <t>389-548-6739x486</t>
  </si>
  <si>
    <t>99890 Eric Lakes Apt. 756, South Jamesstad, PA 58445</t>
  </si>
  <si>
    <t>Sports administrator</t>
  </si>
  <si>
    <t>Davis, Nelson and Greene</t>
  </si>
  <si>
    <t>1973-02-10</t>
  </si>
  <si>
    <t>2020-04-01</t>
  </si>
  <si>
    <t>Daniel Rowland</t>
  </si>
  <si>
    <t>joseph53@ashley-rhodes.info</t>
  </si>
  <si>
    <t>714-806-6205x51342</t>
  </si>
  <si>
    <t>1591 Brandi Point, Michaelberg, NY 65930</t>
  </si>
  <si>
    <t>Ellison-Thompson</t>
  </si>
  <si>
    <t>1980-01-05</t>
  </si>
  <si>
    <t>2021-09-13</t>
  </si>
  <si>
    <t>Stephanie Parker</t>
  </si>
  <si>
    <t>floresedwin@nguyen.com</t>
  </si>
  <si>
    <t>001-492-748-6277x55041</t>
  </si>
  <si>
    <t>32314 Faulkner Shore, Port Jenniferport, IN 91998</t>
  </si>
  <si>
    <t>Chavez, Stevenson and Walker</t>
  </si>
  <si>
    <t>1994-10-23</t>
  </si>
  <si>
    <t>2019-02-17</t>
  </si>
  <si>
    <t>Melissa Ochoa</t>
  </si>
  <si>
    <t>alison05@knight-turner.com</t>
  </si>
  <si>
    <t>338.645.6368</t>
  </si>
  <si>
    <t>78365 Cook Bypass, Randallchester, WA 79024</t>
  </si>
  <si>
    <t>Kemp-Medina</t>
  </si>
  <si>
    <t>1980-12-18</t>
  </si>
  <si>
    <t>2025-02-28</t>
  </si>
  <si>
    <t>Amy Mcbride</t>
  </si>
  <si>
    <t>aliciaburgess@gmail.com</t>
  </si>
  <si>
    <t>3042256203</t>
  </si>
  <si>
    <t>31336 Horne Prairie Suite 118, Sabrinaborough, NE 60472</t>
  </si>
  <si>
    <t>Brown, Terry and Gardner</t>
  </si>
  <si>
    <t>1992-12-09</t>
  </si>
  <si>
    <t>Jenny Reynolds</t>
  </si>
  <si>
    <t>vhill@johnson.com</t>
  </si>
  <si>
    <t>001-702-469-8531x18492</t>
  </si>
  <si>
    <t>700 William Fort, Martinbury, NM 74378</t>
  </si>
  <si>
    <t>Cummings, Rodriguez and Cortez</t>
  </si>
  <si>
    <t>2005-06-29</t>
  </si>
  <si>
    <t>2023-03-20</t>
  </si>
  <si>
    <t>Michael Taylor</t>
  </si>
  <si>
    <t>uortiz@gmail.com</t>
  </si>
  <si>
    <t>905.377.2313x212</t>
  </si>
  <si>
    <t>77299 Melissa Walks Apt. 987, Palmerview, ND 17416</t>
  </si>
  <si>
    <t>Erickson-Scott</t>
  </si>
  <si>
    <t>1980-11-20</t>
  </si>
  <si>
    <t>2016-10-26</t>
  </si>
  <si>
    <t>Denise Clark Md</t>
  </si>
  <si>
    <t>yrobinson@gmail.com</t>
  </si>
  <si>
    <t>8207061232</t>
  </si>
  <si>
    <t>2615 Ware Dam, Port Jillianfort, DC 87837</t>
  </si>
  <si>
    <t>Morales, Yu and Jackson</t>
  </si>
  <si>
    <t>1962-05-01</t>
  </si>
  <si>
    <t>2018-02-02</t>
  </si>
  <si>
    <t>Monique Aguilar</t>
  </si>
  <si>
    <t>jake68@rodriguez.com</t>
  </si>
  <si>
    <t>236-317-1308x2032</t>
  </si>
  <si>
    <t>8347 Madeline Plains, Reillychester, IL 16168</t>
  </si>
  <si>
    <t>Murray-Duarte</t>
  </si>
  <si>
    <t>1972-03-15</t>
  </si>
  <si>
    <t>2019-01-17</t>
  </si>
  <si>
    <t>Sierra Ferguson</t>
  </si>
  <si>
    <t>pbrown@morrison-peterson.com</t>
  </si>
  <si>
    <t>(912)268-8566x79019</t>
  </si>
  <si>
    <t>4393 Dana Locks Apt. 124, South Ronaldhaven, MI 80578</t>
  </si>
  <si>
    <t>Newspaper journalist</t>
  </si>
  <si>
    <t>Baldwin-Gomez</t>
  </si>
  <si>
    <t>1990-02-26</t>
  </si>
  <si>
    <t>2018-12-17</t>
  </si>
  <si>
    <t>Abigail Williams</t>
  </si>
  <si>
    <t>xmiller@hotmail.com</t>
  </si>
  <si>
    <t>601-324-1578</t>
  </si>
  <si>
    <t>748 Nicole Passage Suite 650, South Cindy, MN 14030</t>
  </si>
  <si>
    <t>Davis Inc</t>
  </si>
  <si>
    <t>1997-12-14</t>
  </si>
  <si>
    <t>2015-10-09</t>
  </si>
  <si>
    <t>Adriana Hoover</t>
  </si>
  <si>
    <t>kathleen21@gmail.com</t>
  </si>
  <si>
    <t>+1-679-449-0239x034</t>
  </si>
  <si>
    <t>10556 Keller Shores, North Shelly, KY 86954</t>
  </si>
  <si>
    <t>Immigration officer</t>
  </si>
  <si>
    <t>Morales, Castaneda and Rose</t>
  </si>
  <si>
    <t>1976-08-25</t>
  </si>
  <si>
    <t>2017-12-22</t>
  </si>
  <si>
    <t>Michael Carlson</t>
  </si>
  <si>
    <t>kelsey82@moran.com</t>
  </si>
  <si>
    <t>741-913-5678x4824</t>
  </si>
  <si>
    <t>PSC 8807, Box 9543, APO AE 41280</t>
  </si>
  <si>
    <t>Delgado-Sellers</t>
  </si>
  <si>
    <t>1971-09-24</t>
  </si>
  <si>
    <t>2018-09-22</t>
  </si>
  <si>
    <t>Danny Pena</t>
  </si>
  <si>
    <t>gomezbruce@henderson.org</t>
  </si>
  <si>
    <t>222-960-9225x139</t>
  </si>
  <si>
    <t>9762 Nathan Forks, South Christine, MS 42595</t>
  </si>
  <si>
    <t>Psychologist, forensic</t>
  </si>
  <si>
    <t>Gilbert LLC</t>
  </si>
  <si>
    <t>1961-10-21</t>
  </si>
  <si>
    <t>2024-08-26</t>
  </si>
  <si>
    <t>Wendy Mayer</t>
  </si>
  <si>
    <t>ramoswesley@yahoo.com</t>
  </si>
  <si>
    <t>+1-653-391-9628x41078</t>
  </si>
  <si>
    <t>793 Heather Islands, Kellyfurt, MO 46747</t>
  </si>
  <si>
    <t>Lee Inc</t>
  </si>
  <si>
    <t>1969-02-06</t>
  </si>
  <si>
    <t>2016-04-18</t>
  </si>
  <si>
    <t>Kevin Gonzales</t>
  </si>
  <si>
    <t>jake98@gmail.com</t>
  </si>
  <si>
    <t>+1-014-599-4090x26569</t>
  </si>
  <si>
    <t>134 Bass Bypass Suite 189, Phillipsmouth, NV 94620</t>
  </si>
  <si>
    <t>Agricultural engineer</t>
  </si>
  <si>
    <t>Sullivan-Morrison</t>
  </si>
  <si>
    <t>2003-06-27</t>
  </si>
  <si>
    <t>2019-02-19</t>
  </si>
  <si>
    <t>Michael Thompson</t>
  </si>
  <si>
    <t>jeffrey28@golden.com</t>
  </si>
  <si>
    <t>746.771.8360x706</t>
  </si>
  <si>
    <t>6396 Jacob Crest Suite 136, Port Jody, NY 06329</t>
  </si>
  <si>
    <t>Amenity horticulturist</t>
  </si>
  <si>
    <t>Williams, Bell and Davis</t>
  </si>
  <si>
    <t>1976-03-08</t>
  </si>
  <si>
    <t>2024-09-22</t>
  </si>
  <si>
    <t>Todd Oneal</t>
  </si>
  <si>
    <t>ronald32@jones.net</t>
  </si>
  <si>
    <t>(534)512-9729</t>
  </si>
  <si>
    <t>4755 Charles Avenue Suite 667, Mcbrideton, AL 25921</t>
  </si>
  <si>
    <t>Carr, Price and Dickerson</t>
  </si>
  <si>
    <t>1962-04-22</t>
  </si>
  <si>
    <t>2021-02-16</t>
  </si>
  <si>
    <t>Raymond Fields</t>
  </si>
  <si>
    <t>robynerickson@fernandez.com</t>
  </si>
  <si>
    <t>+1-747-386-5821x414</t>
  </si>
  <si>
    <t>75525 Brandy Port, Port Ryan, PA 65504</t>
  </si>
  <si>
    <t>House-Mitchell</t>
  </si>
  <si>
    <t>2003-02-02</t>
  </si>
  <si>
    <t>Angela Reid</t>
  </si>
  <si>
    <t>monica91@campbell-mcknight.com</t>
  </si>
  <si>
    <t>001-294-469-8497</t>
  </si>
  <si>
    <t>41680 Chavez Streets, West Melody, ID 82062</t>
  </si>
  <si>
    <t>Dixon, Hunt and Kelly</t>
  </si>
  <si>
    <t>1962-04-28</t>
  </si>
  <si>
    <t>2016-01-28</t>
  </si>
  <si>
    <t>Tina Edwards</t>
  </si>
  <si>
    <t>thomas78@kaiser-barton.com</t>
  </si>
  <si>
    <t>(820)218-8825</t>
  </si>
  <si>
    <t>79249 Martinez Lights, Maldonadoville, AL 93512</t>
  </si>
  <si>
    <t>Pharmacist, hospital</t>
  </si>
  <si>
    <t>Williams-Burnett</t>
  </si>
  <si>
    <t>1970-02-26</t>
  </si>
  <si>
    <t>2024-09-13</t>
  </si>
  <si>
    <t>Rachel Williams</t>
  </si>
  <si>
    <t>sophiastewart@gmail.com</t>
  </si>
  <si>
    <t>158.864.7960x4770</t>
  </si>
  <si>
    <t>33191 Tina Unions, Reneeside, MI 56470</t>
  </si>
  <si>
    <t>Austin-Lyons</t>
  </si>
  <si>
    <t>1987-09-23</t>
  </si>
  <si>
    <t>2024-02-13</t>
  </si>
  <si>
    <t>Tiffany Alvarez</t>
  </si>
  <si>
    <t>tranchristine@hotmail.com</t>
  </si>
  <si>
    <t>726.990.2119x61140</t>
  </si>
  <si>
    <t>1992 Brian Walks, New Shaneburgh, MA 57005</t>
  </si>
  <si>
    <t>Designer, television/film set</t>
  </si>
  <si>
    <t>Mendez, Lane and Wallace</t>
  </si>
  <si>
    <t>1988-09-09</t>
  </si>
  <si>
    <t>2021-11-27</t>
  </si>
  <si>
    <t>Tammy Booker</t>
  </si>
  <si>
    <t>thompsonemily@hotmail.com</t>
  </si>
  <si>
    <t>606-468-0055x48047</t>
  </si>
  <si>
    <t>07433 Tate Rapids, Johnsonville, OK 71631</t>
  </si>
  <si>
    <t>Barton-Mason</t>
  </si>
  <si>
    <t>1970-01-07</t>
  </si>
  <si>
    <t>2024-12-29</t>
  </si>
  <si>
    <t>Michael Brady</t>
  </si>
  <si>
    <t>natalieriddle@gmail.com</t>
  </si>
  <si>
    <t>+1-209-045-7112x338</t>
  </si>
  <si>
    <t>02656 Phillip Lane, Batesland, NJ 14078</t>
  </si>
  <si>
    <t>1974-11-20</t>
  </si>
  <si>
    <t>2016-09-07</t>
  </si>
  <si>
    <t>Joshua Fisher</t>
  </si>
  <si>
    <t>russellheather@benson.com</t>
  </si>
  <si>
    <t>+1-938-010-7645x157</t>
  </si>
  <si>
    <t>31270 Brown Mount, Brentberg, CA 65834</t>
  </si>
  <si>
    <t>Mendez-Bradley</t>
  </si>
  <si>
    <t>1987-04-23</t>
  </si>
  <si>
    <t>Vanessa Park</t>
  </si>
  <si>
    <t>david57@chang-yates.info</t>
  </si>
  <si>
    <t>+1-149-257-5558</t>
  </si>
  <si>
    <t>061 Kathy Roads, Port Jonathan, CA 50962</t>
  </si>
  <si>
    <t>Mitchell Inc</t>
  </si>
  <si>
    <t>1970-02-25</t>
  </si>
  <si>
    <t>Emily Green</t>
  </si>
  <si>
    <t>daniel09@hotmail.com</t>
  </si>
  <si>
    <t>(514)305-5414</t>
  </si>
  <si>
    <t>9409 Cook Turnpike Apt. 099, West Andrewtown, ME 16190</t>
  </si>
  <si>
    <t>Hart Ltd</t>
  </si>
  <si>
    <t>1971-09-23</t>
  </si>
  <si>
    <t>2015-09-13</t>
  </si>
  <si>
    <t>Jason Smith</t>
  </si>
  <si>
    <t>sean22@harris.com</t>
  </si>
  <si>
    <t>139.378.3579x240</t>
  </si>
  <si>
    <t>207 Angela Island Apt. 458, East Sue, KS 97284</t>
  </si>
  <si>
    <t>Allen Group</t>
  </si>
  <si>
    <t>2003-06-08</t>
  </si>
  <si>
    <t>Jonathon Jennings</t>
  </si>
  <si>
    <t>jennifer74@jimenez.net</t>
  </si>
  <si>
    <t>001-911-395-8757</t>
  </si>
  <si>
    <t>731 Phillips Parkways Apt. 120, Jacksonfort, PA 79804</t>
  </si>
  <si>
    <t>Welch, Butler and Garner</t>
  </si>
  <si>
    <t>1998-05-13</t>
  </si>
  <si>
    <t>Donna Myers</t>
  </si>
  <si>
    <t>brett76@gmail.com</t>
  </si>
  <si>
    <t>001-204-776-2278x49087</t>
  </si>
  <si>
    <t>26093 Jones Fall Apt. 954, North Kevin, AL 01895</t>
  </si>
  <si>
    <t>Woodward and Sons</t>
  </si>
  <si>
    <t>2001-08-08</t>
  </si>
  <si>
    <t>2017-12-31</t>
  </si>
  <si>
    <t>Karen Smith</t>
  </si>
  <si>
    <t>katiemata@hotmail.com</t>
  </si>
  <si>
    <t>+1-059-036-8222</t>
  </si>
  <si>
    <t>47337 Margaret Estates Suite 922, Andreaside, MS 64515</t>
  </si>
  <si>
    <t>Walker Inc</t>
  </si>
  <si>
    <t>1980-12-02</t>
  </si>
  <si>
    <t>2018-10-24</t>
  </si>
  <si>
    <t>Dale Johnson</t>
  </si>
  <si>
    <t>aramirez@garcia.biz</t>
  </si>
  <si>
    <t>7135450634</t>
  </si>
  <si>
    <t>134 David Square, Millerfort, VA 45206</t>
  </si>
  <si>
    <t>Brown, Barton and Thomas</t>
  </si>
  <si>
    <t>1981-02-13</t>
  </si>
  <si>
    <t>Austin Henry</t>
  </si>
  <si>
    <t>martinrichard@pierce.net</t>
  </si>
  <si>
    <t>001-222-567-6069x019</t>
  </si>
  <si>
    <t>978 Daniels Skyway, Michaelshire, MI 30644</t>
  </si>
  <si>
    <t>Health promotion specialist</t>
  </si>
  <si>
    <t>Taylor, Williams and Kemp</t>
  </si>
  <si>
    <t>1991-02-11</t>
  </si>
  <si>
    <t>Joseph Simpson</t>
  </si>
  <si>
    <t>chood@yahoo.com</t>
  </si>
  <si>
    <t>001-806-530-8956x90195</t>
  </si>
  <si>
    <t>700 King Inlet, East Robert, MD 11991</t>
  </si>
  <si>
    <t>Stokes PLC</t>
  </si>
  <si>
    <t>2024-06-04</t>
  </si>
  <si>
    <t>Joshua Perez</t>
  </si>
  <si>
    <t>johnmiller@patterson-maldonado.com</t>
  </si>
  <si>
    <t>+1-771-967-6787x62477</t>
  </si>
  <si>
    <t>468 Walsh Keys, Stevenborough, KY 96575</t>
  </si>
  <si>
    <t>Horticultural consultant</t>
  </si>
  <si>
    <t>Watson-Vasquez</t>
  </si>
  <si>
    <t>1977-02-08</t>
  </si>
  <si>
    <t>2021-09-23</t>
  </si>
  <si>
    <t>Tiffany Harris</t>
  </si>
  <si>
    <t>annadixon@yahoo.com</t>
  </si>
  <si>
    <t>+1-754-718-8751</t>
  </si>
  <si>
    <t>3035 Matthew Village, East Shannon, VA 59839</t>
  </si>
  <si>
    <t>Taylor, Wallace and Rowe</t>
  </si>
  <si>
    <t>1984-08-16</t>
  </si>
  <si>
    <t>2025-03-31</t>
  </si>
  <si>
    <t>Eric Morgan</t>
  </si>
  <si>
    <t>burnsmegan@gmail.com</t>
  </si>
  <si>
    <t>177-814-9021x8758</t>
  </si>
  <si>
    <t>54936 Reed Mills, Morrowshire, UT 03876</t>
  </si>
  <si>
    <t>Music tutor</t>
  </si>
  <si>
    <t>Odonnell-Simmons</t>
  </si>
  <si>
    <t>1999-01-01</t>
  </si>
  <si>
    <t>2019-06-21</t>
  </si>
  <si>
    <t>Dustin Hoover</t>
  </si>
  <si>
    <t>natasha09@hotmail.com</t>
  </si>
  <si>
    <t>627-013-9405x06433</t>
  </si>
  <si>
    <t>4269 Kevin Shores Apt. 837, Cindytown, NH 88074</t>
  </si>
  <si>
    <t>Administrator, education</t>
  </si>
  <si>
    <t>Gardner, Lambert and Burns</t>
  </si>
  <si>
    <t>1993-12-29</t>
  </si>
  <si>
    <t>Alyssa Webb</t>
  </si>
  <si>
    <t>xwilkerson@mason-jackson.com</t>
  </si>
  <si>
    <t>061.512.3601x8192</t>
  </si>
  <si>
    <t>6552 Davis Islands Suite 696, Morganmouth, SC 83273</t>
  </si>
  <si>
    <t>Adult nurse</t>
  </si>
  <si>
    <t>Morris Ltd</t>
  </si>
  <si>
    <t>2000-05-28</t>
  </si>
  <si>
    <t>2015-11-27</t>
  </si>
  <si>
    <t>Kaitlin Mann</t>
  </si>
  <si>
    <t>johnsondalton@hodges.com</t>
  </si>
  <si>
    <t>001-782-857-0793</t>
  </si>
  <si>
    <t>PSC 9795, Box 7986, APO AP 20106</t>
  </si>
  <si>
    <t>Johnson PLC</t>
  </si>
  <si>
    <t>1981-08-23</t>
  </si>
  <si>
    <t>Jessica Stephens</t>
  </si>
  <si>
    <t>ginamurphy@king-roberts.com</t>
  </si>
  <si>
    <t>151.376.4938</t>
  </si>
  <si>
    <t>6413 Burnett Creek Suite 227, North Kathryn, LA 96480</t>
  </si>
  <si>
    <t>Maynard Inc</t>
  </si>
  <si>
    <t>1997-09-28</t>
  </si>
  <si>
    <t>2020-06-11</t>
  </si>
  <si>
    <t>Pamela Carpenter</t>
  </si>
  <si>
    <t>michaelholt@webb.com</t>
  </si>
  <si>
    <t>(321)080-9393x445</t>
  </si>
  <si>
    <t>141 Brooks Locks, Lake Lisa, KS 51426</t>
  </si>
  <si>
    <t>Restaurant manager, fast food</t>
  </si>
  <si>
    <t>Soto-Blanchard</t>
  </si>
  <si>
    <t>1962-04-09</t>
  </si>
  <si>
    <t>Nancy Simon</t>
  </si>
  <si>
    <t>xperry@barton.info</t>
  </si>
  <si>
    <t>(747)443-6858</t>
  </si>
  <si>
    <t>75669 Michael Rest Suite 020, South Margaret, NH 40598</t>
  </si>
  <si>
    <t>Payne Ltd</t>
  </si>
  <si>
    <t>1980-08-26</t>
  </si>
  <si>
    <t>2017-09-19</t>
  </si>
  <si>
    <t>Michael Rodriguez</t>
  </si>
  <si>
    <t>morrismark@bell-coleman.biz</t>
  </si>
  <si>
    <t>351-377-3744</t>
  </si>
  <si>
    <t>41495 Robert Parks, Paulland, OR 98325</t>
  </si>
  <si>
    <t>Figueroa LLC</t>
  </si>
  <si>
    <t>1997-07-10</t>
  </si>
  <si>
    <t>Amy Becker</t>
  </si>
  <si>
    <t>mwood@dixon-anderson.biz</t>
  </si>
  <si>
    <t>304-126-8194x28568</t>
  </si>
  <si>
    <t>USNS Patterson, FPO AP 36539</t>
  </si>
  <si>
    <t>Allison-Mendoza</t>
  </si>
  <si>
    <t>1995-09-28</t>
  </si>
  <si>
    <t>2019-03-31</t>
  </si>
  <si>
    <t>scottadkins@quinn-miller.com</t>
  </si>
  <si>
    <t>001-348-012-5273x906</t>
  </si>
  <si>
    <t>876 Olson Valleys, Loriberg, UT 25379</t>
  </si>
  <si>
    <t>Campbell PLC</t>
  </si>
  <si>
    <t>1959-09-16</t>
  </si>
  <si>
    <t>2024-08-19</t>
  </si>
  <si>
    <t>Mr. Dave Herrera</t>
  </si>
  <si>
    <t>amyward@barnes.biz</t>
  </si>
  <si>
    <t>(810)060-6929</t>
  </si>
  <si>
    <t>5956 Hannah Court, Heatherburgh, TN 14402</t>
  </si>
  <si>
    <t>Rios, Juarez and Reese</t>
  </si>
  <si>
    <t>1964-06-09</t>
  </si>
  <si>
    <t>2017-03-06</t>
  </si>
  <si>
    <t>Lauren Chaney</t>
  </si>
  <si>
    <t>taylorhill@hotmail.com</t>
  </si>
  <si>
    <t>(298)946-8233x52417</t>
  </si>
  <si>
    <t>884 Mackenzie Light Suite 400, Port Omarmouth, WI 26212</t>
  </si>
  <si>
    <t>Jefferson, Tucker and West</t>
  </si>
  <si>
    <t>1961-01-22</t>
  </si>
  <si>
    <t>2016-01-29</t>
  </si>
  <si>
    <t>Mark Meyer</t>
  </si>
  <si>
    <t>qturner@miller-andrade.com</t>
  </si>
  <si>
    <t>272.180.0003</t>
  </si>
  <si>
    <t>898 Ashley Haven Apt. 785, Collinsville, MD 62367</t>
  </si>
  <si>
    <t>Ponce Group</t>
  </si>
  <si>
    <t>2001-09-04</t>
  </si>
  <si>
    <t>David Nolan</t>
  </si>
  <si>
    <t>ksmith@gmail.com</t>
  </si>
  <si>
    <t>+1-936-452-9514x77185</t>
  </si>
  <si>
    <t>3378 Joann Manor Apt. 071, New Jeffery, ME 28684</t>
  </si>
  <si>
    <t>Johnson and Sons</t>
  </si>
  <si>
    <t>1962-09-27</t>
  </si>
  <si>
    <t>2021-07-27</t>
  </si>
  <si>
    <t>Nicole Anderson</t>
  </si>
  <si>
    <t>kingdaniel@palmer.info</t>
  </si>
  <si>
    <t>287-262-9821</t>
  </si>
  <si>
    <t>116 Francis Dam Suite 448, Jasonchester, WY 74609</t>
  </si>
  <si>
    <t>Wang Ltd</t>
  </si>
  <si>
    <t>1992-11-22</t>
  </si>
  <si>
    <t>2018-10-29</t>
  </si>
  <si>
    <t>Jeremy King</t>
  </si>
  <si>
    <t>sjones@hotmail.com</t>
  </si>
  <si>
    <t>001-219-363-3081</t>
  </si>
  <si>
    <t>3070 Carter View Apt. 961, West Jasminhaven, TX 35351</t>
  </si>
  <si>
    <t>Collins, Brooks and Ward</t>
  </si>
  <si>
    <t>1975-03-15</t>
  </si>
  <si>
    <t>Gabriel Morales</t>
  </si>
  <si>
    <t>josephweber@lopez.com</t>
  </si>
  <si>
    <t>(312)681-1764x3785</t>
  </si>
  <si>
    <t>5841 Boyd Extension, North Peggytown, DE 60972</t>
  </si>
  <si>
    <t>Hart LLC</t>
  </si>
  <si>
    <t>1966-02-04</t>
  </si>
  <si>
    <t>2021-03-09</t>
  </si>
  <si>
    <t>Jacqueline Perkins</t>
  </si>
  <si>
    <t>sharonshea@rosales-smith.info</t>
  </si>
  <si>
    <t>879.556.8842x76611</t>
  </si>
  <si>
    <t>9655 Rose Cliff, East Monicachester, IN 17565</t>
  </si>
  <si>
    <t>Veterinary surgeon</t>
  </si>
  <si>
    <t>Thomas, Myers and Wolfe</t>
  </si>
  <si>
    <t>2002-01-20</t>
  </si>
  <si>
    <t>2024-08-23</t>
  </si>
  <si>
    <t>Jennifer Morales</t>
  </si>
  <si>
    <t>zacharymurray@castaneda-george.com</t>
  </si>
  <si>
    <t>001-427-776-4540x8700</t>
  </si>
  <si>
    <t>4483 Mora Ports Apt. 465, East Heatherton, RI 48359</t>
  </si>
  <si>
    <t>Outdoor activities/education manager</t>
  </si>
  <si>
    <t>Bernard, Harrison and Nicholson</t>
  </si>
  <si>
    <t>1997-03-13</t>
  </si>
  <si>
    <t>2017-04-16</t>
  </si>
  <si>
    <t>Manuel Callahan Jr.</t>
  </si>
  <si>
    <t>guzmanjoyce@hotmail.com</t>
  </si>
  <si>
    <t>137-205-8959x03038</t>
  </si>
  <si>
    <t>Unit 8603 Box 2026, DPO AA 88574</t>
  </si>
  <si>
    <t>Edwards, James and Reid</t>
  </si>
  <si>
    <t>1983-08-07</t>
  </si>
  <si>
    <t>2023-05-01</t>
  </si>
  <si>
    <t>Devin Dudley</t>
  </si>
  <si>
    <t>gashley@kelly.net</t>
  </si>
  <si>
    <t>995-231-3906</t>
  </si>
  <si>
    <t>502 Howard Row Apt. 666, Phillipbury, SD 77316</t>
  </si>
  <si>
    <t>Lawson Inc</t>
  </si>
  <si>
    <t>1992-11-16</t>
  </si>
  <si>
    <t>2017-12-14</t>
  </si>
  <si>
    <t>Shelley Jones</t>
  </si>
  <si>
    <t>beckerbrandon@cross.com</t>
  </si>
  <si>
    <t>(973)619-3503</t>
  </si>
  <si>
    <t>547 Kevin Views, East Glennfort, AZ 80639</t>
  </si>
  <si>
    <t>Jenkins, Harris and Owen</t>
  </si>
  <si>
    <t>1961-09-26</t>
  </si>
  <si>
    <t>2018-11-14</t>
  </si>
  <si>
    <t>Mrs. Angela Warren</t>
  </si>
  <si>
    <t>ramirezmary@hotmail.com</t>
  </si>
  <si>
    <t>(361)014-9297x70465</t>
  </si>
  <si>
    <t>035 Christopher Burg, West Megan, DC 14580</t>
  </si>
  <si>
    <t>Pilot, airline</t>
  </si>
  <si>
    <t>Walker Group</t>
  </si>
  <si>
    <t>1988-02-17</t>
  </si>
  <si>
    <t>Susan Hernandez</t>
  </si>
  <si>
    <t>david23@hotmail.com</t>
  </si>
  <si>
    <t>454.558.9203x94083</t>
  </si>
  <si>
    <t>5389 Rojas Tunnel Apt. 223, Foxburgh, KY 41840</t>
  </si>
  <si>
    <t>Daniels, Hartman and Bradley</t>
  </si>
  <si>
    <t>1961-11-23</t>
  </si>
  <si>
    <t>2018-09-28</t>
  </si>
  <si>
    <t>David Collins</t>
  </si>
  <si>
    <t>davidrivera@yahoo.com</t>
  </si>
  <si>
    <t>9788797038</t>
  </si>
  <si>
    <t>6090 Walker Cove, New Andrewborough, ID 73884</t>
  </si>
  <si>
    <t>Martin, Medina and Smith</t>
  </si>
  <si>
    <t>2017-04-09</t>
  </si>
  <si>
    <t>Brian Shepherd</t>
  </si>
  <si>
    <t>xbishop@hotmail.com</t>
  </si>
  <si>
    <t>001-919-307-3465x776</t>
  </si>
  <si>
    <t>024 Douglas Crest Apt. 829, Lake Steven, IN 45794</t>
  </si>
  <si>
    <t>Site engineer</t>
  </si>
  <si>
    <t>Herrera, Dunn and Taylor</t>
  </si>
  <si>
    <t>2005-09-17</t>
  </si>
  <si>
    <t>2022-09-24</t>
  </si>
  <si>
    <t>Meredith Odonnell</t>
  </si>
  <si>
    <t>andrew80@casey.org</t>
  </si>
  <si>
    <t>992.215.9811x94115</t>
  </si>
  <si>
    <t>6677 Steven Extension Apt. 390, Boonetown, WY 21156</t>
  </si>
  <si>
    <t>Editor, magazine features</t>
  </si>
  <si>
    <t>Mclaughlin, Fox and Hinton</t>
  </si>
  <si>
    <t>1961-05-06</t>
  </si>
  <si>
    <t>2023-10-13</t>
  </si>
  <si>
    <t>Alexis Coleman</t>
  </si>
  <si>
    <t>jodyadams@hartman.com</t>
  </si>
  <si>
    <t>(764)472-3932x5122</t>
  </si>
  <si>
    <t>9380 Pamela Motorway, Kaiserport, CT 62763</t>
  </si>
  <si>
    <t>Fisher, Martin and Murray</t>
  </si>
  <si>
    <t>1979-07-13</t>
  </si>
  <si>
    <t>David Contreras</t>
  </si>
  <si>
    <t>sancheztasha@lee-hancock.com</t>
  </si>
  <si>
    <t>(905)543-9483</t>
  </si>
  <si>
    <t>88606 Leslie Pass Suite 007, Kristinafort, MT 51914</t>
  </si>
  <si>
    <t>Jacobs-Tucker</t>
  </si>
  <si>
    <t>1976-12-20</t>
  </si>
  <si>
    <t>Matthew Lara</t>
  </si>
  <si>
    <t>davenportcolleen@reed-jones.org</t>
  </si>
  <si>
    <t>583.536.1089</t>
  </si>
  <si>
    <t>3588 Powell Manor, Ginamouth, AK 61742</t>
  </si>
  <si>
    <t>Robinson-Ward</t>
  </si>
  <si>
    <t>1977-02-09</t>
  </si>
  <si>
    <t>2024-01-31</t>
  </si>
  <si>
    <t>Sarah Petersen</t>
  </si>
  <si>
    <t>santiagotiffany@hotmail.com</t>
  </si>
  <si>
    <t>001-746-438-1638x38134</t>
  </si>
  <si>
    <t>93413 Bryant Divide, Lake Jessicaview, CT 37699</t>
  </si>
  <si>
    <t>Jordan-Williams</t>
  </si>
  <si>
    <t>1962-07-08</t>
  </si>
  <si>
    <t>2022-03-27</t>
  </si>
  <si>
    <t>Caitlin Gordon</t>
  </si>
  <si>
    <t>michael92@jordan-stewart.com</t>
  </si>
  <si>
    <t>(754)985-2021x2423</t>
  </si>
  <si>
    <t>318 Smith Courts, Hollyfort, WA 64551</t>
  </si>
  <si>
    <t>Buchanan-Haley</t>
  </si>
  <si>
    <t>1996-05-30</t>
  </si>
  <si>
    <t>Erica Bowen</t>
  </si>
  <si>
    <t>lindsay24@yahoo.com</t>
  </si>
  <si>
    <t>3870625623</t>
  </si>
  <si>
    <t>574 Devin Green, New Danielchester, NV 55663</t>
  </si>
  <si>
    <t>Weeks, Jackson and Chase</t>
  </si>
  <si>
    <t>1991-09-19</t>
  </si>
  <si>
    <t>2020-08-18</t>
  </si>
  <si>
    <t>Brooke Anderson</t>
  </si>
  <si>
    <t>jonestamara@hotmail.com</t>
  </si>
  <si>
    <t>001-791-107-6622x87072</t>
  </si>
  <si>
    <t>2473 Williams Wall, West Dennischester, CO 47486</t>
  </si>
  <si>
    <t>Engineer, electronics</t>
  </si>
  <si>
    <t>Allen-Castro</t>
  </si>
  <si>
    <t>1973-01-08</t>
  </si>
  <si>
    <t>2022-12-22</t>
  </si>
  <si>
    <t>Joan White</t>
  </si>
  <si>
    <t>jessica31@hotmail.com</t>
  </si>
  <si>
    <t>0110181423</t>
  </si>
  <si>
    <t>USNS Knight, FPO AE 71452</t>
  </si>
  <si>
    <t>Lee and Sons</t>
  </si>
  <si>
    <t>1968-08-01</t>
  </si>
  <si>
    <t>2024-03-10</t>
  </si>
  <si>
    <t>Rebecca Cox</t>
  </si>
  <si>
    <t>xjohns@gonzalez-mckinney.com</t>
  </si>
  <si>
    <t>+1-836-885-3781x877</t>
  </si>
  <si>
    <t>86594 Jones Causeway Apt. 995, New Michael, CT 29863</t>
  </si>
  <si>
    <t>Costa PLC</t>
  </si>
  <si>
    <t>2000-04-09</t>
  </si>
  <si>
    <t>Jennifer Ortiz</t>
  </si>
  <si>
    <t>jenkinslauren@gmail.com</t>
  </si>
  <si>
    <t>(642)857-5575</t>
  </si>
  <si>
    <t>56687 Amanda Extension, Hamiltontown, FL 22331</t>
  </si>
  <si>
    <t>Jones-Bryan</t>
  </si>
  <si>
    <t>2018-02-26</t>
  </si>
  <si>
    <t>Gregory Stark</t>
  </si>
  <si>
    <t>fsingh@smith.com</t>
  </si>
  <si>
    <t>221.316.3100</t>
  </si>
  <si>
    <t>397 Adam Neck Suite 867, West Taylormouth, DE 37826</t>
  </si>
  <si>
    <t>Jones-Gordon</t>
  </si>
  <si>
    <t>1961-09-09</t>
  </si>
  <si>
    <t>Lindsey Morgan</t>
  </si>
  <si>
    <t>jennifermoore@pratt.com</t>
  </si>
  <si>
    <t>+1-961-465-8097x939</t>
  </si>
  <si>
    <t>81847 Castillo Green, New Kristine, WA 47214</t>
  </si>
  <si>
    <t>Short, Shaw and Olsen</t>
  </si>
  <si>
    <t>2005-10-03</t>
  </si>
  <si>
    <t>Matthew Stout</t>
  </si>
  <si>
    <t>nmoore@hotmail.com</t>
  </si>
  <si>
    <t>001-540-173-3136</t>
  </si>
  <si>
    <t>83216 Kayla Springs Apt. 717, North Jonathanville, CT 89233</t>
  </si>
  <si>
    <t>Rice-Walker</t>
  </si>
  <si>
    <t>1984-05-01</t>
  </si>
  <si>
    <t>2019-10-26</t>
  </si>
  <si>
    <t>Elizabeth White</t>
  </si>
  <si>
    <t>cindybrooks@lang-mccarthy.com</t>
  </si>
  <si>
    <t>257-500-4460x4110</t>
  </si>
  <si>
    <t>702 Duncan Haven Apt. 060, Mathewsmouth, MS 47001</t>
  </si>
  <si>
    <t>Long Inc</t>
  </si>
  <si>
    <t>1989-07-17</t>
  </si>
  <si>
    <t>2020-05-29</t>
  </si>
  <si>
    <t>Jamie Young</t>
  </si>
  <si>
    <t>maloneryan@hotmail.com</t>
  </si>
  <si>
    <t>+1-594-244-0217x1563</t>
  </si>
  <si>
    <t>2568 Wilson Stream, West Kelly, ME 75558</t>
  </si>
  <si>
    <t>Training and development officer</t>
  </si>
  <si>
    <t>Robinson Ltd</t>
  </si>
  <si>
    <t>1986-09-10</t>
  </si>
  <si>
    <t>2017-02-24</t>
  </si>
  <si>
    <t>Sherry Crawford</t>
  </si>
  <si>
    <t>hinesalexis@leach.com</t>
  </si>
  <si>
    <t>145.664.2473x5810</t>
  </si>
  <si>
    <t>Unit 3129 Box 9332, DPO AA 26506</t>
  </si>
  <si>
    <t>Bell PLC</t>
  </si>
  <si>
    <t>1973-02-26</t>
  </si>
  <si>
    <t>Clinton Solomon</t>
  </si>
  <si>
    <t>rileyjanice@shaw.biz</t>
  </si>
  <si>
    <t>2306408787</t>
  </si>
  <si>
    <t>02118 Sharon Lock, South Stephanieberg, MT 41030</t>
  </si>
  <si>
    <t>Acupuncturist</t>
  </si>
  <si>
    <t>Scott Group</t>
  </si>
  <si>
    <t>1991-09-23</t>
  </si>
  <si>
    <t>2020-09-10</t>
  </si>
  <si>
    <t>Stephen Miller</t>
  </si>
  <si>
    <t>kellyklein@hotmail.com</t>
  </si>
  <si>
    <t>619.559.6584</t>
  </si>
  <si>
    <t>1401 Stewart Springs, North Emily, WV 36079</t>
  </si>
  <si>
    <t>Edwards, Wright and Rhodes</t>
  </si>
  <si>
    <t>1982-04-02</t>
  </si>
  <si>
    <t>2021-10-04</t>
  </si>
  <si>
    <t>Rachel Gutierrez</t>
  </si>
  <si>
    <t>eshelton@hotmail.com</t>
  </si>
  <si>
    <t>224-530-6575x342</t>
  </si>
  <si>
    <t>Unit 9959 Box 5048, DPO AP 91766</t>
  </si>
  <si>
    <t>Trade union research officer</t>
  </si>
  <si>
    <t>Beltran Group</t>
  </si>
  <si>
    <t>1991-08-02</t>
  </si>
  <si>
    <t>2023-08-01</t>
  </si>
  <si>
    <t>Vincent Davis</t>
  </si>
  <si>
    <t>hailey20@montes.com</t>
  </si>
  <si>
    <t>001-061-623-4137x357</t>
  </si>
  <si>
    <t>3226 Rachel Mall, Greeneton, FL 91979</t>
  </si>
  <si>
    <t>Morgan-Ross</t>
  </si>
  <si>
    <t>1964-12-06</t>
  </si>
  <si>
    <t>Bradley Ford</t>
  </si>
  <si>
    <t>brandicombs@hotmail.com</t>
  </si>
  <si>
    <t>(010)236-4891</t>
  </si>
  <si>
    <t>9696 Erin Unions, Ricebury, OH 40453</t>
  </si>
  <si>
    <t>Sharp, Martinez and Todd</t>
  </si>
  <si>
    <t>1966-04-29</t>
  </si>
  <si>
    <t>2019-08-19</t>
  </si>
  <si>
    <t>Craig Harris</t>
  </si>
  <si>
    <t>anthonyhuffman@hotmail.com</t>
  </si>
  <si>
    <t>196.808.4136x559</t>
  </si>
  <si>
    <t>1194 Matthew Inlet, South Matthew, OK 70087</t>
  </si>
  <si>
    <t>Hill-Mccormick</t>
  </si>
  <si>
    <t>1994-04-07</t>
  </si>
  <si>
    <t>2016-12-05</t>
  </si>
  <si>
    <t>michaelrosales@parker-rodriguez.biz</t>
  </si>
  <si>
    <t>853.750.4617</t>
  </si>
  <si>
    <t>328 Williams Walk Apt. 409, Williamsstad, OH 13623</t>
  </si>
  <si>
    <t>Fields-Hernandez</t>
  </si>
  <si>
    <t>1989-03-06</t>
  </si>
  <si>
    <t>2025-01-02</t>
  </si>
  <si>
    <t>Jeffrey Price</t>
  </si>
  <si>
    <t>vanessasharp@hotmail.com</t>
  </si>
  <si>
    <t>214-428-3342</t>
  </si>
  <si>
    <t>66853 Parks Park, North Elizabethport, DC 54718</t>
  </si>
  <si>
    <t>Zimmerman, Watkins and Mendoza</t>
  </si>
  <si>
    <t>2007-04-09</t>
  </si>
  <si>
    <t>2017-02-02</t>
  </si>
  <si>
    <t>Diana Baker</t>
  </si>
  <si>
    <t>joe62@weeks.net</t>
  </si>
  <si>
    <t>+1-702-782-1196x9403</t>
  </si>
  <si>
    <t>915 Megan Mountains, Nicholasville, ND 53957</t>
  </si>
  <si>
    <t>Fuentes, Roberts and Carroll</t>
  </si>
  <si>
    <t>1992-07-19</t>
  </si>
  <si>
    <t>2022-10-16</t>
  </si>
  <si>
    <t>Alexis Dougherty</t>
  </si>
  <si>
    <t>dariuspoole@diaz.com</t>
  </si>
  <si>
    <t>(604)315-2333x7109</t>
  </si>
  <si>
    <t>01911 Hernandez Summit, Markfurt, KY 89923</t>
  </si>
  <si>
    <t>Hampton, Jackson and Perry</t>
  </si>
  <si>
    <t>1980-08-30</t>
  </si>
  <si>
    <t>2020-12-30</t>
  </si>
  <si>
    <t>Jason Leonard</t>
  </si>
  <si>
    <t>jerry68@hotmail.com</t>
  </si>
  <si>
    <t>+1-666-598-9982</t>
  </si>
  <si>
    <t>93478 Cole Roads Apt. 632, Kevinburgh, NH 85685</t>
  </si>
  <si>
    <t>Martin PLC</t>
  </si>
  <si>
    <t>1972-06-03</t>
  </si>
  <si>
    <t>2025-03-15</t>
  </si>
  <si>
    <t>Cindy Anderson</t>
  </si>
  <si>
    <t>ocalhoun@hotmail.com</t>
  </si>
  <si>
    <t>7221312262</t>
  </si>
  <si>
    <t>3869 Gutierrez Villages Apt. 762, New Beth, IL 08254</t>
  </si>
  <si>
    <t>Hall-Burch</t>
  </si>
  <si>
    <t>1972-06-19</t>
  </si>
  <si>
    <t>2019-12-30</t>
  </si>
  <si>
    <t>Joseph Bennett</t>
  </si>
  <si>
    <t>stokesalyssa@herrera.com</t>
  </si>
  <si>
    <t>(175)565-8704x964</t>
  </si>
  <si>
    <t>723 Castillo Avenue Apt. 435, New Davidhaven, NC 73282</t>
  </si>
  <si>
    <t>Lester-Brennan</t>
  </si>
  <si>
    <t>1996-11-06</t>
  </si>
  <si>
    <t>2019-06-06</t>
  </si>
  <si>
    <t>Gabriel Marshall</t>
  </si>
  <si>
    <t>justin89@hotmail.com</t>
  </si>
  <si>
    <t>001-559-296-9584</t>
  </si>
  <si>
    <t>734 Burke Branch Suite 064, Kingfurt, KY 33379</t>
  </si>
  <si>
    <t>Psychotherapist, child</t>
  </si>
  <si>
    <t>Mclaughlin, Jackson and Miller</t>
  </si>
  <si>
    <t>2004-04-18</t>
  </si>
  <si>
    <t>2024-08-06</t>
  </si>
  <si>
    <t>John Gallagher</t>
  </si>
  <si>
    <t>xdavis@gmail.com</t>
  </si>
  <si>
    <t>806.922.2815x5399</t>
  </si>
  <si>
    <t>0607 Cannon Turnpike, East Carl, ME 89121</t>
  </si>
  <si>
    <t>Joseph-Nguyen</t>
  </si>
  <si>
    <t>1978-01-03</t>
  </si>
  <si>
    <t>2024-07-08</t>
  </si>
  <si>
    <t>Kevin Drake</t>
  </si>
  <si>
    <t>xtaylor@yahoo.com</t>
  </si>
  <si>
    <t>+1-408-718-8161x723</t>
  </si>
  <si>
    <t>9397 White Ways Apt. 948, Port Anthonyburgh, PA 67359</t>
  </si>
  <si>
    <t>Customer service manager</t>
  </si>
  <si>
    <t>Howard-Carlson</t>
  </si>
  <si>
    <t>1971-10-22</t>
  </si>
  <si>
    <t>2023-10-30</t>
  </si>
  <si>
    <t>Lisa Francis</t>
  </si>
  <si>
    <t>barnesjeremy@hotmail.com</t>
  </si>
  <si>
    <t>(064)708-2695</t>
  </si>
  <si>
    <t>8186 Randall Locks Apt. 959, West Tiffanystad, ND 69509</t>
  </si>
  <si>
    <t>Oncologist</t>
  </si>
  <si>
    <t>Kidd-Butler</t>
  </si>
  <si>
    <t>1966-02-12</t>
  </si>
  <si>
    <t>2023-06-04</t>
  </si>
  <si>
    <t>Julie Butler</t>
  </si>
  <si>
    <t>christie48@gmail.com</t>
  </si>
  <si>
    <t>001-104-288-3650x61092</t>
  </si>
  <si>
    <t>49146 Lee Neck, Reynoldsfurt, IA 27164</t>
  </si>
  <si>
    <t>Gomez Inc</t>
  </si>
  <si>
    <t>2018-08-04</t>
  </si>
  <si>
    <t>Dawn Watson</t>
  </si>
  <si>
    <t>morannatalie@robinson.com</t>
  </si>
  <si>
    <t>+1-046-571-1558x5819</t>
  </si>
  <si>
    <t>1438 Moreno Street, Englishville, KS 22978</t>
  </si>
  <si>
    <t>Curtis Inc</t>
  </si>
  <si>
    <t>1987-10-28</t>
  </si>
  <si>
    <t>2021-05-13</t>
  </si>
  <si>
    <t>Misty Brown</t>
  </si>
  <si>
    <t>stephenskenneth@robinson-matthews.com</t>
  </si>
  <si>
    <t>800-056-2214</t>
  </si>
  <si>
    <t>8742 Christopher Mission Apt. 287, West Amanda, WI 62233</t>
  </si>
  <si>
    <t>Morgan, Watkins and Wright</t>
  </si>
  <si>
    <t>1997-04-05</t>
  </si>
  <si>
    <t>2020-03-23</t>
  </si>
  <si>
    <t>Greg Mcdonald</t>
  </si>
  <si>
    <t>vsweeney@gmail.com</t>
  </si>
  <si>
    <t>+1-887-437-8846x19275</t>
  </si>
  <si>
    <t>039 Michelle Island Suite 253, West Patrick, IL 70669</t>
  </si>
  <si>
    <t>Occupational hygienist</t>
  </si>
  <si>
    <t>Henry PLC</t>
  </si>
  <si>
    <t>2004-12-20</t>
  </si>
  <si>
    <t>2022-11-17</t>
  </si>
  <si>
    <t>Jodi Bailey</t>
  </si>
  <si>
    <t>frederickpage@valentine.com</t>
  </si>
  <si>
    <t>(336)722-1172x19866</t>
  </si>
  <si>
    <t>976 Everett Unions Apt. 502, Hallland, MD 88880</t>
  </si>
  <si>
    <t>Sanders Group</t>
  </si>
  <si>
    <t>1965-02-09</t>
  </si>
  <si>
    <t>2020-06-07</t>
  </si>
  <si>
    <t>Mia Young</t>
  </si>
  <si>
    <t>jacksoncasey@schmidt.com</t>
  </si>
  <si>
    <t>+1-193-442-9884x7070</t>
  </si>
  <si>
    <t>04783 Jacob Point Apt. 796, Jacobstad, OR 76628</t>
  </si>
  <si>
    <t>Fitzgerald-Mills</t>
  </si>
  <si>
    <t>2002-03-28</t>
  </si>
  <si>
    <t>James Herrera</t>
  </si>
  <si>
    <t>brooksnathaniel@gmail.com</t>
  </si>
  <si>
    <t>001-642-159-9335x5453</t>
  </si>
  <si>
    <t>3122 Berg Shoals, Danielton, PA 77150</t>
  </si>
  <si>
    <t>Barron, Brewer and Eaton</t>
  </si>
  <si>
    <t>1973-04-08</t>
  </si>
  <si>
    <t>2020-07-09</t>
  </si>
  <si>
    <t>Vincent Lee</t>
  </si>
  <si>
    <t>brennankathleen@yahoo.com</t>
  </si>
  <si>
    <t>001-026-109-7143x4292</t>
  </si>
  <si>
    <t>30124 Garner Corners, New Nathan, OH 28139</t>
  </si>
  <si>
    <t>Cytogeneticist</t>
  </si>
  <si>
    <t>Williams, Wagner and Baker</t>
  </si>
  <si>
    <t>2003-03-12</t>
  </si>
  <si>
    <t>2023-05-19</t>
  </si>
  <si>
    <t>Wendy Simmons</t>
  </si>
  <si>
    <t>erin04@raymond.com</t>
  </si>
  <si>
    <t>512-754-9064x263</t>
  </si>
  <si>
    <t>58529 Wilson Villages, South Rebeccaside, SD 77339</t>
  </si>
  <si>
    <t>Seismic interpreter</t>
  </si>
  <si>
    <t>Hood LLC</t>
  </si>
  <si>
    <t>1992-05-08</t>
  </si>
  <si>
    <t>2021-10-20</t>
  </si>
  <si>
    <t>Barbara Williams</t>
  </si>
  <si>
    <t>zhernandez@rodriguez-richardson.net</t>
  </si>
  <si>
    <t>(958)875-9700</t>
  </si>
  <si>
    <t>902 Stephanie Cliff Apt. 711, East Michelleland, NY 68528</t>
  </si>
  <si>
    <t>Mendoza and Sons</t>
  </si>
  <si>
    <t>1974-04-10</t>
  </si>
  <si>
    <t>2025-06-28</t>
  </si>
  <si>
    <t>Tanya Lambert</t>
  </si>
  <si>
    <t>lisa06@gmail.com</t>
  </si>
  <si>
    <t>(230)036-8778x41500</t>
  </si>
  <si>
    <t>42481 Cooper Islands, Lewisstad, AK 90873</t>
  </si>
  <si>
    <t>Hydrogeologist</t>
  </si>
  <si>
    <t>King and Sons</t>
  </si>
  <si>
    <t>1991-07-03</t>
  </si>
  <si>
    <t>2021-11-10</t>
  </si>
  <si>
    <t>Eric Garcia</t>
  </si>
  <si>
    <t>nelsonbrendan@gmail.com</t>
  </si>
  <si>
    <t>001-680-464-3384x4656</t>
  </si>
  <si>
    <t>6712 Obrien Locks Suite 211, Christinafurt, ME 56754</t>
  </si>
  <si>
    <t>Morgan-Adkins</t>
  </si>
  <si>
    <t>1996-12-14</t>
  </si>
  <si>
    <t>2021-08-25</t>
  </si>
  <si>
    <t>Briana Brown</t>
  </si>
  <si>
    <t>zthompson@yahoo.com</t>
  </si>
  <si>
    <t>672.355.7833x90033</t>
  </si>
  <si>
    <t>8316 Aimee Springs Apt. 554, South Julieshire, NH 19948</t>
  </si>
  <si>
    <t>Johnson-Love</t>
  </si>
  <si>
    <t>1996-10-23</t>
  </si>
  <si>
    <t>2023-01-19</t>
  </si>
  <si>
    <t>Lawrence Howard</t>
  </si>
  <si>
    <t>leeshannon@smith.biz</t>
  </si>
  <si>
    <t>468-057-7145</t>
  </si>
  <si>
    <t>8343 Bryant Motorway Suite 705, Lake Michael, WI 47488</t>
  </si>
  <si>
    <t>Campbell Group</t>
  </si>
  <si>
    <t>1974-05-08</t>
  </si>
  <si>
    <t>2024-11-30</t>
  </si>
  <si>
    <t>Nicole Beck</t>
  </si>
  <si>
    <t>whernandez@gmail.com</t>
  </si>
  <si>
    <t>684.327.3834</t>
  </si>
  <si>
    <t>92593 Wilkins Drive Apt. 330, Lake Dustin, DC 82616</t>
  </si>
  <si>
    <t>Armstrong Inc</t>
  </si>
  <si>
    <t>1984-06-29</t>
  </si>
  <si>
    <t>Rodney Collins</t>
  </si>
  <si>
    <t>cooperamanda@gmail.com</t>
  </si>
  <si>
    <t>(370)007-5897x6122</t>
  </si>
  <si>
    <t>7712 Sarah Branch, Michaelside, MT 65011</t>
  </si>
  <si>
    <t>Harper, Brown and Lee</t>
  </si>
  <si>
    <t>1963-03-15</t>
  </si>
  <si>
    <t>2018-03-31</t>
  </si>
  <si>
    <t>Anna Harrell</t>
  </si>
  <si>
    <t>amber78@gmail.com</t>
  </si>
  <si>
    <t>962-665-8862x048</t>
  </si>
  <si>
    <t>74141 Tricia Greens Apt. 732, Port Brandon, HI 75223</t>
  </si>
  <si>
    <t>Stevens, Garcia and Fisher</t>
  </si>
  <si>
    <t>2001-05-02</t>
  </si>
  <si>
    <t>2015-07-25</t>
  </si>
  <si>
    <t>Kenneth Mooney</t>
  </si>
  <si>
    <t>stacie31@gmail.com</t>
  </si>
  <si>
    <t>291-060-9361</t>
  </si>
  <si>
    <t>USS James, FPO AA 01855</t>
  </si>
  <si>
    <t>Reid Inc</t>
  </si>
  <si>
    <t>1983-10-22</t>
  </si>
  <si>
    <t>2019-03-26</t>
  </si>
  <si>
    <t>Selena Sanchez</t>
  </si>
  <si>
    <t>christopher36@chambers.com</t>
  </si>
  <si>
    <t>001-579-658-1200x4211</t>
  </si>
  <si>
    <t>7072 John Grove Apt. 069, Deborahmouth, AR 17926</t>
  </si>
  <si>
    <t>Food technologist</t>
  </si>
  <si>
    <t>Spencer and Sons</t>
  </si>
  <si>
    <t>1994-07-18</t>
  </si>
  <si>
    <t>2022-03-30</t>
  </si>
  <si>
    <t>Denise Martinez</t>
  </si>
  <si>
    <t>brandonhines@hotmail.com</t>
  </si>
  <si>
    <t>418.363.4881x273</t>
  </si>
  <si>
    <t>591 Roger Dale Suite 196, East Thomas, NY 59205</t>
  </si>
  <si>
    <t>Control and instrumentation engineer</t>
  </si>
  <si>
    <t>1984-08-07</t>
  </si>
  <si>
    <t>2024-11-28</t>
  </si>
  <si>
    <t>Elijah Gardner</t>
  </si>
  <si>
    <t>anthonyashley@yahoo.com</t>
  </si>
  <si>
    <t>385-713-0104</t>
  </si>
  <si>
    <t>188 Kelly Harbors, Mendozaton, NC 24658</t>
  </si>
  <si>
    <t>Baker-Olson</t>
  </si>
  <si>
    <t>1984-11-28</t>
  </si>
  <si>
    <t>2016-08-07</t>
  </si>
  <si>
    <t>Jared Brown</t>
  </si>
  <si>
    <t>stephanielyons@wood-calderon.info</t>
  </si>
  <si>
    <t>445-106-8352x31411</t>
  </si>
  <si>
    <t>4483 Anderson Lights, East Veronicatown, TN 76113</t>
  </si>
  <si>
    <t>Vaughn-Garrett</t>
  </si>
  <si>
    <t>1981-01-19</t>
  </si>
  <si>
    <t>2023-08-16</t>
  </si>
  <si>
    <t>Sandra Hawkins</t>
  </si>
  <si>
    <t>xwilliams@yahoo.com</t>
  </si>
  <si>
    <t>763.657.5165</t>
  </si>
  <si>
    <t>456 Black Flats, Paulafort, VT 22142</t>
  </si>
  <si>
    <t>Cummings, Lewis and Brown</t>
  </si>
  <si>
    <t>1963-02-18</t>
  </si>
  <si>
    <t>2024-08-15</t>
  </si>
  <si>
    <t>Alexander Lester</t>
  </si>
  <si>
    <t>sandersmargaret@patterson.org</t>
  </si>
  <si>
    <t>(427)793-5600x15143</t>
  </si>
  <si>
    <t>570 Khan Lakes Suite 592, New Emma, NV 62390</t>
  </si>
  <si>
    <t>Lee, Smith and Gutierrez</t>
  </si>
  <si>
    <t>1972-05-28</t>
  </si>
  <si>
    <t>2016-08-23</t>
  </si>
  <si>
    <t>Michelle Stone</t>
  </si>
  <si>
    <t>corymills@gonzalez-matthews.com</t>
  </si>
  <si>
    <t>400.957.0050</t>
  </si>
  <si>
    <t>8844 Heather Mountain Suite 053, Josemouth, AK 53166</t>
  </si>
  <si>
    <t>Minerals surveyor</t>
  </si>
  <si>
    <t>Rivas, Wang and Lewis</t>
  </si>
  <si>
    <t>1966-02-27</t>
  </si>
  <si>
    <t>2019-07-16</t>
  </si>
  <si>
    <t>Susan Leon</t>
  </si>
  <si>
    <t>johnsonmike@cruz-winters.net</t>
  </si>
  <si>
    <t>+1-471-905-9786x7226</t>
  </si>
  <si>
    <t>USNV Werner, FPO AA 19802</t>
  </si>
  <si>
    <t>Robinson LLC</t>
  </si>
  <si>
    <t>1981-11-05</t>
  </si>
  <si>
    <t>Michael Hernandez</t>
  </si>
  <si>
    <t>jasoncampos@gmail.com</t>
  </si>
  <si>
    <t>579.435.6333x25430</t>
  </si>
  <si>
    <t>058 Johnson Crest, Port Adrianton, FL 34938</t>
  </si>
  <si>
    <t>Pharmacologist</t>
  </si>
  <si>
    <t>Sims Inc</t>
  </si>
  <si>
    <t>1995-09-04</t>
  </si>
  <si>
    <t>2022-04-21</t>
  </si>
  <si>
    <t>dennis24@scott-jones.com</t>
  </si>
  <si>
    <t>001-723-481-9953x7379</t>
  </si>
  <si>
    <t>70370 Vanessa Rapid, Patelhaven, AK 14386</t>
  </si>
  <si>
    <t>Pham-Mitchell</t>
  </si>
  <si>
    <t>Gabriela Jordan</t>
  </si>
  <si>
    <t>richardmoore@yahoo.com</t>
  </si>
  <si>
    <t>(774)863-9587</t>
  </si>
  <si>
    <t>Unit 8199 Box 7804, DPO AE 90537</t>
  </si>
  <si>
    <t>Chartered public finance accountant</t>
  </si>
  <si>
    <t>Cunningham-Williams</t>
  </si>
  <si>
    <t>1987-03-08</t>
  </si>
  <si>
    <t>2018-09-16</t>
  </si>
  <si>
    <t>Jennifer Brown</t>
  </si>
  <si>
    <t>christopher94@kelley.com</t>
  </si>
  <si>
    <t>424.031.2035</t>
  </si>
  <si>
    <t>4738 Catherine Fort Apt. 486, East Jessica, DC 50981</t>
  </si>
  <si>
    <t>Flores and Sons</t>
  </si>
  <si>
    <t>1979-05-08</t>
  </si>
  <si>
    <t>Lauren Bradford</t>
  </si>
  <si>
    <t>davidrojas@silva.biz</t>
  </si>
  <si>
    <t>7616474699</t>
  </si>
  <si>
    <t>06386 Heather Manor, South Leah, FL 13656</t>
  </si>
  <si>
    <t>Gilmore-Anderson</t>
  </si>
  <si>
    <t>1989-08-04</t>
  </si>
  <si>
    <t>2020-11-20</t>
  </si>
  <si>
    <t>Blake Leach</t>
  </si>
  <si>
    <t>mario20@townsend.com</t>
  </si>
  <si>
    <t>241.504.6980x54122</t>
  </si>
  <si>
    <t>88839 Duarte Trail, East Mary, WV 61396</t>
  </si>
  <si>
    <t>Crawford Group</t>
  </si>
  <si>
    <t>1974-10-24</t>
  </si>
  <si>
    <t>Anthony Garcia</t>
  </si>
  <si>
    <t>blackjohn@clark.com</t>
  </si>
  <si>
    <t>001-999-887-7968x093</t>
  </si>
  <si>
    <t>328 Taylor Rapid, West Christine, WY 54494</t>
  </si>
  <si>
    <t>Davis-Craig</t>
  </si>
  <si>
    <t>1992-03-16</t>
  </si>
  <si>
    <t>Vincent Lopez</t>
  </si>
  <si>
    <t>franciscodurham@brady-alexander.com</t>
  </si>
  <si>
    <t>001-413-821-8453x137</t>
  </si>
  <si>
    <t>998 Dennis Plaza, North Karishire, SD 08855</t>
  </si>
  <si>
    <t>1999-04-20</t>
  </si>
  <si>
    <t>2022-10-04</t>
  </si>
  <si>
    <t>Kenneth Spencer</t>
  </si>
  <si>
    <t>schroederjohn@hotmail.com</t>
  </si>
  <si>
    <t>418-665-9190</t>
  </si>
  <si>
    <t>USNV Petty, FPO AE 76977</t>
  </si>
  <si>
    <t>Kelley, Alexander and Harrison</t>
  </si>
  <si>
    <t>1987-05-24</t>
  </si>
  <si>
    <t>2024-11-22</t>
  </si>
  <si>
    <t>Elizabeth Cobb</t>
  </si>
  <si>
    <t>michaelrobinson@jones.org</t>
  </si>
  <si>
    <t>(150)702-8757</t>
  </si>
  <si>
    <t>045 Gabriella Skyway, North Breanna, CT 61415</t>
  </si>
  <si>
    <t>Morrison-Hughes</t>
  </si>
  <si>
    <t>1994-10-31</t>
  </si>
  <si>
    <t>Jeffrey Le</t>
  </si>
  <si>
    <t>patrick26@gmail.com</t>
  </si>
  <si>
    <t>640.782.5842x99314</t>
  </si>
  <si>
    <t>9745 Harvey Estate, Benjaminmouth, WA 42771</t>
  </si>
  <si>
    <t>Collins-Turner</t>
  </si>
  <si>
    <t>1960-09-19</t>
  </si>
  <si>
    <t>2022-07-22</t>
  </si>
  <si>
    <t>Dustin Anderson</t>
  </si>
  <si>
    <t>beth25@haley.com</t>
  </si>
  <si>
    <t>823-381-3868x33559</t>
  </si>
  <si>
    <t>2967 Christopher Corners, Rodriguezberg, OK 66910</t>
  </si>
  <si>
    <t>Green Inc</t>
  </si>
  <si>
    <t>2007-05-20</t>
  </si>
  <si>
    <t>Erin Grant</t>
  </si>
  <si>
    <t>gordonjeffrey@salazar.com</t>
  </si>
  <si>
    <t>+1-182-401-8997x314</t>
  </si>
  <si>
    <t>7768 Chad Springs, Williamport, NV 53609</t>
  </si>
  <si>
    <t>Ward-Green</t>
  </si>
  <si>
    <t>2000-10-02</t>
  </si>
  <si>
    <t>2017-06-06</t>
  </si>
  <si>
    <t>Thomas Kim</t>
  </si>
  <si>
    <t>donna60@hotmail.com</t>
  </si>
  <si>
    <t>7154138706</t>
  </si>
  <si>
    <t>7674 William View Apt. 185, East Olivia, NV 21544</t>
  </si>
  <si>
    <t>Vega PLC</t>
  </si>
  <si>
    <t>1963-02-23</t>
  </si>
  <si>
    <t>Elizabeth Solis</t>
  </si>
  <si>
    <t>hrobinson@hotmail.com</t>
  </si>
  <si>
    <t>(624)391-4855x6838</t>
  </si>
  <si>
    <t>779 Williams Ramp Suite 737, Morenotown, AZ 79442</t>
  </si>
  <si>
    <t>Risk analyst</t>
  </si>
  <si>
    <t>Cook-Young</t>
  </si>
  <si>
    <t>1961-10-20</t>
  </si>
  <si>
    <t>Jacqueline Taylor</t>
  </si>
  <si>
    <t>norma15@pratt.com</t>
  </si>
  <si>
    <t>(559)988-4755x4881</t>
  </si>
  <si>
    <t>77541 Tony Lock Suite 631, New Sharonview, ID 16643</t>
  </si>
  <si>
    <t>Richards-Thompson</t>
  </si>
  <si>
    <t>1989-01-31</t>
  </si>
  <si>
    <t>2023-05-04</t>
  </si>
  <si>
    <t>Jeffrey Garcia</t>
  </si>
  <si>
    <t>andreawilkinson@garcia.com</t>
  </si>
  <si>
    <t>332-028-3714x08114</t>
  </si>
  <si>
    <t>858 Pierce Spurs Apt. 404, North Virginia, NC 98783</t>
  </si>
  <si>
    <t>Camera operator</t>
  </si>
  <si>
    <t>Dunn-Wade</t>
  </si>
  <si>
    <t>1988-10-17</t>
  </si>
  <si>
    <t>Madison Nelson</t>
  </si>
  <si>
    <t>lwise@montgomery-clark.com</t>
  </si>
  <si>
    <t>603.481.1228x4949</t>
  </si>
  <si>
    <t>85598 Moore Landing Suite 483, South William, OR 49020</t>
  </si>
  <si>
    <t>Mclaughlin, Castaneda and Gallagher</t>
  </si>
  <si>
    <t>2001-06-23</t>
  </si>
  <si>
    <t>Jordan Salazar</t>
  </si>
  <si>
    <t>timothybryant@gmail.com</t>
  </si>
  <si>
    <t>3763227476</t>
  </si>
  <si>
    <t>53279 Jones Falls Apt. 710, Ashleyport, KY 35958</t>
  </si>
  <si>
    <t>Chartered certified accountant</t>
  </si>
  <si>
    <t>White-Hernandez</t>
  </si>
  <si>
    <t>1965-03-24</t>
  </si>
  <si>
    <t>2020-05-12</t>
  </si>
  <si>
    <t>Andrew Donovan</t>
  </si>
  <si>
    <t>danahines@parrish-jackson.com</t>
  </si>
  <si>
    <t>265-991-8418</t>
  </si>
  <si>
    <t>40349 Mccarthy Roads, Maryside, DC 72775</t>
  </si>
  <si>
    <t>Brown, Hawkins and Ramos</t>
  </si>
  <si>
    <t>2004-07-18</t>
  </si>
  <si>
    <t>Caleb Garcia</t>
  </si>
  <si>
    <t>jamie30@hotmail.com</t>
  </si>
  <si>
    <t>656-740-7555</t>
  </si>
  <si>
    <t>27284 Katherine Court, Ochoaland, SD 83024</t>
  </si>
  <si>
    <t>Fischer, Church and Martinez</t>
  </si>
  <si>
    <t>1987-10-27</t>
  </si>
  <si>
    <t>2023-08-28</t>
  </si>
  <si>
    <t>Jose Baldwin</t>
  </si>
  <si>
    <t>njensen@castillo-howell.com</t>
  </si>
  <si>
    <t>(977)200-3908x71709</t>
  </si>
  <si>
    <t>2968 Jennifer Track, New Spencer, IN 11184</t>
  </si>
  <si>
    <t>Ross and Sons</t>
  </si>
  <si>
    <t>1985-01-23</t>
  </si>
  <si>
    <t>2019-01-11</t>
  </si>
  <si>
    <t>Matthew Barker</t>
  </si>
  <si>
    <t>rachel10@yahoo.com</t>
  </si>
  <si>
    <t>(565)205-3219x7179</t>
  </si>
  <si>
    <t>1888 Bailey Trail, North Patricia, WY 23743</t>
  </si>
  <si>
    <t>Mercer-Ward</t>
  </si>
  <si>
    <t>1960-05-23</t>
  </si>
  <si>
    <t>2018-04-03</t>
  </si>
  <si>
    <t>Sara Smith</t>
  </si>
  <si>
    <t>martinvictoria@gmail.com</t>
  </si>
  <si>
    <t>372-660-2953x20406</t>
  </si>
  <si>
    <t>3359 Schmidt Alley Suite 092, Lake Theresa, WI 85201</t>
  </si>
  <si>
    <t>Martinez, Parker and Santos</t>
  </si>
  <si>
    <t>1995-05-04</t>
  </si>
  <si>
    <t>2021-12-03</t>
  </si>
  <si>
    <t>Brian King</t>
  </si>
  <si>
    <t>drakedominique@hotmail.com</t>
  </si>
  <si>
    <t>(600)481-4242x2646</t>
  </si>
  <si>
    <t>596 Alexander Cliffs Apt. 788, Petershire, WV 72501</t>
  </si>
  <si>
    <t>Manufacturing engineer</t>
  </si>
  <si>
    <t>Austin PLC</t>
  </si>
  <si>
    <t>1981-06-26</t>
  </si>
  <si>
    <t>2024-08-16</t>
  </si>
  <si>
    <t>Natalie Griffith</t>
  </si>
  <si>
    <t>nmartinez@gmail.com</t>
  </si>
  <si>
    <t>(535)495-3235x279</t>
  </si>
  <si>
    <t>Unit 0633 Box 0456, DPO AP 43622</t>
  </si>
  <si>
    <t>Designer, textile</t>
  </si>
  <si>
    <t>Brown-Ballard</t>
  </si>
  <si>
    <t>2003-01-30</t>
  </si>
  <si>
    <t>2024-12-18</t>
  </si>
  <si>
    <t>Alexandria Anderson</t>
  </si>
  <si>
    <t>kevin62@hotmail.com</t>
  </si>
  <si>
    <t>+1-753-678-1763x01761</t>
  </si>
  <si>
    <t>334 Roger Key, North Tyroneview, WA 18162</t>
  </si>
  <si>
    <t>Walter-Sherman</t>
  </si>
  <si>
    <t>1965-09-13</t>
  </si>
  <si>
    <t>2024-12-11</t>
  </si>
  <si>
    <t>Joshua Miranda</t>
  </si>
  <si>
    <t>vhorn@clark-perry.com</t>
  </si>
  <si>
    <t>001-409-439-5765</t>
  </si>
  <si>
    <t>965 Bradford Lock, Oneillburgh, MA 15744</t>
  </si>
  <si>
    <t>Villegas-Wu</t>
  </si>
  <si>
    <t>1991-10-22</t>
  </si>
  <si>
    <t>2017-05-06</t>
  </si>
  <si>
    <t>Heather Jones</t>
  </si>
  <si>
    <t>guerrerozachary@davidson-wilson.com</t>
  </si>
  <si>
    <t>+1-059-512-6648</t>
  </si>
  <si>
    <t>132 Howard Route, Kyleland, MT 23800</t>
  </si>
  <si>
    <t>Mcdaniel, Lopez and Harris</t>
  </si>
  <si>
    <t>2016-08-26</t>
  </si>
  <si>
    <t>William Mcintosh</t>
  </si>
  <si>
    <t>karensheppard@gmail.com</t>
  </si>
  <si>
    <t>546.144.3813</t>
  </si>
  <si>
    <t>4282 Michelle Street, South Mathewchester, SC 26490</t>
  </si>
  <si>
    <t>Freight forwarder</t>
  </si>
  <si>
    <t>Landry LLC</t>
  </si>
  <si>
    <t>1981-10-08</t>
  </si>
  <si>
    <t>2021-08-07</t>
  </si>
  <si>
    <t>Whitney Petersen</t>
  </si>
  <si>
    <t>ukim@tucker-li.com</t>
  </si>
  <si>
    <t>(034)828-9060x897</t>
  </si>
  <si>
    <t>PSC 9528, Box 7544, APO AE 06349</t>
  </si>
  <si>
    <t>Environmental education officer</t>
  </si>
  <si>
    <t>Lee-Lee</t>
  </si>
  <si>
    <t>1968-05-23</t>
  </si>
  <si>
    <t>2016-01-15</t>
  </si>
  <si>
    <t>Raymond Henry</t>
  </si>
  <si>
    <t>andersonstephen@hotmail.com</t>
  </si>
  <si>
    <t>359-110-0888x2035</t>
  </si>
  <si>
    <t>93371 Krystal Mews Apt. 852, Wallaceville, OK 76689</t>
  </si>
  <si>
    <t>Young, Rios and Clayton</t>
  </si>
  <si>
    <t>Robert Wilson</t>
  </si>
  <si>
    <t>julie59@gmail.com</t>
  </si>
  <si>
    <t>3476910509</t>
  </si>
  <si>
    <t>46283 Walker Overpass Suite 238, New Anamouth, NE 82539</t>
  </si>
  <si>
    <t>Walsh-Gonzalez</t>
  </si>
  <si>
    <t>1978-06-30</t>
  </si>
  <si>
    <t>2022-05-29</t>
  </si>
  <si>
    <t>Alicia Johnston</t>
  </si>
  <si>
    <t>penny43@gmail.com</t>
  </si>
  <si>
    <t>435-915-2893</t>
  </si>
  <si>
    <t>PSC 0021, Box 9094, APO AA 47710</t>
  </si>
  <si>
    <t>Decker-Merritt</t>
  </si>
  <si>
    <t>1983-12-29</t>
  </si>
  <si>
    <t>Christine Thomas</t>
  </si>
  <si>
    <t>brownelizabeth@mcgrath-stevens.biz</t>
  </si>
  <si>
    <t>359.812.3673x099</t>
  </si>
  <si>
    <t>9263 Potter Club, North Patriciastad, WV 53259</t>
  </si>
  <si>
    <t>Mann Group</t>
  </si>
  <si>
    <t>1982-10-02</t>
  </si>
  <si>
    <t>2017-11-12</t>
  </si>
  <si>
    <t>Rachel Price</t>
  </si>
  <si>
    <t>kristi31@shaw.com</t>
  </si>
  <si>
    <t>6483404376</t>
  </si>
  <si>
    <t>USNS Larson, FPO AE 93634</t>
  </si>
  <si>
    <t>Perez Inc</t>
  </si>
  <si>
    <t>2019-09-18</t>
  </si>
  <si>
    <t>Holly Klein</t>
  </si>
  <si>
    <t>jennifer85@brooks.com</t>
  </si>
  <si>
    <t>001-001-921-9799</t>
  </si>
  <si>
    <t>286 Stewart Road Apt. 246, South Angelaton, KY 80933</t>
  </si>
  <si>
    <t>Davis-Avila</t>
  </si>
  <si>
    <t>1967-01-30</t>
  </si>
  <si>
    <t>2019-05-29</t>
  </si>
  <si>
    <t>Lisa Mason</t>
  </si>
  <si>
    <t>carrollcourtney@yahoo.com</t>
  </si>
  <si>
    <t>(759)602-5973</t>
  </si>
  <si>
    <t>8492 Olsen Points, Lake Jessicaborough, OH 65540</t>
  </si>
  <si>
    <t>Soto Group</t>
  </si>
  <si>
    <t>1983-02-06</t>
  </si>
  <si>
    <t>Tim Navarro</t>
  </si>
  <si>
    <t>torressteven@moore.info</t>
  </si>
  <si>
    <t>896-437-9641</t>
  </si>
  <si>
    <t>3999 Aaron Squares, New Jeffrey, MD 22680</t>
  </si>
  <si>
    <t>Acevedo-Chase</t>
  </si>
  <si>
    <t>1969-06-12</t>
  </si>
  <si>
    <t>Melissa Maldonado</t>
  </si>
  <si>
    <t>dpeters@robinson.info</t>
  </si>
  <si>
    <t>230-837-2064x12635</t>
  </si>
  <si>
    <t>PSC 2852, Box 2365, APO AE 21221</t>
  </si>
  <si>
    <t>Hicks Group</t>
  </si>
  <si>
    <t>1997-05-26</t>
  </si>
  <si>
    <t>2022-07-23</t>
  </si>
  <si>
    <t>Carolyn Morgan</t>
  </si>
  <si>
    <t>erikaramirez@woods-herrera.org</t>
  </si>
  <si>
    <t>001-778-962-0249</t>
  </si>
  <si>
    <t>672 Allison Square Apt. 806, East Melissa, IA 20468</t>
  </si>
  <si>
    <t>Boyd-Aguilar</t>
  </si>
  <si>
    <t>1977-11-22</t>
  </si>
  <si>
    <t>2019-07-25</t>
  </si>
  <si>
    <t>Jeremy Oliver</t>
  </si>
  <si>
    <t>erica16@flores-martinez.net</t>
  </si>
  <si>
    <t>819.450.8849x1538</t>
  </si>
  <si>
    <t>858 Mcdonald Throughway, East Phillipport, NC 36600</t>
  </si>
  <si>
    <t>Joseph, Carlson and Taylor</t>
  </si>
  <si>
    <t>1962-01-10</t>
  </si>
  <si>
    <t>Travis Jackson</t>
  </si>
  <si>
    <t>zle@ferguson.com</t>
  </si>
  <si>
    <t>(637)402-3644</t>
  </si>
  <si>
    <t>2553 Harper Wall Suite 460, Powersfort, MO 45634</t>
  </si>
  <si>
    <t>Bishop, Massey and Diaz</t>
  </si>
  <si>
    <t>1993-07-11</t>
  </si>
  <si>
    <t>Thomas Meadows</t>
  </si>
  <si>
    <t>timothysanders@kelley-nelson.com</t>
  </si>
  <si>
    <t>970.829.6742</t>
  </si>
  <si>
    <t>140 Cassandra Crescent, North Christinaville, VT 69087</t>
  </si>
  <si>
    <t>Hughes, Lopez and Berry</t>
  </si>
  <si>
    <t>1963-02-22</t>
  </si>
  <si>
    <t>2023-06-15</t>
  </si>
  <si>
    <t>Shaun Lambert</t>
  </si>
  <si>
    <t>deanna48@hotmail.com</t>
  </si>
  <si>
    <t>+1-592-099-8018x4444</t>
  </si>
  <si>
    <t>8478 Dominique Field Suite 930, Lake Emily, MT 85225</t>
  </si>
  <si>
    <t>Payne-Stevens</t>
  </si>
  <si>
    <t>2002-03-22</t>
  </si>
  <si>
    <t>2015-10-30</t>
  </si>
  <si>
    <t>Carl Martinez</t>
  </si>
  <si>
    <t>woodheather@wong-villegas.com</t>
  </si>
  <si>
    <t>030-938-2348x9303</t>
  </si>
  <si>
    <t>PSC 6315, Box 9624, APO AA 74351</t>
  </si>
  <si>
    <t>Smith-King</t>
  </si>
  <si>
    <t>1999-06-16</t>
  </si>
  <si>
    <t>2023-11-25</t>
  </si>
  <si>
    <t>Gary Macias</t>
  </si>
  <si>
    <t>anthonysoto@hernandez-hicks.info</t>
  </si>
  <si>
    <t>001-447-895-4795x7875</t>
  </si>
  <si>
    <t>30410 Mcmillan Village, Port Donnaborough, MS 22547</t>
  </si>
  <si>
    <t>Banks, Torres and Lopez</t>
  </si>
  <si>
    <t>1988-04-18</t>
  </si>
  <si>
    <t>2022-10-20</t>
  </si>
  <si>
    <t>James Preston</t>
  </si>
  <si>
    <t>victoria47@hotmail.com</t>
  </si>
  <si>
    <t>(527)752-2790x7966</t>
  </si>
  <si>
    <t>PSC 9800, Box 4288, APO AE 63316</t>
  </si>
  <si>
    <t>Beasley-Smith</t>
  </si>
  <si>
    <t>1977-05-12</t>
  </si>
  <si>
    <t>Christopher Perkins</t>
  </si>
  <si>
    <t>tiffanymoore@price-hall.info</t>
  </si>
  <si>
    <t>148.600.9729</t>
  </si>
  <si>
    <t>USCGC Harrison, FPO AA 93303</t>
  </si>
  <si>
    <t>Davis PLC</t>
  </si>
  <si>
    <t>1976-02-14</t>
  </si>
  <si>
    <t>2015-09-29</t>
  </si>
  <si>
    <t>Elizabeth Lewis</t>
  </si>
  <si>
    <t>tclarke@gmail.com</t>
  </si>
  <si>
    <t>(624)033-0226x14255</t>
  </si>
  <si>
    <t>0532 Mcdonald Shoals, Michaelview, AK 35116</t>
  </si>
  <si>
    <t>Wilson-Hicks</t>
  </si>
  <si>
    <t>2007-05-09</t>
  </si>
  <si>
    <t>Roberta Potter</t>
  </si>
  <si>
    <t>michaelharris@hernandez.net</t>
  </si>
  <si>
    <t>116-204-5295</t>
  </si>
  <si>
    <t>183 Reynolds Locks Apt. 933, East Toni, SD 02954</t>
  </si>
  <si>
    <t>Armed forces training and education officer</t>
  </si>
  <si>
    <t>Davis-Hale</t>
  </si>
  <si>
    <t>1990-03-31</t>
  </si>
  <si>
    <t>2020-09-26</t>
  </si>
  <si>
    <t>Jonathan Rivera</t>
  </si>
  <si>
    <t>afarley@martinez.biz</t>
  </si>
  <si>
    <t>735.067.8868x497</t>
  </si>
  <si>
    <t>20606 Thompson Loaf, Lake Taylor, NM 87462</t>
  </si>
  <si>
    <t>Location manager</t>
  </si>
  <si>
    <t>Vaughn, Moses and Garcia</t>
  </si>
  <si>
    <t>1961-09-10</t>
  </si>
  <si>
    <t>2020-02-21</t>
  </si>
  <si>
    <t>Timothy Kramer</t>
  </si>
  <si>
    <t>andrewwilson@hotmail.com</t>
  </si>
  <si>
    <t>+1-562-363-0500x54627</t>
  </si>
  <si>
    <t>4841 Amber Rapids Suite 981, New Jessebury, WI 60360</t>
  </si>
  <si>
    <t>Conference centre manager</t>
  </si>
  <si>
    <t>Andrade and Sons</t>
  </si>
  <si>
    <t>1993-08-16</t>
  </si>
  <si>
    <t>2017-02-25</t>
  </si>
  <si>
    <t>Christopher Sparks</t>
  </si>
  <si>
    <t>baxterleslie@yahoo.com</t>
  </si>
  <si>
    <t>035-335-0285x2843</t>
  </si>
  <si>
    <t>6083 Elizabeth Trail, South Samuelfort, TN 60836</t>
  </si>
  <si>
    <t>Oceanographer</t>
  </si>
  <si>
    <t>Hunter, Hines and Rivera</t>
  </si>
  <si>
    <t>1988-05-12</t>
  </si>
  <si>
    <t>2024-01-22</t>
  </si>
  <si>
    <t>Wendy Wilcox</t>
  </si>
  <si>
    <t>monica29@gmail.com</t>
  </si>
  <si>
    <t>775.917.0886x103</t>
  </si>
  <si>
    <t>494 Hopkins Junctions Suite 018, Olivermouth, IA 36664</t>
  </si>
  <si>
    <t>Radio producer</t>
  </si>
  <si>
    <t>Miller, Ellis and Vazquez</t>
  </si>
  <si>
    <t>1979-03-04</t>
  </si>
  <si>
    <t>Jenna Davies</t>
  </si>
  <si>
    <t>alex01@lutz.com</t>
  </si>
  <si>
    <t>342-329-8844</t>
  </si>
  <si>
    <t>7872 Parks Streets Apt. 916, West Kristinafurt, AK 93192</t>
  </si>
  <si>
    <t>International aid/development worker</t>
  </si>
  <si>
    <t>Christensen-Burns</t>
  </si>
  <si>
    <t>1984-04-03</t>
  </si>
  <si>
    <t>2024-11-19</t>
  </si>
  <si>
    <t>Rebekah Thomas</t>
  </si>
  <si>
    <t>smithmanuel@evans.com</t>
  </si>
  <si>
    <t>001-089-882-3366</t>
  </si>
  <si>
    <t>716 Peck Plains Suite 284, Martinezton, ID 75405</t>
  </si>
  <si>
    <t>Tran-Parsons</t>
  </si>
  <si>
    <t>1990-04-29</t>
  </si>
  <si>
    <t>2017-12-04</t>
  </si>
  <si>
    <t>Zoe Cannon Md</t>
  </si>
  <si>
    <t>qhardy@hotmail.com</t>
  </si>
  <si>
    <t>8650899930</t>
  </si>
  <si>
    <t>Unit 0550 Box 2541, DPO AA 12876</t>
  </si>
  <si>
    <t>Donaldson-Murray</t>
  </si>
  <si>
    <t>1974-02-21</t>
  </si>
  <si>
    <t>2022-10-14</t>
  </si>
  <si>
    <t>Javier Harmon</t>
  </si>
  <si>
    <t>hallshannon@woodward.com</t>
  </si>
  <si>
    <t>648.427.0356x2629</t>
  </si>
  <si>
    <t>49247 Fields Prairie, East Joshua, MO 24306</t>
  </si>
  <si>
    <t>Systems analyst</t>
  </si>
  <si>
    <t>Holland PLC</t>
  </si>
  <si>
    <t>2000-03-09</t>
  </si>
  <si>
    <t>2020-02-20</t>
  </si>
  <si>
    <t>Jimmy Graham</t>
  </si>
  <si>
    <t>jacobsteele@jackson.org</t>
  </si>
  <si>
    <t>480-234-7951x16143</t>
  </si>
  <si>
    <t>Unit 6802 Box 4616, DPO AE 33554</t>
  </si>
  <si>
    <t>Barnes-Horn</t>
  </si>
  <si>
    <t>1997-11-05</t>
  </si>
  <si>
    <t>2017-08-23</t>
  </si>
  <si>
    <t>Andre Cook</t>
  </si>
  <si>
    <t>austinbrown@powers.com</t>
  </si>
  <si>
    <t>688-031-7888x1067</t>
  </si>
  <si>
    <t>845 Traci Forges, Robinport, MS 53297</t>
  </si>
  <si>
    <t>Garcia, Williamson and Brown</t>
  </si>
  <si>
    <t>2017-03-26</t>
  </si>
  <si>
    <t>Thomas Brown</t>
  </si>
  <si>
    <t>shannon62@gmail.com</t>
  </si>
  <si>
    <t>005-511-3939</t>
  </si>
  <si>
    <t>232 Richard Shores, Pearsonside, DE 04766</t>
  </si>
  <si>
    <t>Meyer, Weaver and Mills</t>
  </si>
  <si>
    <t>1986-05-20</t>
  </si>
  <si>
    <t>2020-01-29</t>
  </si>
  <si>
    <t>Lisa Scott</t>
  </si>
  <si>
    <t>kaylaroth@hotmail.com</t>
  </si>
  <si>
    <t>112.063.4646x4223</t>
  </si>
  <si>
    <t>35205 Davis Stravenue, West Patricktown, NM 30763</t>
  </si>
  <si>
    <t>Bailey-Walters</t>
  </si>
  <si>
    <t>1975-11-09</t>
  </si>
  <si>
    <t>Denise Sullivan</t>
  </si>
  <si>
    <t>miranda74@johnson.com</t>
  </si>
  <si>
    <t>129-996-4874</t>
  </si>
  <si>
    <t>716 Adam Hill, Coltonmouth, MI 66527</t>
  </si>
  <si>
    <t>Regulatory affairs officer</t>
  </si>
  <si>
    <t>Harrington, Mccoy and Miller</t>
  </si>
  <si>
    <t>2003-11-19</t>
  </si>
  <si>
    <t>2016-04-23</t>
  </si>
  <si>
    <t>Cathy Johnson</t>
  </si>
  <si>
    <t>colliernathan@hotmail.com</t>
  </si>
  <si>
    <t>223.824.7771x937</t>
  </si>
  <si>
    <t>PSC 7481, Box 7076, APO AP 89303</t>
  </si>
  <si>
    <t>Nash, Taylor and Navarro</t>
  </si>
  <si>
    <t>1970-12-05</t>
  </si>
  <si>
    <t>2017-08-08</t>
  </si>
  <si>
    <t>Christian Mendez</t>
  </si>
  <si>
    <t>maria78@avery.com</t>
  </si>
  <si>
    <t>+1-077-704-6990x407</t>
  </si>
  <si>
    <t>341 Leon Extensions Suite 130, Port Wayneport, KY 54670</t>
  </si>
  <si>
    <t>Airline pilot</t>
  </si>
  <si>
    <t>Pineda, Nelson and Waller</t>
  </si>
  <si>
    <t>1959-11-15</t>
  </si>
  <si>
    <t>2022-06-30</t>
  </si>
  <si>
    <t>Bobby Francis</t>
  </si>
  <si>
    <t>smithmatthew@austin.org</t>
  </si>
  <si>
    <t>001-267-467-6554x75935</t>
  </si>
  <si>
    <t>PSC 2567, Box 5354, APO AE 64560</t>
  </si>
  <si>
    <t>Martinez-Browning</t>
  </si>
  <si>
    <t>2018-11-16</t>
  </si>
  <si>
    <t>Timothy Holloway</t>
  </si>
  <si>
    <t>karenbrewer@burke-morales.com</t>
  </si>
  <si>
    <t>9591945588</t>
  </si>
  <si>
    <t>234 Taylor Mountains, Campbellport, MI 07780</t>
  </si>
  <si>
    <t>Walker, Welch and Martinez</t>
  </si>
  <si>
    <t>2003-02-07</t>
  </si>
  <si>
    <t>2024-11-26</t>
  </si>
  <si>
    <t>Rodney Shah</t>
  </si>
  <si>
    <t>meagan79@wolfe.com</t>
  </si>
  <si>
    <t>544.122.1416x598</t>
  </si>
  <si>
    <t>02690 Wood Plains, Diazborough, SC 99692</t>
  </si>
  <si>
    <t>Television floor manager</t>
  </si>
  <si>
    <t>Macdonald PLC</t>
  </si>
  <si>
    <t>1963-04-06</t>
  </si>
  <si>
    <t>2020-09-03</t>
  </si>
  <si>
    <t>Jason Sanchez</t>
  </si>
  <si>
    <t>dmiranda@yahoo.com</t>
  </si>
  <si>
    <t>872-309-4151</t>
  </si>
  <si>
    <t>6427 Jeffrey Plains, South Richard, SC 87620</t>
  </si>
  <si>
    <t>Bennett Ltd</t>
  </si>
  <si>
    <t>2007-03-29</t>
  </si>
  <si>
    <t>2023-07-14</t>
  </si>
  <si>
    <t>James James</t>
  </si>
  <si>
    <t>austinwallace@hotmail.com</t>
  </si>
  <si>
    <t>329.056.2787</t>
  </si>
  <si>
    <t>0120 Roy Tunnel Apt. 513, Chavezmouth, WV 40129</t>
  </si>
  <si>
    <t>Theatre director</t>
  </si>
  <si>
    <t>Goodwin-Brown</t>
  </si>
  <si>
    <t>1983-03-01</t>
  </si>
  <si>
    <t>2021-09-11</t>
  </si>
  <si>
    <t>Wendy Chavez</t>
  </si>
  <si>
    <t>jacobcox@hotmail.com</t>
  </si>
  <si>
    <t>687-187-8568x10896</t>
  </si>
  <si>
    <t>66783 Richard Station Apt. 745, Laurenburgh, NV 64597</t>
  </si>
  <si>
    <t>Williams-Williams</t>
  </si>
  <si>
    <t>2023-02-17</t>
  </si>
  <si>
    <t>Nancy Ray</t>
  </si>
  <si>
    <t>danieldavis@gmail.com</t>
  </si>
  <si>
    <t>001-944-954-0559</t>
  </si>
  <si>
    <t>75081 Jacqueline Causeway, North Tammy, NJ 31076</t>
  </si>
  <si>
    <t>Hess, Carr and Boyle</t>
  </si>
  <si>
    <t>1991-08-17</t>
  </si>
  <si>
    <t>2016-05-13</t>
  </si>
  <si>
    <t>Teresa Foster</t>
  </si>
  <si>
    <t>linanna@hotmail.com</t>
  </si>
  <si>
    <t>+1-983-696-6214x721</t>
  </si>
  <si>
    <t>1527 Adkins Creek Apt. 374, Victorport, MN 24191</t>
  </si>
  <si>
    <t>Phillips PLC</t>
  </si>
  <si>
    <t>1992-09-12</t>
  </si>
  <si>
    <t>2016-05-27</t>
  </si>
  <si>
    <t>Kelsey Alexander</t>
  </si>
  <si>
    <t>kristenroman@gmail.com</t>
  </si>
  <si>
    <t>+1-458-587-9220x67706</t>
  </si>
  <si>
    <t>585 Reynolds Groves Suite 381, New Robertstad, GA 90725</t>
  </si>
  <si>
    <t>Roach-Elliott</t>
  </si>
  <si>
    <t>1994-09-25</t>
  </si>
  <si>
    <t>2022-05-20</t>
  </si>
  <si>
    <t>Adam Davis</t>
  </si>
  <si>
    <t>tammymorales@hotmail.com</t>
  </si>
  <si>
    <t>809.446.8869</t>
  </si>
  <si>
    <t>980 Morris Burg, North Melanie, DC 06771</t>
  </si>
  <si>
    <t>1970-04-03</t>
  </si>
  <si>
    <t>2015-09-11</t>
  </si>
  <si>
    <t>Jill Meyer</t>
  </si>
  <si>
    <t>melissa62@gmail.com</t>
  </si>
  <si>
    <t>(997)262-4116</t>
  </si>
  <si>
    <t>56783 Jackson Mountain Apt. 401, Smithstad, NC 88484</t>
  </si>
  <si>
    <t>Tucker Group</t>
  </si>
  <si>
    <t>1983-01-03</t>
  </si>
  <si>
    <t>2022-03-13</t>
  </si>
  <si>
    <t>Jacob Murray</t>
  </si>
  <si>
    <t>stephanie62@gmail.com</t>
  </si>
  <si>
    <t>790-627-5997x5311</t>
  </si>
  <si>
    <t>1811 Lewis Locks, Jacquelineton, SD 80245</t>
  </si>
  <si>
    <t>Cole, Johnson and Coffey</t>
  </si>
  <si>
    <t>1998-10-04</t>
  </si>
  <si>
    <t>2018-12-02</t>
  </si>
  <si>
    <t>Barbara Moreno</t>
  </si>
  <si>
    <t>tarajones@terrell-johnson.info</t>
  </si>
  <si>
    <t>001-608-195-6092x32167</t>
  </si>
  <si>
    <t>0763 Serrano Camp Apt. 216, Lake Johnton, AZ 89819</t>
  </si>
  <si>
    <t>Alvarez Ltd</t>
  </si>
  <si>
    <t>1983-08-19</t>
  </si>
  <si>
    <t>2021-03-13</t>
  </si>
  <si>
    <t>James Myers</t>
  </si>
  <si>
    <t>deborah16@hotmail.com</t>
  </si>
  <si>
    <t>514-918-1650x3243</t>
  </si>
  <si>
    <t>5329 Gibbs Landing, Brownhaven, DE 07858</t>
  </si>
  <si>
    <t>Barber Ltd</t>
  </si>
  <si>
    <t>2000-06-10</t>
  </si>
  <si>
    <t>2015-07-29</t>
  </si>
  <si>
    <t>Anthony Moyer</t>
  </si>
  <si>
    <t>angelica14@doyle.info</t>
  </si>
  <si>
    <t>873-771-6049</t>
  </si>
  <si>
    <t>6480 Collier Street Apt. 863, Lake Jessica, IA 36719</t>
  </si>
  <si>
    <t>Ford-Benson</t>
  </si>
  <si>
    <t>1989-11-22</t>
  </si>
  <si>
    <t>2021-09-21</t>
  </si>
  <si>
    <t>David Robinson</t>
  </si>
  <si>
    <t>lisadavidson@gmail.com</t>
  </si>
  <si>
    <t>001-699-135-7060</t>
  </si>
  <si>
    <t>36923 Kathleen Forge Suite 112, South Janice, MI 26949</t>
  </si>
  <si>
    <t>Olsen, Bennett and Hamilton</t>
  </si>
  <si>
    <t>1985-05-09</t>
  </si>
  <si>
    <t>2020-03-15</t>
  </si>
  <si>
    <t>Aaron Harris</t>
  </si>
  <si>
    <t>bensoncorey@dean.com</t>
  </si>
  <si>
    <t>+1-113-617-8097x6899</t>
  </si>
  <si>
    <t>023 Simmons Corner Apt. 265, Blairhaven, NY 12239</t>
  </si>
  <si>
    <t>Youth worker</t>
  </si>
  <si>
    <t>1977-02-03</t>
  </si>
  <si>
    <t>2016-11-18</t>
  </si>
  <si>
    <t>Sandra Evans</t>
  </si>
  <si>
    <t>alyssasmith@gmail.com</t>
  </si>
  <si>
    <t>062.804.9314</t>
  </si>
  <si>
    <t>PSC 9393, Box 4565, APO AP 30442</t>
  </si>
  <si>
    <t>Management consultant</t>
  </si>
  <si>
    <t>Mitchell-Lewis</t>
  </si>
  <si>
    <t>1995-01-12</t>
  </si>
  <si>
    <t>2021-04-01</t>
  </si>
  <si>
    <t>amy24@yahoo.com</t>
  </si>
  <si>
    <t>778.701.0700</t>
  </si>
  <si>
    <t>816 Schmidt Road, South Samanthafort, DE 35956</t>
  </si>
  <si>
    <t>Mcfarland and Sons</t>
  </si>
  <si>
    <t>2001-08-14</t>
  </si>
  <si>
    <t>2016-04-12</t>
  </si>
  <si>
    <t>Jack Calderon</t>
  </si>
  <si>
    <t>emartinez@ferguson-duran.com</t>
  </si>
  <si>
    <t>566.101.9813x9745</t>
  </si>
  <si>
    <t>1875 Michael Junction Apt. 734, Port Joseph, SD 57509</t>
  </si>
  <si>
    <t>Dillon and Sons</t>
  </si>
  <si>
    <t>1960-08-09</t>
  </si>
  <si>
    <t>2023-02-26</t>
  </si>
  <si>
    <t>Ashley Fisher</t>
  </si>
  <si>
    <t>erinkelly@curtis.biz</t>
  </si>
  <si>
    <t>028-617-2403x4064</t>
  </si>
  <si>
    <t>0484 David Drive, South Kelly, ME 65947</t>
  </si>
  <si>
    <t>Howard-Skinner</t>
  </si>
  <si>
    <t>1979-09-05</t>
  </si>
  <si>
    <t>2017-09-23</t>
  </si>
  <si>
    <t>Traci Sexton</t>
  </si>
  <si>
    <t>rreynolds@lynch.info</t>
  </si>
  <si>
    <t>(106)415-5710x2788</t>
  </si>
  <si>
    <t>347 Maxwell Extensions, New Vanessaside, KY 41957</t>
  </si>
  <si>
    <t>Houston Group</t>
  </si>
  <si>
    <t>2024-09-07</t>
  </si>
  <si>
    <t>Kelly Stein</t>
  </si>
  <si>
    <t>stephanie65@wells.com</t>
  </si>
  <si>
    <t>(095)109-8613</t>
  </si>
  <si>
    <t>57337 William Tunnel Suite 575, Grantville, MI 68330</t>
  </si>
  <si>
    <t>Harris-Macdonald</t>
  </si>
  <si>
    <t>1980-09-13</t>
  </si>
  <si>
    <t>2015-12-27</t>
  </si>
  <si>
    <t>Larry Davis</t>
  </si>
  <si>
    <t>patriciachavez@lewis.com</t>
  </si>
  <si>
    <t>441-817-2612</t>
  </si>
  <si>
    <t>23224 Connor Stravenue, Perkinsbury, NM 20761</t>
  </si>
  <si>
    <t>Social research officer, government</t>
  </si>
  <si>
    <t>Ramsey, Waters and Williams</t>
  </si>
  <si>
    <t>1959-09-07</t>
  </si>
  <si>
    <t>2021-02-19</t>
  </si>
  <si>
    <t>Catherine Schmidt</t>
  </si>
  <si>
    <t>davidsummers@hotmail.com</t>
  </si>
  <si>
    <t>001-659-161-2844x60873</t>
  </si>
  <si>
    <t>295 Evan Road Apt. 141, West Angela, ND 62970</t>
  </si>
  <si>
    <t>Perez-Rivera</t>
  </si>
  <si>
    <t>1985-05-28</t>
  </si>
  <si>
    <t>2020-06-14</t>
  </si>
  <si>
    <t>Stephen Campbell</t>
  </si>
  <si>
    <t>ashley43@howe-martin.com</t>
  </si>
  <si>
    <t>001-158-163-9244x06668</t>
  </si>
  <si>
    <t>3843 Jennifer Cliff Suite 461, Jeremyhaven, UT 46795</t>
  </si>
  <si>
    <t>Diaz-Rice</t>
  </si>
  <si>
    <t>1988-02-05</t>
  </si>
  <si>
    <t>2022-07-25</t>
  </si>
  <si>
    <t>Rachel Murphy</t>
  </si>
  <si>
    <t>englishkaitlin@jones.org</t>
  </si>
  <si>
    <t>+1-864-343-4319</t>
  </si>
  <si>
    <t>USS Hebert, FPO AP 06762</t>
  </si>
  <si>
    <t>Gibson Group</t>
  </si>
  <si>
    <t>1964-03-15</t>
  </si>
  <si>
    <t>Christine Chase</t>
  </si>
  <si>
    <t>herringbrendan@gmail.com</t>
  </si>
  <si>
    <t>001-538-663-7169</t>
  </si>
  <si>
    <t>06838 Morris Trace Apt. 224, South Gabrielport, MI 72257</t>
  </si>
  <si>
    <t>Bryant, Williams and Craig</t>
  </si>
  <si>
    <t>1998-05-16</t>
  </si>
  <si>
    <t>2023-03-01</t>
  </si>
  <si>
    <t>Angela Gonzalez</t>
  </si>
  <si>
    <t>sandy41@yahoo.com</t>
  </si>
  <si>
    <t>934.407.8505</t>
  </si>
  <si>
    <t>312 Baker Extensions, Caitlinchester, SD 09011</t>
  </si>
  <si>
    <t>Olson-Woodward</t>
  </si>
  <si>
    <t>1994-02-01</t>
  </si>
  <si>
    <t>2017-11-11</t>
  </si>
  <si>
    <t>Kimberly Wells</t>
  </si>
  <si>
    <t>leebell@rodriguez-mendez.com</t>
  </si>
  <si>
    <t>605.959.0312</t>
  </si>
  <si>
    <t>19730 Rachel Green, New Misty, ME 03329</t>
  </si>
  <si>
    <t>Winters, Allison and Dorsey</t>
  </si>
  <si>
    <t>1977-11-21</t>
  </si>
  <si>
    <t>Angela Smith</t>
  </si>
  <si>
    <t>juliewalker@yahoo.com</t>
  </si>
  <si>
    <t>+1-891-021-7637x24907</t>
  </si>
  <si>
    <t>73649 Christine Estate Suite 431, North Marybury, ME 11105</t>
  </si>
  <si>
    <t>Navarro, Jackson and Foster</t>
  </si>
  <si>
    <t>2005-03-19</t>
  </si>
  <si>
    <t>Mary Cox</t>
  </si>
  <si>
    <t>dmurphy@davenport-sampson.com</t>
  </si>
  <si>
    <t>595.508.8640</t>
  </si>
  <si>
    <t>7713 Kent Route, Timothyland, MO 56971</t>
  </si>
  <si>
    <t>Frank-Harris</t>
  </si>
  <si>
    <t>2007-04-01</t>
  </si>
  <si>
    <t>2023-01-15</t>
  </si>
  <si>
    <t>Keith Swanson</t>
  </si>
  <si>
    <t>jarvisderek@hotmail.com</t>
  </si>
  <si>
    <t>(259)344-0710x6618</t>
  </si>
  <si>
    <t>780 Barbara Flats, Montoyahaven, NY 86772</t>
  </si>
  <si>
    <t>Maxwell-Ramos</t>
  </si>
  <si>
    <t>1988-03-19</t>
  </si>
  <si>
    <t>Ronald Jones</t>
  </si>
  <si>
    <t>deleondiana@yahoo.com</t>
  </si>
  <si>
    <t>549-621-0295</t>
  </si>
  <si>
    <t>7054 John Knolls Apt. 867, West Erikmouth, OK 27415</t>
  </si>
  <si>
    <t>Harrell PLC</t>
  </si>
  <si>
    <t>1960-01-12</t>
  </si>
  <si>
    <t>2019-02-03</t>
  </si>
  <si>
    <t>Walter Stewart</t>
  </si>
  <si>
    <t>lopezcrystal@frey-humphrey.com</t>
  </si>
  <si>
    <t>001-729-030-8247</t>
  </si>
  <si>
    <t>79656 Nicole Ramp, Welchport, LA 94056</t>
  </si>
  <si>
    <t>Williams-Duran</t>
  </si>
  <si>
    <t>1987-01-23</t>
  </si>
  <si>
    <t>2021-10-30</t>
  </si>
  <si>
    <t>Renee Benson</t>
  </si>
  <si>
    <t>chapmanjohn@bentley.org</t>
  </si>
  <si>
    <t>288-743-9140x06580</t>
  </si>
  <si>
    <t>7442 Samantha Grove Suite 561, Brayton, DC 79577</t>
  </si>
  <si>
    <t>Perez-Taylor</t>
  </si>
  <si>
    <t>1992-08-08</t>
  </si>
  <si>
    <t>2019-06-22</t>
  </si>
  <si>
    <t>Travis Bryan</t>
  </si>
  <si>
    <t>debralewis@gmail.com</t>
  </si>
  <si>
    <t>(905)500-3985</t>
  </si>
  <si>
    <t>616 Ross Key, East Carlstad, CT 02502</t>
  </si>
  <si>
    <t>Johnson, Lee and Ryan</t>
  </si>
  <si>
    <t>1972-11-29</t>
  </si>
  <si>
    <t>2024-03-14</t>
  </si>
  <si>
    <t>George Martin</t>
  </si>
  <si>
    <t>christopheranthony@hotmail.com</t>
  </si>
  <si>
    <t>(709)780-2272</t>
  </si>
  <si>
    <t>8785 Ronald Rue, Lake Kimberly, GA 41502</t>
  </si>
  <si>
    <t>Energy manager</t>
  </si>
  <si>
    <t>Johnson-Fisher</t>
  </si>
  <si>
    <t>1982-05-08</t>
  </si>
  <si>
    <t>2024-07-18</t>
  </si>
  <si>
    <t>Lauren Haney</t>
  </si>
  <si>
    <t>monique87@gmail.com</t>
  </si>
  <si>
    <t>496.421.6345</t>
  </si>
  <si>
    <t>0971 Stevens Heights, Jenniferside, GA 48142</t>
  </si>
  <si>
    <t>Designer, jewellery</t>
  </si>
  <si>
    <t>Monroe, Williams and Nguyen</t>
  </si>
  <si>
    <t>1976-05-17</t>
  </si>
  <si>
    <t>2021-11-21</t>
  </si>
  <si>
    <t>caingrace@yahoo.com</t>
  </si>
  <si>
    <t>311-678-0804x331</t>
  </si>
  <si>
    <t>823 Stephens Isle Apt. 721, Cynthialand, FL 47109</t>
  </si>
  <si>
    <t>Vega, Castro and Haney</t>
  </si>
  <si>
    <t>1969-06-26</t>
  </si>
  <si>
    <t>2021-11-25</t>
  </si>
  <si>
    <t>Philip Cruz</t>
  </si>
  <si>
    <t>fmiller@delacruz.org</t>
  </si>
  <si>
    <t>099-714-7578</t>
  </si>
  <si>
    <t>86711 James Ford, Woodborough, KS 47620</t>
  </si>
  <si>
    <t>Harrison-Gomez</t>
  </si>
  <si>
    <t>1962-12-11</t>
  </si>
  <si>
    <t>2017-11-19</t>
  </si>
  <si>
    <t>Bianca Olsen</t>
  </si>
  <si>
    <t>shannonballard@yahoo.com</t>
  </si>
  <si>
    <t>(972)433-1237x0354</t>
  </si>
  <si>
    <t>0851 Cuevas Manors, Bradleystad, MO 12778</t>
  </si>
  <si>
    <t>Brown, Bryant and Rose</t>
  </si>
  <si>
    <t>2005-09-09</t>
  </si>
  <si>
    <t>2022-09-21</t>
  </si>
  <si>
    <t>Kenneth Carr</t>
  </si>
  <si>
    <t>cdaugherty@gregory-monroe.net</t>
  </si>
  <si>
    <t>2086520802</t>
  </si>
  <si>
    <t>181 Silva Corners, Christineland, AR 15984</t>
  </si>
  <si>
    <t>Roman Ltd</t>
  </si>
  <si>
    <t>1972-10-08</t>
  </si>
  <si>
    <t>2015-09-05</t>
  </si>
  <si>
    <t>Michael Campbell</t>
  </si>
  <si>
    <t>brandongregory@simmons-cruz.com</t>
  </si>
  <si>
    <t>(602)839-3582x0574</t>
  </si>
  <si>
    <t>Unit 9957 Box 7431, DPO AA 13810</t>
  </si>
  <si>
    <t>Whitehead-Wolfe</t>
  </si>
  <si>
    <t>1995-02-03</t>
  </si>
  <si>
    <t>2019-01-24</t>
  </si>
  <si>
    <t>Ryan Alexander</t>
  </si>
  <si>
    <t>hickscatherine@davis.com</t>
  </si>
  <si>
    <t>144-457-4502x385</t>
  </si>
  <si>
    <t>762 Hughes Lodge, Heatherville, OR 13545</t>
  </si>
  <si>
    <t>Visual merchandiser</t>
  </si>
  <si>
    <t>Dickerson Ltd</t>
  </si>
  <si>
    <t>1969-07-09</t>
  </si>
  <si>
    <t>2018-06-01</t>
  </si>
  <si>
    <t>Taylor Taylor</t>
  </si>
  <si>
    <t>itapia@yahoo.com</t>
  </si>
  <si>
    <t>+1-337-750-6901</t>
  </si>
  <si>
    <t>5147 Penny Plaza, Martinezberg, NJ 41346</t>
  </si>
  <si>
    <t>Wilson-Oliver</t>
  </si>
  <si>
    <t>1998-05-17</t>
  </si>
  <si>
    <t>2017-03-16</t>
  </si>
  <si>
    <t>Victor Young</t>
  </si>
  <si>
    <t>karen09@gmail.com</t>
  </si>
  <si>
    <t>(464)667-1483</t>
  </si>
  <si>
    <t>Unit 7260 Box 7139, DPO AP 38223</t>
  </si>
  <si>
    <t>White Group</t>
  </si>
  <si>
    <t>1999-05-22</t>
  </si>
  <si>
    <t>Christopher Horn</t>
  </si>
  <si>
    <t>brownjessica@hotmail.com</t>
  </si>
  <si>
    <t>764-342-9108x0483</t>
  </si>
  <si>
    <t>77863 Hart Estates, Lopezton, CO 90661</t>
  </si>
  <si>
    <t>Hamilton, Sanford and Dickerson</t>
  </si>
  <si>
    <t>1970-10-26</t>
  </si>
  <si>
    <t>Tiffany Romero</t>
  </si>
  <si>
    <t>zacharyfoley@freeman.com</t>
  </si>
  <si>
    <t>(200)882-3434</t>
  </si>
  <si>
    <t>2893 Mitchell Harbors Apt. 676, South Jeremyport, CT 59250</t>
  </si>
  <si>
    <t>Pharmacist, community</t>
  </si>
  <si>
    <t>Thompson-Ortega</t>
  </si>
  <si>
    <t>1964-03-28</t>
  </si>
  <si>
    <t>2025-01-22</t>
  </si>
  <si>
    <t>Denise Flores</t>
  </si>
  <si>
    <t>wwoods@gmail.com</t>
  </si>
  <si>
    <t>270.366.1415x22924</t>
  </si>
  <si>
    <t>6971 Dean Center, New Katherinehaven, NH 64976</t>
  </si>
  <si>
    <t>Therapist, art</t>
  </si>
  <si>
    <t>Mcbride and Sons</t>
  </si>
  <si>
    <t>1991-11-20</t>
  </si>
  <si>
    <t>2017-12-12</t>
  </si>
  <si>
    <t>Amber Garcia</t>
  </si>
  <si>
    <t>wilsonmatthew@hotmail.com</t>
  </si>
  <si>
    <t>(546)071-8965</t>
  </si>
  <si>
    <t>67624 Jaime Crescent Apt. 223, Port Kaitlyn, OR 46923</t>
  </si>
  <si>
    <t>Lloyd-Shah</t>
  </si>
  <si>
    <t>1979-12-26</t>
  </si>
  <si>
    <t>2018-12-19</t>
  </si>
  <si>
    <t>Melanie Mcknight</t>
  </si>
  <si>
    <t>gravesdanielle@ward.com</t>
  </si>
  <si>
    <t>715-532-9591</t>
  </si>
  <si>
    <t>70686 Juarez Village, Rodrigueztown, MN 15832</t>
  </si>
  <si>
    <t>Mcmahon, Turner and Cooper</t>
  </si>
  <si>
    <t>1970-05-25</t>
  </si>
  <si>
    <t>2020-03-01</t>
  </si>
  <si>
    <t>Vanessa Howard</t>
  </si>
  <si>
    <t>craigwells@yahoo.com</t>
  </si>
  <si>
    <t>+1-589-291-8802x396</t>
  </si>
  <si>
    <t>03835 Jim Pine, East Kenneth, CT 39881</t>
  </si>
  <si>
    <t>Cooper-Sanchez</t>
  </si>
  <si>
    <t>1974-07-26</t>
  </si>
  <si>
    <t>2021-12-12</t>
  </si>
  <si>
    <t>Scott Gardner</t>
  </si>
  <si>
    <t>casey22@mitchell.com</t>
  </si>
  <si>
    <t>813-687-1301</t>
  </si>
  <si>
    <t>7799 Jennifer Oval Suite 438, West Brittanystad, AK 18434</t>
  </si>
  <si>
    <t>Good-Dean</t>
  </si>
  <si>
    <t>2005-10-23</t>
  </si>
  <si>
    <t>2023-10-26</t>
  </si>
  <si>
    <t>Thomas Petty</t>
  </si>
  <si>
    <t>robert40@clark.com</t>
  </si>
  <si>
    <t>7104733926</t>
  </si>
  <si>
    <t>9098 Carol Forks Apt. 594, South Amy, CT 98915</t>
  </si>
  <si>
    <t>Shea, Booker and Clark</t>
  </si>
  <si>
    <t>1968-03-30</t>
  </si>
  <si>
    <t>Michelle Porter</t>
  </si>
  <si>
    <t>mdaniel@gmail.com</t>
  </si>
  <si>
    <t>+1-588-881-8030x439</t>
  </si>
  <si>
    <t>37342 Jessica Gateway Suite 857, Michealside, ME 43392</t>
  </si>
  <si>
    <t>Welch Ltd</t>
  </si>
  <si>
    <t>1987-07-21</t>
  </si>
  <si>
    <t>2025-04-17</t>
  </si>
  <si>
    <t>Jessica Christensen</t>
  </si>
  <si>
    <t>kevinfisher@yahoo.com</t>
  </si>
  <si>
    <t>178.178.1053x0627</t>
  </si>
  <si>
    <t>759 Hale Via, Lake Anthony, NJ 65256</t>
  </si>
  <si>
    <t>Riggs, Gonzales and Garcia</t>
  </si>
  <si>
    <t>2000-06-05</t>
  </si>
  <si>
    <t>2024-08-29</t>
  </si>
  <si>
    <t>Dale Ramirez</t>
  </si>
  <si>
    <t>xwaters@mcfarland.com</t>
  </si>
  <si>
    <t>+1-456-376-8274x0112</t>
  </si>
  <si>
    <t>89181 James Brook Apt. 070, Bryanton, OR 03685</t>
  </si>
  <si>
    <t>1977-01-20</t>
  </si>
  <si>
    <t>2017-09-15</t>
  </si>
  <si>
    <t>Natalie Crane</t>
  </si>
  <si>
    <t>katiesummers@yahoo.com</t>
  </si>
  <si>
    <t>150-117-9265x2766</t>
  </si>
  <si>
    <t>521 Samantha Street, Lake Laurenport, HI 54299</t>
  </si>
  <si>
    <t>Community arts worker</t>
  </si>
  <si>
    <t>Price LLC</t>
  </si>
  <si>
    <t>1993-05-17</t>
  </si>
  <si>
    <t>Katherine Jackson</t>
  </si>
  <si>
    <t>ldouglas@hotmail.com</t>
  </si>
  <si>
    <t>(861)531-8303x182</t>
  </si>
  <si>
    <t>42742 Garcia Row, Freemanbury, WV 99412</t>
  </si>
  <si>
    <t>Figueroa-Garrett</t>
  </si>
  <si>
    <t>1966-11-27</t>
  </si>
  <si>
    <t>2022-05-27</t>
  </si>
  <si>
    <t>Bill Jackson</t>
  </si>
  <si>
    <t>kimberly21@anderson.net</t>
  </si>
  <si>
    <t>001-663-961-7795x151</t>
  </si>
  <si>
    <t>6828 Isaac Gardens, Erinfort, IN 08653</t>
  </si>
  <si>
    <t>Serrano, Johnston and Davis</t>
  </si>
  <si>
    <t>1998-07-14</t>
  </si>
  <si>
    <t>Alyssa Oliver</t>
  </si>
  <si>
    <t>mcrawford@gmail.com</t>
  </si>
  <si>
    <t>194-582-9286x7274</t>
  </si>
  <si>
    <t>751 Robert Lakes Suite 823, Johnsonport, CO 23568</t>
  </si>
  <si>
    <t>Robinson and Sons</t>
  </si>
  <si>
    <t>1996-12-26</t>
  </si>
  <si>
    <t>Cynthia Gaines</t>
  </si>
  <si>
    <t>benjaminmurillo@yahoo.com</t>
  </si>
  <si>
    <t>001-043-252-9542x541</t>
  </si>
  <si>
    <t>8232 Warren Rapids Suite 269, Lesliehaven, SC 97444</t>
  </si>
  <si>
    <t>Leon-Mills</t>
  </si>
  <si>
    <t>1982-06-20</t>
  </si>
  <si>
    <t>2021-02-28</t>
  </si>
  <si>
    <t>Taylor Ortega</t>
  </si>
  <si>
    <t>danielle19@yahoo.com</t>
  </si>
  <si>
    <t>(410)737-3526x67971</t>
  </si>
  <si>
    <t>843 Amanda Walk, South Roberthaven, VA 41480</t>
  </si>
  <si>
    <t>Leonard, Tucker and Jimenez</t>
  </si>
  <si>
    <t>1976-02-21</t>
  </si>
  <si>
    <t>2018-08-24</t>
  </si>
  <si>
    <t>Stephanie Richard</t>
  </si>
  <si>
    <t>gjackson@yahoo.com</t>
  </si>
  <si>
    <t>001-353-697-2343x4531</t>
  </si>
  <si>
    <t>4973 Shane Skyway Suite 990, Fosterfurt, PA 27655</t>
  </si>
  <si>
    <t>Green-Lowe</t>
  </si>
  <si>
    <t>2021-11-15</t>
  </si>
  <si>
    <t>Anna Berry</t>
  </si>
  <si>
    <t>spencerharris@flores.com</t>
  </si>
  <si>
    <t>122.825.9940x0354</t>
  </si>
  <si>
    <t>715 Megan Mountains, Rangelchester, NC 03282</t>
  </si>
  <si>
    <t>Lexicographer</t>
  </si>
  <si>
    <t>Deleon LLC</t>
  </si>
  <si>
    <t>1960-05-19</t>
  </si>
  <si>
    <t>2016-02-02</t>
  </si>
  <si>
    <t>Laurie Hammond</t>
  </si>
  <si>
    <t>chenry@gmail.com</t>
  </si>
  <si>
    <t>+1-768-402-2543</t>
  </si>
  <si>
    <t>3203 Barnett Mills, Gonzalezfurt, WV 93226</t>
  </si>
  <si>
    <t>Marquez-Fisher</t>
  </si>
  <si>
    <t>2006-09-12</t>
  </si>
  <si>
    <t>2015-07-16</t>
  </si>
  <si>
    <t>Daniel Vang</t>
  </si>
  <si>
    <t>dickersonsarah@hotmail.com</t>
  </si>
  <si>
    <t>579-701-8168x51748</t>
  </si>
  <si>
    <t>151 Sandra Trace Suite 925, West Suzanne, MI 56920</t>
  </si>
  <si>
    <t>Gonzalez, Le and Terrell</t>
  </si>
  <si>
    <t>1965-03-13</t>
  </si>
  <si>
    <t>2016-07-19</t>
  </si>
  <si>
    <t>Donald Andrews</t>
  </si>
  <si>
    <t>ibrock@snyder-thompson.com</t>
  </si>
  <si>
    <t>(412)000-8544x925</t>
  </si>
  <si>
    <t>44618 Sarah Island, Riceville, PA 44628</t>
  </si>
  <si>
    <t>Martin, Butler and Dean</t>
  </si>
  <si>
    <t>1983-12-12</t>
  </si>
  <si>
    <t>2020-10-22</t>
  </si>
  <si>
    <t>Jeremy Avery</t>
  </si>
  <si>
    <t>fbecker@carter.net</t>
  </si>
  <si>
    <t>505-740-6374x030</t>
  </si>
  <si>
    <t>4385 Ronald Junction Suite 417, West Andreaborough, DC 43636</t>
  </si>
  <si>
    <t>Perkins-Vazquez</t>
  </si>
  <si>
    <t>1964-10-30</t>
  </si>
  <si>
    <t>2025-04-20</t>
  </si>
  <si>
    <t>Johnny Jones</t>
  </si>
  <si>
    <t>boydtina@yahoo.com</t>
  </si>
  <si>
    <t>976.549.1298</t>
  </si>
  <si>
    <t>37243 Allen Walks, Pattonchester, FL 53706</t>
  </si>
  <si>
    <t>Teacher, English as a foreign language</t>
  </si>
  <si>
    <t>Smith, Gonzalez and Johnson</t>
  </si>
  <si>
    <t>2007-06-15</t>
  </si>
  <si>
    <t>2023-09-30</t>
  </si>
  <si>
    <t>Derek Singleton</t>
  </si>
  <si>
    <t>carlsonwayne@burgess-obrien.biz</t>
  </si>
  <si>
    <t>748.796.4374x65556</t>
  </si>
  <si>
    <t>2303 Mia Street Apt. 738, East Jameschester, NC 88590</t>
  </si>
  <si>
    <t>1993-12-21</t>
  </si>
  <si>
    <t>2022-11-24</t>
  </si>
  <si>
    <t>Dana Lozano</t>
  </si>
  <si>
    <t>blakecourtney@hayes.com</t>
  </si>
  <si>
    <t>747-362-6754x425</t>
  </si>
  <si>
    <t>8907 Mcdowell Circles, Hooverchester, CA 54470</t>
  </si>
  <si>
    <t>Chartered accountant</t>
  </si>
  <si>
    <t>2005-04-03</t>
  </si>
  <si>
    <t>2016-09-21</t>
  </si>
  <si>
    <t>Zachary Anderson</t>
  </si>
  <si>
    <t>wmurphy@chaney.biz</t>
  </si>
  <si>
    <t>(257)558-1293x290</t>
  </si>
  <si>
    <t>8603 Hernandez Motorway, Eugeneborough, NE 43075</t>
  </si>
  <si>
    <t>Rodriguez Inc</t>
  </si>
  <si>
    <t>1987-08-01</t>
  </si>
  <si>
    <t>2017-11-23</t>
  </si>
  <si>
    <t>Dennis Jones</t>
  </si>
  <si>
    <t>normansherry@decker.org</t>
  </si>
  <si>
    <t>267-984-8322x7771</t>
  </si>
  <si>
    <t>254 Palmer Villages, East Michellefort, ME 96070</t>
  </si>
  <si>
    <t>Neal, Brooks and Cline</t>
  </si>
  <si>
    <t>1996-12-15</t>
  </si>
  <si>
    <t>Alicia Alvarez</t>
  </si>
  <si>
    <t>rachel93@medina.com</t>
  </si>
  <si>
    <t>083.804.4957</t>
  </si>
  <si>
    <t>70301 April Flat Suite 225, South Meredith, CT 06802</t>
  </si>
  <si>
    <t>Forest/woodland manager</t>
  </si>
  <si>
    <t>Lucero, Hamilton and Thomas</t>
  </si>
  <si>
    <t>1961-04-22</t>
  </si>
  <si>
    <t>2024-01-08</t>
  </si>
  <si>
    <t>Gabriella Gonzales</t>
  </si>
  <si>
    <t>rodriguezdanielle@clark.com</t>
  </si>
  <si>
    <t>004-673-6931x504</t>
  </si>
  <si>
    <t>USCGC Greene, FPO AA 58535</t>
  </si>
  <si>
    <t>Gutierrez-Moore</t>
  </si>
  <si>
    <t>1978-10-17</t>
  </si>
  <si>
    <t>2017-03-17</t>
  </si>
  <si>
    <t>Amy Walker</t>
  </si>
  <si>
    <t>frankali@yahoo.com</t>
  </si>
  <si>
    <t>285.137.4333</t>
  </si>
  <si>
    <t>201 Heidi Burgs Apt. 910, Lake Emilymouth, WA 82440</t>
  </si>
  <si>
    <t>Jordan, Stevenson and Hamilton</t>
  </si>
  <si>
    <t>2006-05-26</t>
  </si>
  <si>
    <t>Kelly Harrell</t>
  </si>
  <si>
    <t>nathan93@wright-berry.com</t>
  </si>
  <si>
    <t>523.968.3949</t>
  </si>
  <si>
    <t>1079 Dennis Keys Suite 575, Garyburgh, OK 37446</t>
  </si>
  <si>
    <t>Mullen, Walter and King</t>
  </si>
  <si>
    <t>1996-04-19</t>
  </si>
  <si>
    <t>2021-07-05</t>
  </si>
  <si>
    <t>Lacey Mcbride Dds</t>
  </si>
  <si>
    <t>zbaldwin@clark.com</t>
  </si>
  <si>
    <t>+1-574-938-8585</t>
  </si>
  <si>
    <t>USS Buck, FPO AE 66594</t>
  </si>
  <si>
    <t>Melendez-Smith</t>
  </si>
  <si>
    <t>1975-08-31</t>
  </si>
  <si>
    <t>2019-08-20</t>
  </si>
  <si>
    <t>Debra Cook</t>
  </si>
  <si>
    <t>johnlittle@hall.info</t>
  </si>
  <si>
    <t>+1-838-455-5811x12323</t>
  </si>
  <si>
    <t>Unit 7506 Box 9821, DPO AE 15380</t>
  </si>
  <si>
    <t>Hawkins-Anderson</t>
  </si>
  <si>
    <t>1969-09-12</t>
  </si>
  <si>
    <t>2018-08-13</t>
  </si>
  <si>
    <t>William Meyer</t>
  </si>
  <si>
    <t>tonyawalker@hotmail.com</t>
  </si>
  <si>
    <t>0483625559</t>
  </si>
  <si>
    <t>160 Rangel Islands Apt. 824, Jamestown, RI 62638</t>
  </si>
  <si>
    <t>Washington, James and Cole</t>
  </si>
  <si>
    <t>1970-04-30</t>
  </si>
  <si>
    <t>Kristina Lopez</t>
  </si>
  <si>
    <t>brandon48@caldwell-harvey.com</t>
  </si>
  <si>
    <t>661.579.6222</t>
  </si>
  <si>
    <t>290 Jason Curve, Alexisfurt, AZ 46084</t>
  </si>
  <si>
    <t>Byrd, Long and Carlson</t>
  </si>
  <si>
    <t>1969-09-24</t>
  </si>
  <si>
    <t>2016-01-31</t>
  </si>
  <si>
    <t>James Diaz</t>
  </si>
  <si>
    <t>vhebert@price.com</t>
  </si>
  <si>
    <t>5280442121</t>
  </si>
  <si>
    <t>21005 Briggs Port Apt. 025, Brownfurt, CT 04691</t>
  </si>
  <si>
    <t>Davis Group</t>
  </si>
  <si>
    <t>1977-03-17</t>
  </si>
  <si>
    <t>2022-09-04</t>
  </si>
  <si>
    <t>Joshua Knapp</t>
  </si>
  <si>
    <t>omartinez@yahoo.com</t>
  </si>
  <si>
    <t>655.005.4030x3143</t>
  </si>
  <si>
    <t>44939 Morgan Mountains Apt. 315, South Lauren, OH 21633</t>
  </si>
  <si>
    <t>Patterson-Mitchell</t>
  </si>
  <si>
    <t>2000-06-04</t>
  </si>
  <si>
    <t>2020-08-29</t>
  </si>
  <si>
    <t>Kimberly Fisher</t>
  </si>
  <si>
    <t>davisamber@smith.com</t>
  </si>
  <si>
    <t>112-097-7736</t>
  </si>
  <si>
    <t>387 Smith Lane, Gomezmouth, VT 73227</t>
  </si>
  <si>
    <t>Young PLC</t>
  </si>
  <si>
    <t>1966-12-17</t>
  </si>
  <si>
    <t>Margaret Silva</t>
  </si>
  <si>
    <t>yorkrenee@gmail.com</t>
  </si>
  <si>
    <t>001-386-453-4386x97920</t>
  </si>
  <si>
    <t>826 Farmer Plains Apt. 522, Thomasfort, NY 56956</t>
  </si>
  <si>
    <t>Learning disability nurse</t>
  </si>
  <si>
    <t>Wilson-Dawson</t>
  </si>
  <si>
    <t>1983-07-04</t>
  </si>
  <si>
    <t>2015-12-24</t>
  </si>
  <si>
    <t>Connie White</t>
  </si>
  <si>
    <t>ilong@hotmail.com</t>
  </si>
  <si>
    <t>(676)008-3347x43041</t>
  </si>
  <si>
    <t>60079 Edwards Track Apt. 294, North Christopherville, PA 60133</t>
  </si>
  <si>
    <t>Guerrero-Harrison</t>
  </si>
  <si>
    <t>1973-09-13</t>
  </si>
  <si>
    <t>2017-06-08</t>
  </si>
  <si>
    <t>Loretta Levine</t>
  </si>
  <si>
    <t>xshaw@hotmail.com</t>
  </si>
  <si>
    <t>001-456-414-3898</t>
  </si>
  <si>
    <t>USCGC Black, FPO AP 14646</t>
  </si>
  <si>
    <t>Parrish, Dickerson and Chan</t>
  </si>
  <si>
    <t>2004-08-02</t>
  </si>
  <si>
    <t>Jasmine Scott</t>
  </si>
  <si>
    <t>mbell@hahn.biz</t>
  </si>
  <si>
    <t>2524142450</t>
  </si>
  <si>
    <t>USCGC Diaz, FPO AA 45081</t>
  </si>
  <si>
    <t>Wong, Flores and Mitchell</t>
  </si>
  <si>
    <t>1992-01-06</t>
  </si>
  <si>
    <t>2024-09-15</t>
  </si>
  <si>
    <t>John White</t>
  </si>
  <si>
    <t>qgay@campbell.com</t>
  </si>
  <si>
    <t>(087)191-6564x27387</t>
  </si>
  <si>
    <t>322 Jackson Alley, New Robert, NM 22070</t>
  </si>
  <si>
    <t>Butler, Mcdaniel and Campbell</t>
  </si>
  <si>
    <t>1968-11-28</t>
  </si>
  <si>
    <t>2021-02-15</t>
  </si>
  <si>
    <t>Ruth Skinner</t>
  </si>
  <si>
    <t>heidi79@gmail.com</t>
  </si>
  <si>
    <t>027.302.3198</t>
  </si>
  <si>
    <t>06375 Archer Vista Apt. 980, Adamview, RI 53324</t>
  </si>
  <si>
    <t>1994-07-23</t>
  </si>
  <si>
    <t>Vickie Alvarez</t>
  </si>
  <si>
    <t>ernest97@wilson.com</t>
  </si>
  <si>
    <t>(106)913-9092x958</t>
  </si>
  <si>
    <t>460 Luis Loaf, West Jennifermouth, NH 26334</t>
  </si>
  <si>
    <t>Owens Ltd</t>
  </si>
  <si>
    <t>2001-08-12</t>
  </si>
  <si>
    <t>2023-05-11</t>
  </si>
  <si>
    <t>Richard Lyons</t>
  </si>
  <si>
    <t>zwong@hotmail.com</t>
  </si>
  <si>
    <t>7179693918</t>
  </si>
  <si>
    <t>1873 Serrano Wells, Crawfordberg, NE 30508</t>
  </si>
  <si>
    <t>Collins PLC</t>
  </si>
  <si>
    <t>1986-12-19</t>
  </si>
  <si>
    <t>Patrick Ballard</t>
  </si>
  <si>
    <t>mirandaelizabeth@johnson.com</t>
  </si>
  <si>
    <t>+1-532-658-7200x935</t>
  </si>
  <si>
    <t>4158 Cunningham Parkways Apt. 440, Rhodesshire, OR 51629</t>
  </si>
  <si>
    <t>Hines-Long</t>
  </si>
  <si>
    <t>1968-08-03</t>
  </si>
  <si>
    <t>2020-01-05</t>
  </si>
  <si>
    <t>John Gordon</t>
  </si>
  <si>
    <t>valdezshawn@frye.com</t>
  </si>
  <si>
    <t>(965)140-1891x38134</t>
  </si>
  <si>
    <t>616 Robin Mission, Michaelton, AZ 15168</t>
  </si>
  <si>
    <t>Lee-Gibson</t>
  </si>
  <si>
    <t>1976-07-21</t>
  </si>
  <si>
    <t>2017-10-11</t>
  </si>
  <si>
    <t>James Sanchez Dvm</t>
  </si>
  <si>
    <t>goconnor@hall.com</t>
  </si>
  <si>
    <t>+1-289-322-4180x48522</t>
  </si>
  <si>
    <t>4228 Corey Summit, Davidfort, NY 08284</t>
  </si>
  <si>
    <t>Solis-White</t>
  </si>
  <si>
    <t>1986-05-22</t>
  </si>
  <si>
    <t>2020-11-29</t>
  </si>
  <si>
    <t>Cynthia Jones</t>
  </si>
  <si>
    <t>vmartin@calderon.org</t>
  </si>
  <si>
    <t>(034)737-9441x66631</t>
  </si>
  <si>
    <t>794 May Crest, Brennanport, MA 43246</t>
  </si>
  <si>
    <t>Brady-Ritter</t>
  </si>
  <si>
    <t>1970-10-22</t>
  </si>
  <si>
    <t>2024-07-13</t>
  </si>
  <si>
    <t>Mary Oliver</t>
  </si>
  <si>
    <t>fowlerbrian@gmail.com</t>
  </si>
  <si>
    <t>146-325-8822</t>
  </si>
  <si>
    <t>712 Martinez Plaza Apt. 781, Allenland, AZ 81620</t>
  </si>
  <si>
    <t>Walsh-Gonzales</t>
  </si>
  <si>
    <t>1979-04-15</t>
  </si>
  <si>
    <t>Donald Berry</t>
  </si>
  <si>
    <t>smithseth@hotmail.com</t>
  </si>
  <si>
    <t>4444643158</t>
  </si>
  <si>
    <t>29792 Brown Alley, South Mary, IA 04290</t>
  </si>
  <si>
    <t>Raymond Ltd</t>
  </si>
  <si>
    <t>1975-02-27</t>
  </si>
  <si>
    <t>2018-08-12</t>
  </si>
  <si>
    <t>John Obrien</t>
  </si>
  <si>
    <t>carol44@hotmail.com</t>
  </si>
  <si>
    <t>+1-414-424-4938x0069</t>
  </si>
  <si>
    <t>502 Richardson Fort, East Bonnie, OK 38783</t>
  </si>
  <si>
    <t>Young-Bryant</t>
  </si>
  <si>
    <t>1977-01-02</t>
  </si>
  <si>
    <t>2016-05-26</t>
  </si>
  <si>
    <t>Adrian Boyd</t>
  </si>
  <si>
    <t>cheyenne88@hotmail.com</t>
  </si>
  <si>
    <t>974-752-9839</t>
  </si>
  <si>
    <t>59604 Ryan Drives Suite 025, Sonyaview, MI 94866</t>
  </si>
  <si>
    <t>Atkinson-Martinez</t>
  </si>
  <si>
    <t>1981-03-05</t>
  </si>
  <si>
    <t>Alexander Johnson</t>
  </si>
  <si>
    <t>tammy35@ortiz-waters.org</t>
  </si>
  <si>
    <t>001-063-673-3954x87967</t>
  </si>
  <si>
    <t>26745 Mark Lodge, Jacquelinetown, WY 13866</t>
  </si>
  <si>
    <t>Russo Ltd</t>
  </si>
  <si>
    <t>1977-12-14</t>
  </si>
  <si>
    <t>2018-09-13</t>
  </si>
  <si>
    <t>Mark Gonzalez</t>
  </si>
  <si>
    <t>hansonbrian@gmail.com</t>
  </si>
  <si>
    <t>001-305-301-7617x3988</t>
  </si>
  <si>
    <t>6463 Lisa Green, Port Krista, WA 42722</t>
  </si>
  <si>
    <t>Torres, Myers and Brady</t>
  </si>
  <si>
    <t>2005-07-30</t>
  </si>
  <si>
    <t>2020-09-14</t>
  </si>
  <si>
    <t>Dana Cruz</t>
  </si>
  <si>
    <t>aparrish@hotmail.com</t>
  </si>
  <si>
    <t>+1-742-139-8645</t>
  </si>
  <si>
    <t>2331 Sloan Springs, Marissafurt, FL 60196</t>
  </si>
  <si>
    <t>Emergency planning/management officer</t>
  </si>
  <si>
    <t>Lewis, Wilson and Garcia</t>
  </si>
  <si>
    <t>1965-02-14</t>
  </si>
  <si>
    <t>2023-07-06</t>
  </si>
  <si>
    <t>Ashley Ellis</t>
  </si>
  <si>
    <t>dscott@perez.info</t>
  </si>
  <si>
    <t>(418)407-9165</t>
  </si>
  <si>
    <t>58882 Estrada Plaza, East Philipton, IN 20517</t>
  </si>
  <si>
    <t>Leonard, Taylor and Sloan</t>
  </si>
  <si>
    <t>1964-06-26</t>
  </si>
  <si>
    <t>2025-03-06</t>
  </si>
  <si>
    <t>Joseph Holmes Dds</t>
  </si>
  <si>
    <t>kennethconrad@chavez.net</t>
  </si>
  <si>
    <t>001-646-747-6954</t>
  </si>
  <si>
    <t>8230 Harry Causeway, Lake Jasminebury, TX 35844</t>
  </si>
  <si>
    <t>Salazar-Cruz</t>
  </si>
  <si>
    <t>1972-08-13</t>
  </si>
  <si>
    <t>2018-09-25</t>
  </si>
  <si>
    <t>Martin Snyder</t>
  </si>
  <si>
    <t>icisneros@jimenez-hall.com</t>
  </si>
  <si>
    <t>131-846-7145</t>
  </si>
  <si>
    <t>7086 Michael Orchard, Port Michael, FL 97975</t>
  </si>
  <si>
    <t>Vaughn-Morris</t>
  </si>
  <si>
    <t>1992-08-10</t>
  </si>
  <si>
    <t>Megan Moore</t>
  </si>
  <si>
    <t>charlesmarshall@mcguire-mitchell.com</t>
  </si>
  <si>
    <t>001-998-294-4974</t>
  </si>
  <si>
    <t>98392 Steven Forks Apt. 504, Michaeltown, MA 81466</t>
  </si>
  <si>
    <t>Kim, Bender and Quinn</t>
  </si>
  <si>
    <t>1990-10-27</t>
  </si>
  <si>
    <t>2019-06-30</t>
  </si>
  <si>
    <t>Laura Moore Md</t>
  </si>
  <si>
    <t>reneesmith@mcclure.com</t>
  </si>
  <si>
    <t>001-485-554-6883x760</t>
  </si>
  <si>
    <t>635 Chad Drive, Melindafort, ID 75277</t>
  </si>
  <si>
    <t>Hamilton Ltd</t>
  </si>
  <si>
    <t>2005-07-28</t>
  </si>
  <si>
    <t>2025-04-16</t>
  </si>
  <si>
    <t>Deborah Ramirez</t>
  </si>
  <si>
    <t>erik37@mason-stone.net</t>
  </si>
  <si>
    <t>1769218372</t>
  </si>
  <si>
    <t>89846 Bianca Ridges Apt. 816, Davidside, CT 50914</t>
  </si>
  <si>
    <t>Mudlogger</t>
  </si>
  <si>
    <t>Page-Lewis</t>
  </si>
  <si>
    <t>1981-06-05</t>
  </si>
  <si>
    <t>Wayne Hubbard</t>
  </si>
  <si>
    <t>sstokes@king-white.com</t>
  </si>
  <si>
    <t>(712)086-8880</t>
  </si>
  <si>
    <t>81051 Morse Stravenue Suite 630, Tylerstad, WY 34466</t>
  </si>
  <si>
    <t>Charles, Klein and Perez</t>
  </si>
  <si>
    <t>Frank Garcia</t>
  </si>
  <si>
    <t>lauren10@lopez.org</t>
  </si>
  <si>
    <t>001-804-244-6342</t>
  </si>
  <si>
    <t>Unit 5212 Box 8046, DPO AE 48712</t>
  </si>
  <si>
    <t>Raymond-Smith</t>
  </si>
  <si>
    <t>2001-03-04</t>
  </si>
  <si>
    <t>2017-09-04</t>
  </si>
  <si>
    <t>Michelle Sanchez</t>
  </si>
  <si>
    <t>sean80@green.biz</t>
  </si>
  <si>
    <t>903.805.7262x4754</t>
  </si>
  <si>
    <t>8284 Wheeler Orchard Apt. 158, Ricardomouth, IN 74191</t>
  </si>
  <si>
    <t>Turner PLC</t>
  </si>
  <si>
    <t>1993-12-27</t>
  </si>
  <si>
    <t>Michael Kim</t>
  </si>
  <si>
    <t>simpsonroger@ballard.com</t>
  </si>
  <si>
    <t>528.006.1651x9632</t>
  </si>
  <si>
    <t>8992 Shah Corners Suite 277, North Christopherchester, FL 54192</t>
  </si>
  <si>
    <t>Choi Ltd</t>
  </si>
  <si>
    <t>1978-05-09</t>
  </si>
  <si>
    <t>2024-02-23</t>
  </si>
  <si>
    <t>Terri Simmons</t>
  </si>
  <si>
    <t>pwillis@stone.com</t>
  </si>
  <si>
    <t>001-534-410-5114x2514</t>
  </si>
  <si>
    <t>520 Davis River, Melissastad, IA 39016</t>
  </si>
  <si>
    <t>Cuevas-Young</t>
  </si>
  <si>
    <t>1988-09-07</t>
  </si>
  <si>
    <t>Alfred Cook</t>
  </si>
  <si>
    <t>cobbtrevor@yahoo.com</t>
  </si>
  <si>
    <t>(822)572-1793x871</t>
  </si>
  <si>
    <t>905 Carl Alley Suite 053, West Morganburgh, NH 57776</t>
  </si>
  <si>
    <t>Adams-Allen</t>
  </si>
  <si>
    <t>1983-04-09</t>
  </si>
  <si>
    <t>Victor Hill</t>
  </si>
  <si>
    <t>snowjulie@gmail.com</t>
  </si>
  <si>
    <t>041.826.4420x879</t>
  </si>
  <si>
    <t>63895 Timothy Views Apt. 684, Christinaland, DE 82819</t>
  </si>
  <si>
    <t>Lawson, Calderon and Tate</t>
  </si>
  <si>
    <t>2005-12-15</t>
  </si>
  <si>
    <t>2018-05-21</t>
  </si>
  <si>
    <t>Eric Williams</t>
  </si>
  <si>
    <t>stephenrangel@gmail.com</t>
  </si>
  <si>
    <t>001-010-770-0784x1587</t>
  </si>
  <si>
    <t>99207 Donald Lane Suite 848, Lake Aaronview, MO 76343</t>
  </si>
  <si>
    <t>Jones, Harris and Sharp</t>
  </si>
  <si>
    <t>1988-02-11</t>
  </si>
  <si>
    <t>Kelly Osborne</t>
  </si>
  <si>
    <t>waltersdavid@pope-simmons.com</t>
  </si>
  <si>
    <t>(478)918-0671x24315</t>
  </si>
  <si>
    <t>386 Gary Street, North Alyssaview, AR 65969</t>
  </si>
  <si>
    <t>1962-11-03</t>
  </si>
  <si>
    <t>2018-04-04</t>
  </si>
  <si>
    <t>Shannon Solomon</t>
  </si>
  <si>
    <t>ballen@yahoo.com</t>
  </si>
  <si>
    <t>(109)971-4517x953</t>
  </si>
  <si>
    <t>5727 Travis Mountain, Kyletown, GA 53754</t>
  </si>
  <si>
    <t>Carson, Joseph and Ford</t>
  </si>
  <si>
    <t>1962-08-23</t>
  </si>
  <si>
    <t>2019-05-16</t>
  </si>
  <si>
    <t>Michele Weber</t>
  </si>
  <si>
    <t>ellenorozco@yahoo.com</t>
  </si>
  <si>
    <t>+1-685-386-1266</t>
  </si>
  <si>
    <t>3529 Pam Place, Timothyberg, MI 36168</t>
  </si>
  <si>
    <t>Baldwin, Valenzuela and Arnold</t>
  </si>
  <si>
    <t>2022-06-11</t>
  </si>
  <si>
    <t>Christopher King</t>
  </si>
  <si>
    <t>angela58@moore.com</t>
  </si>
  <si>
    <t>1630993930</t>
  </si>
  <si>
    <t>USCGC Wilson, FPO AE 17741</t>
  </si>
  <si>
    <t>Bradley-Pena</t>
  </si>
  <si>
    <t>1992-01-29</t>
  </si>
  <si>
    <t>Patricia Roth</t>
  </si>
  <si>
    <t>jonathanrosario@yahoo.com</t>
  </si>
  <si>
    <t>+1-850-270-1838</t>
  </si>
  <si>
    <t>4928 Carson Groves Suite 496, Hallville, MI 45180</t>
  </si>
  <si>
    <t>Knight, Turner and Payne</t>
  </si>
  <si>
    <t>1981-10-31</t>
  </si>
  <si>
    <t>2023-12-26</t>
  </si>
  <si>
    <t>Justin Contreras</t>
  </si>
  <si>
    <t>raymondtrevor@gmail.com</t>
  </si>
  <si>
    <t>(642)985-4741x96768</t>
  </si>
  <si>
    <t>374 Avery Mill Suite 834, Jasonmouth, KS 72302</t>
  </si>
  <si>
    <t>Retail manager</t>
  </si>
  <si>
    <t>Moon Ltd</t>
  </si>
  <si>
    <t>1972-08-10</t>
  </si>
  <si>
    <t>2016-12-10</t>
  </si>
  <si>
    <t>Frank Cohen</t>
  </si>
  <si>
    <t>philip99@yahoo.com</t>
  </si>
  <si>
    <t>001-162-182-8060x00274</t>
  </si>
  <si>
    <t>7972 Ashley Rest Suite 633, North Jamesmouth, NE 88918</t>
  </si>
  <si>
    <t>Gomez-Carlson</t>
  </si>
  <si>
    <t>1998-12-14</t>
  </si>
  <si>
    <t>2022-06-02</t>
  </si>
  <si>
    <t>Manuel Weeks</t>
  </si>
  <si>
    <t>stephen14@hotmail.com</t>
  </si>
  <si>
    <t>001-127-054-1400</t>
  </si>
  <si>
    <t>8875 Sandoval Fork, New Lauren, IA 80187</t>
  </si>
  <si>
    <t>Cardenas Group</t>
  </si>
  <si>
    <t>1974-08-19</t>
  </si>
  <si>
    <t>2019-07-01</t>
  </si>
  <si>
    <t>Micheal Solomon</t>
  </si>
  <si>
    <t>theresamason@gmail.com</t>
  </si>
  <si>
    <t>390.622.1256</t>
  </si>
  <si>
    <t>013 Jonathan Cliff, Bernardshire, AK 96849</t>
  </si>
  <si>
    <t>Thomas, Webster and Holder</t>
  </si>
  <si>
    <t>1984-09-02</t>
  </si>
  <si>
    <t>Kelly Perez Md</t>
  </si>
  <si>
    <t>dennispatterson@gmail.com</t>
  </si>
  <si>
    <t>732-840-0829x919</t>
  </si>
  <si>
    <t>PSC 9713, Box 4796, APO AE 57122</t>
  </si>
  <si>
    <t>Barista</t>
  </si>
  <si>
    <t>Johnson LLC</t>
  </si>
  <si>
    <t>1970-05-14</t>
  </si>
  <si>
    <t>Brandon Jenkins</t>
  </si>
  <si>
    <t>david80@gmail.com</t>
  </si>
  <si>
    <t>(338)612-6599</t>
  </si>
  <si>
    <t>6376 Taylor Summit Suite 574, Travischester, NY 49631</t>
  </si>
  <si>
    <t>Evans, Carroll and Nguyen</t>
  </si>
  <si>
    <t>1962-11-01</t>
  </si>
  <si>
    <t>2016-06-08</t>
  </si>
  <si>
    <t>Linda Mccarty</t>
  </si>
  <si>
    <t>vargaslauren@sanders-lester.com</t>
  </si>
  <si>
    <t>(107)796-3891x50988</t>
  </si>
  <si>
    <t>39722 Wagner Plains, Braybury, MA 18840</t>
  </si>
  <si>
    <t>Hull-Gentry</t>
  </si>
  <si>
    <t>1961-10-04</t>
  </si>
  <si>
    <t>Melissa Oconnor</t>
  </si>
  <si>
    <t>scottroberto@gmail.com</t>
  </si>
  <si>
    <t>(278)159-5605x684</t>
  </si>
  <si>
    <t>924 Robertson Stravenue Apt. 334, Alvarezside, CO 32871</t>
  </si>
  <si>
    <t>Ramos Group</t>
  </si>
  <si>
    <t>1982-02-22</t>
  </si>
  <si>
    <t>2016-10-25</t>
  </si>
  <si>
    <t>Nathan Wood</t>
  </si>
  <si>
    <t>jamesharrison@hotmail.com</t>
  </si>
  <si>
    <t>(597)289-6469</t>
  </si>
  <si>
    <t>066 Webb Tunnel Apt. 370, Lake Brian, TN 12672</t>
  </si>
  <si>
    <t>Jones, Clark and Williams</t>
  </si>
  <si>
    <t>1990-01-22</t>
  </si>
  <si>
    <t>2025-05-07</t>
  </si>
  <si>
    <t>Renee Nash</t>
  </si>
  <si>
    <t>sharon20@yahoo.com</t>
  </si>
  <si>
    <t>(265)455-6497</t>
  </si>
  <si>
    <t>603 Patricia Orchard Apt. 574, Allenburgh, MN 55060</t>
  </si>
  <si>
    <t>Engineer, control and instrumentation</t>
  </si>
  <si>
    <t>Holt-Greene</t>
  </si>
  <si>
    <t>1969-04-22</t>
  </si>
  <si>
    <t>2018-08-15</t>
  </si>
  <si>
    <t>Keith Rivera</t>
  </si>
  <si>
    <t>williamgarner@yahoo.com</t>
  </si>
  <si>
    <t>(277)991-0334</t>
  </si>
  <si>
    <t>4754 Brandon Ways Apt. 269, West Davidfurt, ND 73173</t>
  </si>
  <si>
    <t>Williams-Myers</t>
  </si>
  <si>
    <t>1991-01-04</t>
  </si>
  <si>
    <t>2018-06-23</t>
  </si>
  <si>
    <t>Mark Douglas</t>
  </si>
  <si>
    <t>mary96@gmail.com</t>
  </si>
  <si>
    <t>(284)584-4878x89999</t>
  </si>
  <si>
    <t>576 Shaw Flat, Port Markmouth, NJ 14005</t>
  </si>
  <si>
    <t>Aid worker</t>
  </si>
  <si>
    <t>Branch-Maldonado</t>
  </si>
  <si>
    <t>1977-10-30</t>
  </si>
  <si>
    <t>2016-08-09</t>
  </si>
  <si>
    <t>Kevin Bender</t>
  </si>
  <si>
    <t>sballard@gmail.com</t>
  </si>
  <si>
    <t>(967)410-2353x723</t>
  </si>
  <si>
    <t>64055 Howard Wall Suite 893, South Jasonchester, MA 87571</t>
  </si>
  <si>
    <t>Jensen-Carter</t>
  </si>
  <si>
    <t>1976-05-08</t>
  </si>
  <si>
    <t>2018-08-03</t>
  </si>
  <si>
    <t>Nicholas Bruce</t>
  </si>
  <si>
    <t>gutierrezkathryn@rodriguez-buchanan.com</t>
  </si>
  <si>
    <t>001-480-670-7936x1053</t>
  </si>
  <si>
    <t>5433 Maureen Court Suite 490, Eddietown, DE 40349</t>
  </si>
  <si>
    <t>Architect</t>
  </si>
  <si>
    <t>Barry Inc</t>
  </si>
  <si>
    <t>2000-02-22</t>
  </si>
  <si>
    <t>2022-05-30</t>
  </si>
  <si>
    <t>Rhonda Castaneda</t>
  </si>
  <si>
    <t>dianahernandez@hotmail.com</t>
  </si>
  <si>
    <t>(291)870-3107x1357</t>
  </si>
  <si>
    <t>498 Jones Stream, North Erica, OH 80205</t>
  </si>
  <si>
    <t>Rich Ltd</t>
  </si>
  <si>
    <t>1988-06-26</t>
  </si>
  <si>
    <t>Gregory Hanson</t>
  </si>
  <si>
    <t>ubrooks@fisher.com</t>
  </si>
  <si>
    <t>001-782-996-3170x5162</t>
  </si>
  <si>
    <t>017 Patel Shoals, East Douglas, DC 65437</t>
  </si>
  <si>
    <t>Kelly, Garcia and Tyler</t>
  </si>
  <si>
    <t>1989-04-26</t>
  </si>
  <si>
    <t>2020-10-23</t>
  </si>
  <si>
    <t>Michelle Tanner Md</t>
  </si>
  <si>
    <t>uhoover@yahoo.com</t>
  </si>
  <si>
    <t>001-150-903-1922x6752</t>
  </si>
  <si>
    <t>USNS Blackwell, FPO AA 76208</t>
  </si>
  <si>
    <t>Arboriculturist</t>
  </si>
  <si>
    <t>Norton LLC</t>
  </si>
  <si>
    <t>1999-06-18</t>
  </si>
  <si>
    <t>2022-08-26</t>
  </si>
  <si>
    <t>Joel Daniels</t>
  </si>
  <si>
    <t>joy66@hotmail.com</t>
  </si>
  <si>
    <t>(800)797-1716x19209</t>
  </si>
  <si>
    <t>738 Christine Manor Suite 554, Oneillfort, CT 78368</t>
  </si>
  <si>
    <t>Cummings Inc</t>
  </si>
  <si>
    <t>1970-04-14</t>
  </si>
  <si>
    <t>2017-05-08</t>
  </si>
  <si>
    <t>Kenneth Foley</t>
  </si>
  <si>
    <t>stevenwilliams@stein.info</t>
  </si>
  <si>
    <t>(065)716-4918x710</t>
  </si>
  <si>
    <t>7570 Christian Road Apt. 556, Ricefurt, MS 14866</t>
  </si>
  <si>
    <t>2017-05-04</t>
  </si>
  <si>
    <t>Ashley Hoffman</t>
  </si>
  <si>
    <t>evanschristina@hotmail.com</t>
  </si>
  <si>
    <t>756-600-7564</t>
  </si>
  <si>
    <t>50923 Rogers Forges Apt. 366, North Courtneyhaven, SD 65792</t>
  </si>
  <si>
    <t>Anderson-Keith</t>
  </si>
  <si>
    <t>1991-01-13</t>
  </si>
  <si>
    <t>2016-02-07</t>
  </si>
  <si>
    <t>Debra Orr</t>
  </si>
  <si>
    <t>paul40@gmail.com</t>
  </si>
  <si>
    <t>001-137-793-5696x9300</t>
  </si>
  <si>
    <t>821 Myers Falls Suite 466, New Michaelview, MS 08175</t>
  </si>
  <si>
    <t>Hunt-Valdez</t>
  </si>
  <si>
    <t>1966-12-28</t>
  </si>
  <si>
    <t>2023-07-07</t>
  </si>
  <si>
    <t>Lauren Edwards</t>
  </si>
  <si>
    <t>justin18@cummings.com</t>
  </si>
  <si>
    <t>(076)941-4489x36936</t>
  </si>
  <si>
    <t>98400 Walker Loaf, Meganmouth, AK 95877</t>
  </si>
  <si>
    <t>Scientist, clinical (histocompatibility and immunogenetics)</t>
  </si>
  <si>
    <t>Bradley, Clarke and Palmer</t>
  </si>
  <si>
    <t>1960-02-04</t>
  </si>
  <si>
    <t>Amanda Mcclain</t>
  </si>
  <si>
    <t>christopherhatfield@hotmail.com</t>
  </si>
  <si>
    <t>322.146.8895</t>
  </si>
  <si>
    <t>733 Gordon Forge Suite 919, Lake Sandrabury, ME 03185</t>
  </si>
  <si>
    <t>Riley LLC</t>
  </si>
  <si>
    <t>1994-04-20</t>
  </si>
  <si>
    <t>2022-02-10</t>
  </si>
  <si>
    <t>Beth Sparks</t>
  </si>
  <si>
    <t>jason10@lee-flowers.com</t>
  </si>
  <si>
    <t>(389)488-3728x16636</t>
  </si>
  <si>
    <t>4264 Miller Corners Suite 719, South Samanthaview, NH 05587</t>
  </si>
  <si>
    <t>Stewart-Joseph</t>
  </si>
  <si>
    <t>1996-04-23</t>
  </si>
  <si>
    <t>Ashley Poole</t>
  </si>
  <si>
    <t>hsanders@moore.com</t>
  </si>
  <si>
    <t>001-014-651-4273x4889</t>
  </si>
  <si>
    <t>Unit 1147 Box 8898, DPO AP 46026</t>
  </si>
  <si>
    <t>Santiago-Frazier</t>
  </si>
  <si>
    <t>1995-01-30</t>
  </si>
  <si>
    <t>2022-11-21</t>
  </si>
  <si>
    <t>Penny Holmes</t>
  </si>
  <si>
    <t>millschristine@yahoo.com</t>
  </si>
  <si>
    <t>(845)375-7550x8977</t>
  </si>
  <si>
    <t>32794 Gomez Summit Suite 834, East Cindy, AR 22803</t>
  </si>
  <si>
    <t>2019-06-15</t>
  </si>
  <si>
    <t>David Stone</t>
  </si>
  <si>
    <t>maynardhoward@snow.biz</t>
  </si>
  <si>
    <t>+1-019-834-8579x72776</t>
  </si>
  <si>
    <t>6458 Fuller Square Suite 900, Lake Deborah, VA 59118</t>
  </si>
  <si>
    <t>Toxicologist</t>
  </si>
  <si>
    <t>Martinez Group</t>
  </si>
  <si>
    <t>1984-07-13</t>
  </si>
  <si>
    <t>Steve Duffy</t>
  </si>
  <si>
    <t>cynthia63@hotmail.com</t>
  </si>
  <si>
    <t>395.063.0229</t>
  </si>
  <si>
    <t>358 Jasmine Lodge, North Gregoryberg, TN 28182</t>
  </si>
  <si>
    <t>Hurst, Smith and Smith</t>
  </si>
  <si>
    <t>1989-12-26</t>
  </si>
  <si>
    <t>Kathleen Moore</t>
  </si>
  <si>
    <t>bridgetgregory@dalton-young.info</t>
  </si>
  <si>
    <t>(616)625-8951</t>
  </si>
  <si>
    <t>50049 Austin Prairie, North Donald, WV 43680</t>
  </si>
  <si>
    <t>Simpson Inc</t>
  </si>
  <si>
    <t>2000-10-10</t>
  </si>
  <si>
    <t>2019-10-31</t>
  </si>
  <si>
    <t>Lauren Bowers</t>
  </si>
  <si>
    <t>lorettasawyer@jenkins-wang.org</t>
  </si>
  <si>
    <t>001-495-834-4957</t>
  </si>
  <si>
    <t>26989 Hughes Mountains, Wandachester, FL 42548</t>
  </si>
  <si>
    <t>Daniel-Hill</t>
  </si>
  <si>
    <t>Casey Jefferson</t>
  </si>
  <si>
    <t>rrodriguez@mcbride.com</t>
  </si>
  <si>
    <t>+1-298-323-7363x3061</t>
  </si>
  <si>
    <t>17952 Parker Causeway Apt. 716, Port Sarah, MA 00575</t>
  </si>
  <si>
    <t>Patton-Mann</t>
  </si>
  <si>
    <t>1981-11-11</t>
  </si>
  <si>
    <t>Nicholas Barrett</t>
  </si>
  <si>
    <t>cynthiaspence@gmail.com</t>
  </si>
  <si>
    <t>527.115.7482</t>
  </si>
  <si>
    <t>416 Orr Street Suite 097, East Amandamouth, CO 57406</t>
  </si>
  <si>
    <t>1986-02-19</t>
  </si>
  <si>
    <t>2022-04-03</t>
  </si>
  <si>
    <t>Norma Parker</t>
  </si>
  <si>
    <t>starksean@yahoo.com</t>
  </si>
  <si>
    <t>670.891.7773</t>
  </si>
  <si>
    <t>72511 James Isle Apt. 585, East Christine, DC 58495</t>
  </si>
  <si>
    <t>Green-Martinez</t>
  </si>
  <si>
    <t>1975-07-05</t>
  </si>
  <si>
    <t>2021-01-02</t>
  </si>
  <si>
    <t>April Smith</t>
  </si>
  <si>
    <t>patriciamaldonado@yahoo.com</t>
  </si>
  <si>
    <t>645-115-6579x75648</t>
  </si>
  <si>
    <t>709 Wong Run Apt. 108, Glennburgh, IA 57173</t>
  </si>
  <si>
    <t>Edwards-Goodman</t>
  </si>
  <si>
    <t>1976-05-04</t>
  </si>
  <si>
    <t>2024-02-21</t>
  </si>
  <si>
    <t>Michael Sullivan</t>
  </si>
  <si>
    <t>lopezroger@hotmail.com</t>
  </si>
  <si>
    <t>000-911-5003</t>
  </si>
  <si>
    <t>784 Ibarra Skyway, Port Alexanderview, MN 14722</t>
  </si>
  <si>
    <t>Lowe LLC</t>
  </si>
  <si>
    <t>2006-05-20</t>
  </si>
  <si>
    <t>2024-10-25</t>
  </si>
  <si>
    <t>Molly Velasquez</t>
  </si>
  <si>
    <t>ybest@jones.com</t>
  </si>
  <si>
    <t>394-354-8605</t>
  </si>
  <si>
    <t>708 Christopher Forge Apt. 123, Nicholsfort, SC 24422</t>
  </si>
  <si>
    <t>Christensen, Griffin and Kemp</t>
  </si>
  <si>
    <t>1963-03-27</t>
  </si>
  <si>
    <t>2021-02-12</t>
  </si>
  <si>
    <t>Sean Ortega</t>
  </si>
  <si>
    <t>joshuamurray@carroll.com</t>
  </si>
  <si>
    <t>542-804-2559x1435</t>
  </si>
  <si>
    <t>8695 Morse Forks Suite 095, Georgebury, DE 48064</t>
  </si>
  <si>
    <t>Brewer, Nicholson and Ellis</t>
  </si>
  <si>
    <t>1979-09-23</t>
  </si>
  <si>
    <t>Christine Newman</t>
  </si>
  <si>
    <t>turnermolly@ellison.com</t>
  </si>
  <si>
    <t>001-826-558-5716</t>
  </si>
  <si>
    <t>79364 Jones Summit, North Robert, LA 29082</t>
  </si>
  <si>
    <t>Burns, Fry and Rowe</t>
  </si>
  <si>
    <t>1971-11-23</t>
  </si>
  <si>
    <t>2016-12-03</t>
  </si>
  <si>
    <t>Patricia Duncan</t>
  </si>
  <si>
    <t>cwilson@williams.com</t>
  </si>
  <si>
    <t>832-326-5619</t>
  </si>
  <si>
    <t>973 Perez Port, Dawnhaven, FL 50984</t>
  </si>
  <si>
    <t>Hayes-Lopez</t>
  </si>
  <si>
    <t>1996-04-15</t>
  </si>
  <si>
    <t>2021-09-14</t>
  </si>
  <si>
    <t>Kaitlyn Mcdaniel</t>
  </si>
  <si>
    <t>gallowaykarla@hotmail.com</t>
  </si>
  <si>
    <t>097.639.1929x38139</t>
  </si>
  <si>
    <t>541 Abbott Trail, East Paulborough, VA 53420</t>
  </si>
  <si>
    <t>Schwartz, Padilla and Ellis</t>
  </si>
  <si>
    <t>1995-04-03</t>
  </si>
  <si>
    <t>David Morris</t>
  </si>
  <si>
    <t>johnsonjohn@graham.org</t>
  </si>
  <si>
    <t>(541)877-6539x921</t>
  </si>
  <si>
    <t>3822 Angela Ports, Port Nicoleborough, ND 58883</t>
  </si>
  <si>
    <t>Johns-Turner</t>
  </si>
  <si>
    <t>1987-06-13</t>
  </si>
  <si>
    <t>2023-05-02</t>
  </si>
  <si>
    <t>Joseph Baker</t>
  </si>
  <si>
    <t>candacerichardson@reynolds.com</t>
  </si>
  <si>
    <t>666-879-2357</t>
  </si>
  <si>
    <t>95786 Jones Road Suite 665, North Melissa, NH 89884</t>
  </si>
  <si>
    <t>Figueroa, Mendoza and Sherman</t>
  </si>
  <si>
    <t>1984-11-13</t>
  </si>
  <si>
    <t>2018-01-11</t>
  </si>
  <si>
    <t>William Davis</t>
  </si>
  <si>
    <t>crystalfrank@garcia-key.com</t>
  </si>
  <si>
    <t>(232)979-4507x1910</t>
  </si>
  <si>
    <t>568 Martin Streets Apt. 120, Gardnerstad, IA 19121</t>
  </si>
  <si>
    <t>Wright, Welch and Dillon</t>
  </si>
  <si>
    <t>1967-04-25</t>
  </si>
  <si>
    <t>Sandra Cole</t>
  </si>
  <si>
    <t>zduke@gmail.com</t>
  </si>
  <si>
    <t>746-110-1555x7553</t>
  </si>
  <si>
    <t>45126 Shepherd Drives Suite 622, Deannafurt, ND 04517</t>
  </si>
  <si>
    <t>Newman Inc</t>
  </si>
  <si>
    <t>1977-03-30</t>
  </si>
  <si>
    <t>Renee Williams</t>
  </si>
  <si>
    <t>larry41@gmail.com</t>
  </si>
  <si>
    <t>2388691588</t>
  </si>
  <si>
    <t>401 Hunter Neck Apt. 815, Wagnerview, RI 89120</t>
  </si>
  <si>
    <t>Sexton PLC</t>
  </si>
  <si>
    <t>1975-03-01</t>
  </si>
  <si>
    <t>2023-12-29</t>
  </si>
  <si>
    <t>Brittany Floyd</t>
  </si>
  <si>
    <t>tburns@yahoo.com</t>
  </si>
  <si>
    <t>656.281.0417</t>
  </si>
  <si>
    <t>03600 Jefferson Stravenue Suite 115, South Steven, VT 55931</t>
  </si>
  <si>
    <t>Michael Ltd</t>
  </si>
  <si>
    <t>1986-04-20</t>
  </si>
  <si>
    <t>David Lewis</t>
  </si>
  <si>
    <t>smithregina@hartman.biz</t>
  </si>
  <si>
    <t>(925)611-3169</t>
  </si>
  <si>
    <t>52276 Phillips Point Suite 445, North Danielside, MI 82250</t>
  </si>
  <si>
    <t>Schaefer, Ramirez and Gray</t>
  </si>
  <si>
    <t>1986-12-20</t>
  </si>
  <si>
    <t>2024-07-05</t>
  </si>
  <si>
    <t>Cheryl Robbins</t>
  </si>
  <si>
    <t>qmartinez@yahoo.com</t>
  </si>
  <si>
    <t>+1-555-972-9777</t>
  </si>
  <si>
    <t>3300 Tyler Overpass, New Craig, GA 76987</t>
  </si>
  <si>
    <t>Barker, Ward and Hill</t>
  </si>
  <si>
    <t>1998-07-31</t>
  </si>
  <si>
    <t>2018-05-29</t>
  </si>
  <si>
    <t>Kristy Rodriguez</t>
  </si>
  <si>
    <t>hansonjose@parsons.com</t>
  </si>
  <si>
    <t>(210)178-9512</t>
  </si>
  <si>
    <t>3079 Troy Drive Apt. 565, New Carmenside, DE 99773</t>
  </si>
  <si>
    <t>Lozano and Sons</t>
  </si>
  <si>
    <t>2004-05-09</t>
  </si>
  <si>
    <t>Matthew Lambert</t>
  </si>
  <si>
    <t>katherinerandolph@gmail.com</t>
  </si>
  <si>
    <t>+1-326-545-4493x718</t>
  </si>
  <si>
    <t>0646 Gregory Dale Suite 524, Snyderbury, WV 85759</t>
  </si>
  <si>
    <t>Garcia-Smith</t>
  </si>
  <si>
    <t>2003-06-19</t>
  </si>
  <si>
    <t>2017-07-04</t>
  </si>
  <si>
    <t>Mr. Patrick Palmer</t>
  </si>
  <si>
    <t>zacharyramsey@yahoo.com</t>
  </si>
  <si>
    <t>195.264.5818</t>
  </si>
  <si>
    <t>USNV French, FPO AA 33846</t>
  </si>
  <si>
    <t>Flowers LLC</t>
  </si>
  <si>
    <t>1998-06-13</t>
  </si>
  <si>
    <t>2024-06-28</t>
  </si>
  <si>
    <t>Joshua Martin</t>
  </si>
  <si>
    <t>mackjohn@silva.biz</t>
  </si>
  <si>
    <t>001-756-935-0451</t>
  </si>
  <si>
    <t>147 Elizabeth Path, Jacobmouth, WV 33838</t>
  </si>
  <si>
    <t>Thompson, Davis and Sherman</t>
  </si>
  <si>
    <t>1962-05-06</t>
  </si>
  <si>
    <t>2019-03-13</t>
  </si>
  <si>
    <t>Carolyn Newton</t>
  </si>
  <si>
    <t>kgraham@dixon-brennan.info</t>
  </si>
  <si>
    <t>001-334-341-2206</t>
  </si>
  <si>
    <t>026 Powell Springs Suite 108, Andersonmouth, WA 57855</t>
  </si>
  <si>
    <t>Barrera, Mccall and Campbell</t>
  </si>
  <si>
    <t>1960-03-02</t>
  </si>
  <si>
    <t>2016-08-12</t>
  </si>
  <si>
    <t>Lori Kennedy</t>
  </si>
  <si>
    <t>christopherblack@yahoo.com</t>
  </si>
  <si>
    <t>+1-134-221-9837x535</t>
  </si>
  <si>
    <t>0371 Monroe Fork Suite 925, Jeremyville, NH 96994</t>
  </si>
  <si>
    <t>Fisher and Sons</t>
  </si>
  <si>
    <t>1988-11-09</t>
  </si>
  <si>
    <t>2016-02-15</t>
  </si>
  <si>
    <t>Kelly Contreras</t>
  </si>
  <si>
    <t>qthomas@yahoo.com</t>
  </si>
  <si>
    <t>774-187-0965</t>
  </si>
  <si>
    <t>7707 King Squares, East Eugene, AZ 65660</t>
  </si>
  <si>
    <t>Editor, film/video</t>
  </si>
  <si>
    <t>Thompson-Mercado</t>
  </si>
  <si>
    <t>1971-08-21</t>
  </si>
  <si>
    <t>2024-05-25</t>
  </si>
  <si>
    <t>Timothy Black</t>
  </si>
  <si>
    <t>terri92@gmail.com</t>
  </si>
  <si>
    <t>+1-734-739-3268</t>
  </si>
  <si>
    <t>88354 Jessica Crest Apt. 706, Kathleenbury, NM 31687</t>
  </si>
  <si>
    <t>Snyder-Walsh</t>
  </si>
  <si>
    <t>1963-08-04</t>
  </si>
  <si>
    <t>2017-07-03</t>
  </si>
  <si>
    <t>Chelsea Tanner</t>
  </si>
  <si>
    <t>fnguyen@booth-johnson.biz</t>
  </si>
  <si>
    <t>(259)481-9737x11457</t>
  </si>
  <si>
    <t>25124 Williams Radial, West Christineburgh, CO 99573</t>
  </si>
  <si>
    <t>Riley, Hughes and White</t>
  </si>
  <si>
    <t>1974-10-21</t>
  </si>
  <si>
    <t>Robert Green</t>
  </si>
  <si>
    <t>fmcdaniel@miller-lane.com</t>
  </si>
  <si>
    <t>(277)614-6473</t>
  </si>
  <si>
    <t>741 Eric Run, North Nathan, NV 33095</t>
  </si>
  <si>
    <t>Cruz, Jones and Duke</t>
  </si>
  <si>
    <t>2006-08-17</t>
  </si>
  <si>
    <t>2021-04-20</t>
  </si>
  <si>
    <t>Tracy Olson</t>
  </si>
  <si>
    <t>kyle07@gmail.com</t>
  </si>
  <si>
    <t>587.695.0802</t>
  </si>
  <si>
    <t>0493 Gary Flats Apt. 660, Mendozafort, NM 16180</t>
  </si>
  <si>
    <t>Wright, Miller and Anderson</t>
  </si>
  <si>
    <t>1970-08-10</t>
  </si>
  <si>
    <t>2015-10-22</t>
  </si>
  <si>
    <t>Richard Young Ii</t>
  </si>
  <si>
    <t>lauriewashington@gmail.com</t>
  </si>
  <si>
    <t>0415949491</t>
  </si>
  <si>
    <t>72284 Woods Plain Apt. 822, Mooreville, SD 81925</t>
  </si>
  <si>
    <t>Senior tax professional/tax inspector</t>
  </si>
  <si>
    <t>Thornton Ltd</t>
  </si>
  <si>
    <t>1983-09-06</t>
  </si>
  <si>
    <t>2024-03-16</t>
  </si>
  <si>
    <t>Erica Cook</t>
  </si>
  <si>
    <t>laurenstanley@hotmail.com</t>
  </si>
  <si>
    <t>+1-492-398-9474x062</t>
  </si>
  <si>
    <t>3631 Robert Trafficway, East Williamport, ND 90545</t>
  </si>
  <si>
    <t>Rios-Smith</t>
  </si>
  <si>
    <t>1991-08-25</t>
  </si>
  <si>
    <t>Thomas Anderson</t>
  </si>
  <si>
    <t>tbaker@gmail.com</t>
  </si>
  <si>
    <t>152.657.3168</t>
  </si>
  <si>
    <t>3240 Perez Lakes, Hudsonchester, PA 29378</t>
  </si>
  <si>
    <t>Hall LLC</t>
  </si>
  <si>
    <t>1968-09-29</t>
  </si>
  <si>
    <t>2016-10-12</t>
  </si>
  <si>
    <t>Amanda Anderson</t>
  </si>
  <si>
    <t>angelafernandez@hotmail.com</t>
  </si>
  <si>
    <t>(923)108-0049</t>
  </si>
  <si>
    <t>406 Davis Haven, Port Williamside, MD 78336</t>
  </si>
  <si>
    <t>Keller-Blackburn</t>
  </si>
  <si>
    <t>1986-05-30</t>
  </si>
  <si>
    <t>2024-08-14</t>
  </si>
  <si>
    <t>Michele Jones</t>
  </si>
  <si>
    <t>ywilliams@wright.net</t>
  </si>
  <si>
    <t>+1-947-721-1217x3973</t>
  </si>
  <si>
    <t>105 James Divide Apt. 769, East Jasmine, NY 13110</t>
  </si>
  <si>
    <t>Roy, Cooper and Griffin</t>
  </si>
  <si>
    <t>1993-04-11</t>
  </si>
  <si>
    <t>Theresa Edwards</t>
  </si>
  <si>
    <t>amunoz@dunlap.info</t>
  </si>
  <si>
    <t>(787)981-6040x97096</t>
  </si>
  <si>
    <t>68319 Kayla Turnpike Suite 510, Jennifermouth, WA 48040</t>
  </si>
  <si>
    <t>2006-07-17</t>
  </si>
  <si>
    <t>2020-05-26</t>
  </si>
  <si>
    <t>Jamie Washington</t>
  </si>
  <si>
    <t>benjamin64@alexander.com</t>
  </si>
  <si>
    <t>(727)145-2807</t>
  </si>
  <si>
    <t>74067 Parker Cliff, Andrewmouth, SC 72043</t>
  </si>
  <si>
    <t>Cabrera-Taylor</t>
  </si>
  <si>
    <t>2023-02-09</t>
  </si>
  <si>
    <t>Melissa Peterson</t>
  </si>
  <si>
    <t>mckenziehayes@gmail.com</t>
  </si>
  <si>
    <t>218.731.5452x777</t>
  </si>
  <si>
    <t>74171 Jonathan Well Apt. 583, East Mary, DC 05099</t>
  </si>
  <si>
    <t>King, Wang and Vaughan</t>
  </si>
  <si>
    <t>1981-09-06</t>
  </si>
  <si>
    <t>2020-09-29</t>
  </si>
  <si>
    <t>Mario Dixon</t>
  </si>
  <si>
    <t>paul79@collins-boyd.com</t>
  </si>
  <si>
    <t>287.708.7703</t>
  </si>
  <si>
    <t>4605 Charles Ranch Suite 350, West Scott, MT 49376</t>
  </si>
  <si>
    <t>Dyer PLC</t>
  </si>
  <si>
    <t>1978-08-15</t>
  </si>
  <si>
    <t>2022-05-28</t>
  </si>
  <si>
    <t>Briana Scott</t>
  </si>
  <si>
    <t>bakerrichard@gmail.com</t>
  </si>
  <si>
    <t>(816)439-8355x767</t>
  </si>
  <si>
    <t>96118 Helen Streets Suite 190, Port Amandaview, OK 64834</t>
  </si>
  <si>
    <t>1985-07-09</t>
  </si>
  <si>
    <t>2020-11-01</t>
  </si>
  <si>
    <t>Amy Klein</t>
  </si>
  <si>
    <t>lawrencejanice@hotmail.com</t>
  </si>
  <si>
    <t>(587)425-5504x157</t>
  </si>
  <si>
    <t>USNV Campbell, FPO AP 31989</t>
  </si>
  <si>
    <t>Dance movement psychotherapist</t>
  </si>
  <si>
    <t>Aguilar Group</t>
  </si>
  <si>
    <t>2005-02-19</t>
  </si>
  <si>
    <t>Connie Flores</t>
  </si>
  <si>
    <t>jasonelliott@buchanan-king.com</t>
  </si>
  <si>
    <t>270-534-3486x1955</t>
  </si>
  <si>
    <t>56463 Nelson Prairie Apt. 573, North Lynnside, AZ 71248</t>
  </si>
  <si>
    <t>Arnold-Morales</t>
  </si>
  <si>
    <t>2005-07-10</t>
  </si>
  <si>
    <t>2017-06-02</t>
  </si>
  <si>
    <t>Jeffrey Mitchell</t>
  </si>
  <si>
    <t>bradley16@hotmail.com</t>
  </si>
  <si>
    <t>524.780.8593x452</t>
  </si>
  <si>
    <t>94785 Wade Branch, Jonathanmouth, WY 02225</t>
  </si>
  <si>
    <t>Wilson-Washington</t>
  </si>
  <si>
    <t>Matthew Ford</t>
  </si>
  <si>
    <t>lisafitzpatrick@gmail.com</t>
  </si>
  <si>
    <t>8752955585</t>
  </si>
  <si>
    <t>19721 Snyder Shores, East Megan, WI 52153</t>
  </si>
  <si>
    <t>Gould, Kline and Reese</t>
  </si>
  <si>
    <t>2000-10-25</t>
  </si>
  <si>
    <t>2023-07-29</t>
  </si>
  <si>
    <t>Kimberly Black</t>
  </si>
  <si>
    <t>coxderek@krause.com</t>
  </si>
  <si>
    <t>1216039078</t>
  </si>
  <si>
    <t>56897 Howard Loaf Apt. 489, Victormouth, MO 97074</t>
  </si>
  <si>
    <t>Castro-Peterson</t>
  </si>
  <si>
    <t>1982-01-10</t>
  </si>
  <si>
    <t>2015-12-19</t>
  </si>
  <si>
    <t>Daniel Scott</t>
  </si>
  <si>
    <t>jwalker@yahoo.com</t>
  </si>
  <si>
    <t>001-676-689-5258x0617</t>
  </si>
  <si>
    <t>20910 Sanchez Divide Suite 913, North James, AR 56008</t>
  </si>
  <si>
    <t>1960-07-31</t>
  </si>
  <si>
    <t>2022-11-09</t>
  </si>
  <si>
    <t>romerocharles@walker.com</t>
  </si>
  <si>
    <t>001-499-401-8192x03054</t>
  </si>
  <si>
    <t>652 Brian Square Apt. 468, North Matthewfurt, CO 18900</t>
  </si>
  <si>
    <t>Page Ltd</t>
  </si>
  <si>
    <t>1998-01-07</t>
  </si>
  <si>
    <t>2017-12-02</t>
  </si>
  <si>
    <t>Teresa Short</t>
  </si>
  <si>
    <t>barnesshannon@taylor-bates.net</t>
  </si>
  <si>
    <t>(005)229-2571</t>
  </si>
  <si>
    <t>023 James Junction, Dorseyfort, LA 00508</t>
  </si>
  <si>
    <t>Hudson, Thompson and Chambers</t>
  </si>
  <si>
    <t>1973-04-05</t>
  </si>
  <si>
    <t>2022-08-16</t>
  </si>
  <si>
    <t>Jennifer Scott Dds</t>
  </si>
  <si>
    <t>fisherrebecca@moore-mendoza.com</t>
  </si>
  <si>
    <t>8175521020</t>
  </si>
  <si>
    <t>7881 Sandy Union, North Theresa, IL 44603</t>
  </si>
  <si>
    <t>Special effects artist</t>
  </si>
  <si>
    <t>Foster, Shelton and Smith</t>
  </si>
  <si>
    <t>2003-12-10</t>
  </si>
  <si>
    <t>2023-05-22</t>
  </si>
  <si>
    <t>Sean Cantu</t>
  </si>
  <si>
    <t>elizabethsnyder@cooper.com</t>
  </si>
  <si>
    <t>(754)495-4196x7220</t>
  </si>
  <si>
    <t>0133 Monica Rapids Apt. 500, Haletown, LA 84300</t>
  </si>
  <si>
    <t>Smith-Dodson</t>
  </si>
  <si>
    <t>1979-04-05</t>
  </si>
  <si>
    <t>2018-12-10</t>
  </si>
  <si>
    <t>Reginald Green</t>
  </si>
  <si>
    <t>ajohnson@yahoo.com</t>
  </si>
  <si>
    <t>001-985-843-5799</t>
  </si>
  <si>
    <t>23800 Russo Harbor Suite 726, Jonesside, AK 51071</t>
  </si>
  <si>
    <t>Stone-Hicks</t>
  </si>
  <si>
    <t>1976-08-08</t>
  </si>
  <si>
    <t>Catherine Baker</t>
  </si>
  <si>
    <t>phyllishicks@gmail.com</t>
  </si>
  <si>
    <t>0985909431</t>
  </si>
  <si>
    <t>14392 Bryant Motorway Suite 514, Port Christopher, WI 49157</t>
  </si>
  <si>
    <t>Marquez, Fitzpatrick and Rogers</t>
  </si>
  <si>
    <t>2000-05-01</t>
  </si>
  <si>
    <t>2024-08-12</t>
  </si>
  <si>
    <t>Robin Williams</t>
  </si>
  <si>
    <t>thomasschmitt@howard-kelley.com</t>
  </si>
  <si>
    <t>138-673-1820</t>
  </si>
  <si>
    <t>41704 Hart Neck, South Scott, DE 87436</t>
  </si>
  <si>
    <t>Mccarty-Alvarez</t>
  </si>
  <si>
    <t>1991-01-10</t>
  </si>
  <si>
    <t>Teresa Ewing</t>
  </si>
  <si>
    <t>erikjones@evans.info</t>
  </si>
  <si>
    <t>0846394460</t>
  </si>
  <si>
    <t>9119 Gina Spurs, Evanstad, NE 20568</t>
  </si>
  <si>
    <t>Vasquez, Johnson and Bailey</t>
  </si>
  <si>
    <t>1970-11-28</t>
  </si>
  <si>
    <t>2016-06-21</t>
  </si>
  <si>
    <t>Hannah Foster</t>
  </si>
  <si>
    <t>zhamilton@yahoo.com</t>
  </si>
  <si>
    <t>+1-050-514-0053x016</t>
  </si>
  <si>
    <t>9061 Tyler Rapids, Lopezfort, IA 22514</t>
  </si>
  <si>
    <t>Wolf, Cervantes and Anderson</t>
  </si>
  <si>
    <t>1975-09-04</t>
  </si>
  <si>
    <t>2025-02-25</t>
  </si>
  <si>
    <t>David Roberts</t>
  </si>
  <si>
    <t>carlahall@hotmail.com</t>
  </si>
  <si>
    <t>(155)496-2117x27031</t>
  </si>
  <si>
    <t>0784 Joshua Drive Apt. 745, East Bryanburgh, ND 23291</t>
  </si>
  <si>
    <t>Johns-Fox</t>
  </si>
  <si>
    <t>1992-05-06</t>
  </si>
  <si>
    <t>2021-10-16</t>
  </si>
  <si>
    <t>Melanie Rogers</t>
  </si>
  <si>
    <t>millerjennifer@payne-frey.com</t>
  </si>
  <si>
    <t>995.984.8691</t>
  </si>
  <si>
    <t>671 Beck Street, Lake Catherineburgh, NM 84699</t>
  </si>
  <si>
    <t>Hendrix-West</t>
  </si>
  <si>
    <t>1960-05-11</t>
  </si>
  <si>
    <t>Michael Watts</t>
  </si>
  <si>
    <t>daniel48@gmail.com</t>
  </si>
  <si>
    <t>879-310-1559x2288</t>
  </si>
  <si>
    <t>6315 Douglas Prairie, Tonymouth, AL 46132</t>
  </si>
  <si>
    <t>Stewart, Ortiz and Acosta</t>
  </si>
  <si>
    <t>1962-07-24</t>
  </si>
  <si>
    <t>2023-03-13</t>
  </si>
  <si>
    <t>John Wheeler</t>
  </si>
  <si>
    <t>rodriguezheather@hotmail.com</t>
  </si>
  <si>
    <t>499-706-1338x931</t>
  </si>
  <si>
    <t>Unit 8286 Box 0491, DPO AE 55235</t>
  </si>
  <si>
    <t>Hurley Inc</t>
  </si>
  <si>
    <t>1998-04-27</t>
  </si>
  <si>
    <t>2024-06-14</t>
  </si>
  <si>
    <t>Leslie Cooper</t>
  </si>
  <si>
    <t>jason74@silva.com</t>
  </si>
  <si>
    <t>(988)701-1174</t>
  </si>
  <si>
    <t>1639 Danielle Coves Suite 359, Port Kevin, RI 97456</t>
  </si>
  <si>
    <t>Financial planner</t>
  </si>
  <si>
    <t>Morrow, Macias and Wilkerson</t>
  </si>
  <si>
    <t>2002-11-22</t>
  </si>
  <si>
    <t>2018-08-11</t>
  </si>
  <si>
    <t>Michael Freeman</t>
  </si>
  <si>
    <t>catherinecarter@larson.org</t>
  </si>
  <si>
    <t>081-784-5525x1039</t>
  </si>
  <si>
    <t>18896 Nicole Way Apt. 163, Stoneburgh, UT 06317</t>
  </si>
  <si>
    <t>Mitchell-Conrad</t>
  </si>
  <si>
    <t>1983-11-29</t>
  </si>
  <si>
    <t>2021-04-02</t>
  </si>
  <si>
    <t>Jessica Griffin Md</t>
  </si>
  <si>
    <t>smithrobert@johnson.com</t>
  </si>
  <si>
    <t>465.815.1446x4881</t>
  </si>
  <si>
    <t>031 Jessica Burg, Torresberg, LA 65369</t>
  </si>
  <si>
    <t>Morgan, Khan and Becker</t>
  </si>
  <si>
    <t>1981-10-19</t>
  </si>
  <si>
    <t>Nicole Martinez</t>
  </si>
  <si>
    <t>dixonjennifer@hart-roberts.org</t>
  </si>
  <si>
    <t>166-151-0751</t>
  </si>
  <si>
    <t>7445 Bryant Lights Apt. 302, Millerside, IA 56147</t>
  </si>
  <si>
    <t>Lee-Wilson</t>
  </si>
  <si>
    <t>1985-06-15</t>
  </si>
  <si>
    <t>Cindy Price</t>
  </si>
  <si>
    <t>angela56@lane-taylor.com</t>
  </si>
  <si>
    <t>+1-905-579-4553x1723</t>
  </si>
  <si>
    <t>50435 Fitzgerald Lock, Diazmouth, WA 63447</t>
  </si>
  <si>
    <t>Nelson, Simpson and Young</t>
  </si>
  <si>
    <t>1984-10-12</t>
  </si>
  <si>
    <t>2022-10-18</t>
  </si>
  <si>
    <t>Tom Monroe</t>
  </si>
  <si>
    <t>amanda56@price.com</t>
  </si>
  <si>
    <t>055.125.6675x186</t>
  </si>
  <si>
    <t>281 Contreras Drives Suite 278, New Jesseview, NM 68147</t>
  </si>
  <si>
    <t>Klein, Hale and Acosta</t>
  </si>
  <si>
    <t>1996-05-24</t>
  </si>
  <si>
    <t>2024-05-11</t>
  </si>
  <si>
    <t>Bailey Stephens</t>
  </si>
  <si>
    <t>patriciasmith@hotmail.com</t>
  </si>
  <si>
    <t>767-528-5111</t>
  </si>
  <si>
    <t>03591 Landry Cliffs Apt. 836, North John, FL 51809</t>
  </si>
  <si>
    <t>Physiological scientist</t>
  </si>
  <si>
    <t>Dunn, Montoya and Lamb</t>
  </si>
  <si>
    <t>2000-07-03</t>
  </si>
  <si>
    <t>2021-10-10</t>
  </si>
  <si>
    <t>Janice Salazar</t>
  </si>
  <si>
    <t>brian21@holland.com</t>
  </si>
  <si>
    <t>001-392-288-5574x119</t>
  </si>
  <si>
    <t>3390 Kathryn Rapid, Williamchester, NC 21745</t>
  </si>
  <si>
    <t>Dickson and Sons</t>
  </si>
  <si>
    <t>1996-09-08</t>
  </si>
  <si>
    <t>2020-10-07</t>
  </si>
  <si>
    <t>Steven Gray</t>
  </si>
  <si>
    <t>blake38@hotmail.com</t>
  </si>
  <si>
    <t>+1-030-364-0080x444</t>
  </si>
  <si>
    <t>6004 Perez Well Apt. 687, East Tiffany, MN 56666</t>
  </si>
  <si>
    <t>Martinez, Rivera and Newton</t>
  </si>
  <si>
    <t>1982-12-17</t>
  </si>
  <si>
    <t>2023-11-30</t>
  </si>
  <si>
    <t>Jared Oconnell</t>
  </si>
  <si>
    <t>michael12@yahoo.com</t>
  </si>
  <si>
    <t>8974712383</t>
  </si>
  <si>
    <t>95487 Patricia Vista Apt. 573, East Elizabethfurt, DE 17934</t>
  </si>
  <si>
    <t>Insurance claims handler</t>
  </si>
  <si>
    <t>Long, Neal and Davies</t>
  </si>
  <si>
    <t>1962-10-19</t>
  </si>
  <si>
    <t>2017-09-14</t>
  </si>
  <si>
    <t>Luis Lewis</t>
  </si>
  <si>
    <t>elizabeth39@yahoo.com</t>
  </si>
  <si>
    <t>0733211040</t>
  </si>
  <si>
    <t>294 Laura Crossroad, Nicholebury, IA 64312</t>
  </si>
  <si>
    <t>Education administrator</t>
  </si>
  <si>
    <t>Steele LLC</t>
  </si>
  <si>
    <t>1978-06-19</t>
  </si>
  <si>
    <t>Zachary Knight</t>
  </si>
  <si>
    <t>emiller@pineda.com</t>
  </si>
  <si>
    <t>001-113-030-9571x25871</t>
  </si>
  <si>
    <t>766 Yu Throughway Suite 025, North Michaelfurt, WA 92968</t>
  </si>
  <si>
    <t>Jones, Pham and Soto</t>
  </si>
  <si>
    <t>1979-07-02</t>
  </si>
  <si>
    <t>2017-07-23</t>
  </si>
  <si>
    <t>David Harris</t>
  </si>
  <si>
    <t>kimolsen@hotmail.com</t>
  </si>
  <si>
    <t>136-292-3463x106</t>
  </si>
  <si>
    <t>22809 Thompson Shore Suite 729, South Tina, FL 27500</t>
  </si>
  <si>
    <t>Robertson, Houston and Cole</t>
  </si>
  <si>
    <t>1960-08-27</t>
  </si>
  <si>
    <t>James Flowers</t>
  </si>
  <si>
    <t>michael83@larsen.com</t>
  </si>
  <si>
    <t>(657)961-0761</t>
  </si>
  <si>
    <t>6115 Perez View Suite 617, South Michaelberg, AL 22642</t>
  </si>
  <si>
    <t>Graham, Palmer and Shaw</t>
  </si>
  <si>
    <t>1990-05-03</t>
  </si>
  <si>
    <t>2023-07-31</t>
  </si>
  <si>
    <t>Timothy Rocha</t>
  </si>
  <si>
    <t>erik45@yahoo.com</t>
  </si>
  <si>
    <t>(394)459-7237</t>
  </si>
  <si>
    <t>217 David Mission, Rickeystad, NE 79363</t>
  </si>
  <si>
    <t>Garment/textile technologist</t>
  </si>
  <si>
    <t>West-Williams</t>
  </si>
  <si>
    <t>1999-02-07</t>
  </si>
  <si>
    <t>2019-12-09</t>
  </si>
  <si>
    <t>Suzanne Greene</t>
  </si>
  <si>
    <t>simmonsadam@roth.org</t>
  </si>
  <si>
    <t>183.742.6145x379</t>
  </si>
  <si>
    <t>43215 Jacobson Ways, Hendersonmouth, NH 01144</t>
  </si>
  <si>
    <t>Santiago-Roach</t>
  </si>
  <si>
    <t>1968-12-15</t>
  </si>
  <si>
    <t>2019-11-27</t>
  </si>
  <si>
    <t>Martha Soto</t>
  </si>
  <si>
    <t>qglenn@velazquez-medina.net</t>
  </si>
  <si>
    <t>(652)779-9593x74786</t>
  </si>
  <si>
    <t>223 Delgado Corners, New Micheleborough, PA 08156</t>
  </si>
  <si>
    <t>Macias-Myers</t>
  </si>
  <si>
    <t>1998-02-02</t>
  </si>
  <si>
    <t>2018-12-20</t>
  </si>
  <si>
    <t>Rick Fernandez</t>
  </si>
  <si>
    <t>mpeterson@hotmail.com</t>
  </si>
  <si>
    <t>001-853-662-9847</t>
  </si>
  <si>
    <t>06535 Beck Wells Suite 981, Adamport, MN 58553</t>
  </si>
  <si>
    <t>Carpenter-Cummings</t>
  </si>
  <si>
    <t>1968-03-19</t>
  </si>
  <si>
    <t>2022-11-22</t>
  </si>
  <si>
    <t>Jessica Wilson</t>
  </si>
  <si>
    <t>alexandriabailey@yahoo.com</t>
  </si>
  <si>
    <t>+1-189-824-4383x97652</t>
  </si>
  <si>
    <t>66436 Travis Courts, Jacksonburgh, AL 84374</t>
  </si>
  <si>
    <t>Therapist, nutritional</t>
  </si>
  <si>
    <t>Davis-Williams</t>
  </si>
  <si>
    <t>1971-05-24</t>
  </si>
  <si>
    <t>Michael Patterson</t>
  </si>
  <si>
    <t>lauramayer@gmail.com</t>
  </si>
  <si>
    <t>041-998-1852x5763</t>
  </si>
  <si>
    <t>460 Short Groves, Hodgestown, SD 93576</t>
  </si>
  <si>
    <t>Company secretary</t>
  </si>
  <si>
    <t>Lawson Group</t>
  </si>
  <si>
    <t>2003-03-28</t>
  </si>
  <si>
    <t>2016-06-23</t>
  </si>
  <si>
    <t>Brian Riley</t>
  </si>
  <si>
    <t>robertharris@hotmail.com</t>
  </si>
  <si>
    <t>+1-250-782-8417x161</t>
  </si>
  <si>
    <t>600 Katherine Vista Suite 231, West Jenna, HI 18009</t>
  </si>
  <si>
    <t>Morton, Johnson and Preston</t>
  </si>
  <si>
    <t>1965-12-09</t>
  </si>
  <si>
    <t>2018-10-10</t>
  </si>
  <si>
    <t>Jordan Henderson</t>
  </si>
  <si>
    <t>vnelson@thompson-ramirez.com</t>
  </si>
  <si>
    <t>001-107-238-0703x44791</t>
  </si>
  <si>
    <t>126 Wendy Islands Apt. 350, Danielchester, ND 09127</t>
  </si>
  <si>
    <t>Howard-Hale</t>
  </si>
  <si>
    <t>2006-11-20</t>
  </si>
  <si>
    <t>Brandon White</t>
  </si>
  <si>
    <t>glennchang@avila.com</t>
  </si>
  <si>
    <t>2239685779</t>
  </si>
  <si>
    <t>829 Michael Turnpike Suite 021, Lake Johnborough, AR 99318</t>
  </si>
  <si>
    <t>Smith-Clayton</t>
  </si>
  <si>
    <t>1968-05-13</t>
  </si>
  <si>
    <t>2018-01-23</t>
  </si>
  <si>
    <t>Kelsey Gonzales</t>
  </si>
  <si>
    <t>hernandezpatricia@gmail.com</t>
  </si>
  <si>
    <t>632.729.0062</t>
  </si>
  <si>
    <t>2889 Watson View, West Stephen, FL 02410</t>
  </si>
  <si>
    <t>Forensic psychologist</t>
  </si>
  <si>
    <t>Alexander-Mason</t>
  </si>
  <si>
    <t>1988-08-19</t>
  </si>
  <si>
    <t>2018-03-04</t>
  </si>
  <si>
    <t>Steve Gardner</t>
  </si>
  <si>
    <t>bakerpamela@cole.org</t>
  </si>
  <si>
    <t>357-363-9406</t>
  </si>
  <si>
    <t>31336 Lindsey Village Suite 946, East Billy, DE 61000</t>
  </si>
  <si>
    <t>Retail merchandiser</t>
  </si>
  <si>
    <t>Gillespie LLC</t>
  </si>
  <si>
    <t>1977-07-21</t>
  </si>
  <si>
    <t>2022-01-26</t>
  </si>
  <si>
    <t>Brandy Duncan</t>
  </si>
  <si>
    <t>reyesbrian@mcgee.com</t>
  </si>
  <si>
    <t>667.039.1066</t>
  </si>
  <si>
    <t>775 Banks Estate, Kaylaside, LA 19584</t>
  </si>
  <si>
    <t>Williams-Scott</t>
  </si>
  <si>
    <t>1985-01-02</t>
  </si>
  <si>
    <t>Denise English</t>
  </si>
  <si>
    <t>nrivera@hotmail.com</t>
  </si>
  <si>
    <t>643.470.2138x51701</t>
  </si>
  <si>
    <t>361 Davis Haven Apt. 252, South Stevenmouth, WV 83330</t>
  </si>
  <si>
    <t>Howard Ltd</t>
  </si>
  <si>
    <t>1984-07-28</t>
  </si>
  <si>
    <t>Cheyenne Brown</t>
  </si>
  <si>
    <t>johnnyreynolds@brown.biz</t>
  </si>
  <si>
    <t>5151547155</t>
  </si>
  <si>
    <t>63905 Brandy Camp Suite 174, South Martin, PA 72471</t>
  </si>
  <si>
    <t>Mathis, Miller and Leblanc</t>
  </si>
  <si>
    <t>1964-11-27</t>
  </si>
  <si>
    <t>Julie George</t>
  </si>
  <si>
    <t>wmatthews@gmail.com</t>
  </si>
  <si>
    <t>902-747-2413</t>
  </si>
  <si>
    <t>0259 Nathan Stravenue Apt. 184, West Sherry, NY 36502</t>
  </si>
  <si>
    <t>Gonzalez Ltd</t>
  </si>
  <si>
    <t>1975-04-08</t>
  </si>
  <si>
    <t>2016-02-08</t>
  </si>
  <si>
    <t>Daniel Moore</t>
  </si>
  <si>
    <t>pconway@hernandez-adams.biz</t>
  </si>
  <si>
    <t>317-718-8009x00674</t>
  </si>
  <si>
    <t>3052 Lisa Mountains, Gregoryview, CT 26519</t>
  </si>
  <si>
    <t>Haney Group</t>
  </si>
  <si>
    <t>2019-11-04</t>
  </si>
  <si>
    <t>William Franco</t>
  </si>
  <si>
    <t>dsimpson@carrillo.com</t>
  </si>
  <si>
    <t>754.973.3980x9447</t>
  </si>
  <si>
    <t>24731 Johnson Pines, Lake Nicolasside, KY 42868</t>
  </si>
  <si>
    <t>Ceramics designer</t>
  </si>
  <si>
    <t>Erickson-Tanner</t>
  </si>
  <si>
    <t>1989-04-27</t>
  </si>
  <si>
    <t>Joseph Roth</t>
  </si>
  <si>
    <t>hmanning@gmail.com</t>
  </si>
  <si>
    <t>541-643-6189</t>
  </si>
  <si>
    <t>PSC 2307, Box 8300, APO AP 65366</t>
  </si>
  <si>
    <t>Malone, Frazier and Davis</t>
  </si>
  <si>
    <t>1983-03-28</t>
  </si>
  <si>
    <t>2025-02-17</t>
  </si>
  <si>
    <t>Andrew Harmon</t>
  </si>
  <si>
    <t>rhondahoward@hotmail.com</t>
  </si>
  <si>
    <t>+1-958-300-1576x5196</t>
  </si>
  <si>
    <t>9877 Eric Fall, Lake Rhonda, GA 31457</t>
  </si>
  <si>
    <t>Suarez and Sons</t>
  </si>
  <si>
    <t>2007-02-22</t>
  </si>
  <si>
    <t>John Mullen</t>
  </si>
  <si>
    <t>zhangdavid@yahoo.com</t>
  </si>
  <si>
    <t>290-514-7318x9574</t>
  </si>
  <si>
    <t>8315 Joyce Street Apt. 696, Thompsonchester, WA 23953</t>
  </si>
  <si>
    <t>Aguirre LLC</t>
  </si>
  <si>
    <t>2001-08-27</t>
  </si>
  <si>
    <t>Caleb Simpson</t>
  </si>
  <si>
    <t>gbass@hotmail.com</t>
  </si>
  <si>
    <t>095-715-4145x3675</t>
  </si>
  <si>
    <t>836 Gordon Junction, North Jamieberg, WY 72564</t>
  </si>
  <si>
    <t>Ferguson, Riley and Pena</t>
  </si>
  <si>
    <t>1971-04-24</t>
  </si>
  <si>
    <t>2017-08-16</t>
  </si>
  <si>
    <t>Donna Williams</t>
  </si>
  <si>
    <t>gjones@hotmail.com</t>
  </si>
  <si>
    <t>(488)808-8562</t>
  </si>
  <si>
    <t>57607 Smith Manors, Lake Noah, OR 79689</t>
  </si>
  <si>
    <t>Trevino Ltd</t>
  </si>
  <si>
    <t>2003-05-03</t>
  </si>
  <si>
    <t>2019-11-12</t>
  </si>
  <si>
    <t>Lisa Williams</t>
  </si>
  <si>
    <t>jasonjensen@wilson.biz</t>
  </si>
  <si>
    <t>616-001-2032</t>
  </si>
  <si>
    <t>8748 Angela Villages Apt. 210, West Michael, CA 25200</t>
  </si>
  <si>
    <t>Medical laboratory scientific officer</t>
  </si>
  <si>
    <t>Peterson-Mendoza</t>
  </si>
  <si>
    <t>1987-06-03</t>
  </si>
  <si>
    <t>2017-10-28</t>
  </si>
  <si>
    <t>Stephen Williams</t>
  </si>
  <si>
    <t>alexandra30@hotmail.com</t>
  </si>
  <si>
    <t>(385)738-1615x3103</t>
  </si>
  <si>
    <t>2339 Anita Row, Lake Tamara, AL 08880</t>
  </si>
  <si>
    <t>Nguyen-Klein</t>
  </si>
  <si>
    <t>1996-09-10</t>
  </si>
  <si>
    <t>2022-10-10</t>
  </si>
  <si>
    <t>Steven Bell</t>
  </si>
  <si>
    <t>hursttammy@bryant.info</t>
  </si>
  <si>
    <t>692.948.5767x501</t>
  </si>
  <si>
    <t>9717 Perez Lodge Apt. 608, Fuentesport, WA 65365</t>
  </si>
  <si>
    <t>Legal executive</t>
  </si>
  <si>
    <t>Adkins, Wright and White</t>
  </si>
  <si>
    <t>1968-12-19</t>
  </si>
  <si>
    <t>2022-11-26</t>
  </si>
  <si>
    <t>Bradley Williams</t>
  </si>
  <si>
    <t>juliejones@anderson.com</t>
  </si>
  <si>
    <t>001-493-618-4424x57510</t>
  </si>
  <si>
    <t>9425 Parrish Isle, Port Debrahaven, NE 69893</t>
  </si>
  <si>
    <t>Petersen-Young</t>
  </si>
  <si>
    <t>1987-12-08</t>
  </si>
  <si>
    <t>2016-12-14</t>
  </si>
  <si>
    <t>Katherine Brennan</t>
  </si>
  <si>
    <t>carlos20@yahoo.com</t>
  </si>
  <si>
    <t>160-403-5125x656</t>
  </si>
  <si>
    <t>PSC 4699, Box 3602, APO AE 19777</t>
  </si>
  <si>
    <t>Riley, Mendoza and Eaton</t>
  </si>
  <si>
    <t>1983-08-04</t>
  </si>
  <si>
    <t>2018-08-30</t>
  </si>
  <si>
    <t>Sylvia Perkins</t>
  </si>
  <si>
    <t>lisa59@spencer.com</t>
  </si>
  <si>
    <t>523-699-1631x3122</t>
  </si>
  <si>
    <t>086 Yang Oval, New Rachel, CT 34346</t>
  </si>
  <si>
    <t>Miller Ltd</t>
  </si>
  <si>
    <t>1988-08-08</t>
  </si>
  <si>
    <t>2020-06-04</t>
  </si>
  <si>
    <t>Adam Miller</t>
  </si>
  <si>
    <t>freemanemily@carpenter.org</t>
  </si>
  <si>
    <t>001-763-608-1260x13761</t>
  </si>
  <si>
    <t>27925 Debra Hill Suite 097, South Alexandria, MS 31180</t>
  </si>
  <si>
    <t>Petersen PLC</t>
  </si>
  <si>
    <t>1983-03-22</t>
  </si>
  <si>
    <t>Charles Williams</t>
  </si>
  <si>
    <t>dvelazquez@gmail.com</t>
  </si>
  <si>
    <t>3984218645</t>
  </si>
  <si>
    <t>01629 Nicole Dale, Thomasshire, WA 50703</t>
  </si>
  <si>
    <t>Barrett Ltd</t>
  </si>
  <si>
    <t>1965-06-17</t>
  </si>
  <si>
    <t>2020-03-21</t>
  </si>
  <si>
    <t>Jeff Murray</t>
  </si>
  <si>
    <t>vgraves@gmail.com</t>
  </si>
  <si>
    <t>4198541892</t>
  </si>
  <si>
    <t>891 Lawson Summit, New Joshua, VA 43089</t>
  </si>
  <si>
    <t>Health visitor</t>
  </si>
  <si>
    <t>Greer LLC</t>
  </si>
  <si>
    <t>1965-01-16</t>
  </si>
  <si>
    <t>2024-10-08</t>
  </si>
  <si>
    <t>Jerry Randall</t>
  </si>
  <si>
    <t>alexander07@hotmail.com</t>
  </si>
  <si>
    <t>(350)328-5537x5446</t>
  </si>
  <si>
    <t>763 Terri Vista Suite 532, Carolfurt, OR 67254</t>
  </si>
  <si>
    <t>Elliott, Garcia and David</t>
  </si>
  <si>
    <t>1988-07-04</t>
  </si>
  <si>
    <t>2017-05-15</t>
  </si>
  <si>
    <t>Miss Anne Rogers</t>
  </si>
  <si>
    <t>coltonbailey@lewis.biz</t>
  </si>
  <si>
    <t>001-229-667-2633</t>
  </si>
  <si>
    <t>3196 Anthony Spurs, Lake David, VA 19206</t>
  </si>
  <si>
    <t>Engineer, building services</t>
  </si>
  <si>
    <t>Perez, Torres and Bryant</t>
  </si>
  <si>
    <t>1970-09-10</t>
  </si>
  <si>
    <t>Caitlin Brown</t>
  </si>
  <si>
    <t>russell49@gmail.com</t>
  </si>
  <si>
    <t>(018)183-2905</t>
  </si>
  <si>
    <t>295 Payne Meadows, South Jenniferborough, MI 54288</t>
  </si>
  <si>
    <t>Allen-Vincent</t>
  </si>
  <si>
    <t>1982-09-04</t>
  </si>
  <si>
    <t>2022-12-15</t>
  </si>
  <si>
    <t>Michael Shelton</t>
  </si>
  <si>
    <t>sjordan@yahoo.com</t>
  </si>
  <si>
    <t>956-677-1788</t>
  </si>
  <si>
    <t>5785 Crystal Brooks Suite 975, South Matthew, IA 39493</t>
  </si>
  <si>
    <t>Air traffic controller</t>
  </si>
  <si>
    <t>Davis-Woodward</t>
  </si>
  <si>
    <t>2003-04-01</t>
  </si>
  <si>
    <t>Nathan Cox</t>
  </si>
  <si>
    <t>michellerose@moore.com</t>
  </si>
  <si>
    <t>(577)767-2191x47349</t>
  </si>
  <si>
    <t>0409 Jamie Highway Apt. 669, Edwardstad, ND 69669</t>
  </si>
  <si>
    <t>Warren Group</t>
  </si>
  <si>
    <t>1979-11-27</t>
  </si>
  <si>
    <t>2022-02-19</t>
  </si>
  <si>
    <t>Tina Schmidt</t>
  </si>
  <si>
    <t>tranchristopher@gmail.com</t>
  </si>
  <si>
    <t>1551070421</t>
  </si>
  <si>
    <t>038 Christopher Burgs, West Henry, MA 66954</t>
  </si>
  <si>
    <t>Willis-Richardson</t>
  </si>
  <si>
    <t>2000-06-12</t>
  </si>
  <si>
    <t>Lori Collins</t>
  </si>
  <si>
    <t>ssnyder@yahoo.com</t>
  </si>
  <si>
    <t>001-781-885-4656x3769</t>
  </si>
  <si>
    <t>61171 Levine Bridge, South Deborah, ME 86291</t>
  </si>
  <si>
    <t>Fowler-Moss</t>
  </si>
  <si>
    <t>1999-03-07</t>
  </si>
  <si>
    <t>2018-05-02</t>
  </si>
  <si>
    <t>Amy Christensen</t>
  </si>
  <si>
    <t>jessica89@hardy.com</t>
  </si>
  <si>
    <t>668-135-8954x3274</t>
  </si>
  <si>
    <t>95541 Michael Stream, Garnerview, ID 07261</t>
  </si>
  <si>
    <t>Tran, Wilson and Lane</t>
  </si>
  <si>
    <t>1976-10-27</t>
  </si>
  <si>
    <t>2015-11-09</t>
  </si>
  <si>
    <t>Andrea Winters</t>
  </si>
  <si>
    <t>gordonsean@hotmail.com</t>
  </si>
  <si>
    <t>114.867.2153</t>
  </si>
  <si>
    <t>407 Cheryl Lane Apt. 662, Lake Mindy, MN 37341</t>
  </si>
  <si>
    <t>Hart, Taylor and Holmes</t>
  </si>
  <si>
    <t>2001-11-14</t>
  </si>
  <si>
    <t>2021-07-02</t>
  </si>
  <si>
    <t>Amanda Smith</t>
  </si>
  <si>
    <t>garrettbishop@gmail.com</t>
  </si>
  <si>
    <t>(879)279-3217</t>
  </si>
  <si>
    <t>185 Joshua Harbor Apt. 813, Greerport, MO 01165</t>
  </si>
  <si>
    <t>Baker-Schmidt</t>
  </si>
  <si>
    <t>1969-12-14</t>
  </si>
  <si>
    <t>2016-01-16</t>
  </si>
  <si>
    <t>Rebecca Daugherty</t>
  </si>
  <si>
    <t>bmartinez@powell.com</t>
  </si>
  <si>
    <t>001-421-504-9435x5490</t>
  </si>
  <si>
    <t>241 Nixon Rue Suite 612, Carpenterstad, IL 63741</t>
  </si>
  <si>
    <t>Butler Group</t>
  </si>
  <si>
    <t>1984-11-22</t>
  </si>
  <si>
    <t>Jacob Peck</t>
  </si>
  <si>
    <t>christopherwarren@williams.com</t>
  </si>
  <si>
    <t>239.765.0362</t>
  </si>
  <si>
    <t>2537 Morales Spurs, Paulachester, WI 74465</t>
  </si>
  <si>
    <t>Jackson-Christian</t>
  </si>
  <si>
    <t>1992-02-24</t>
  </si>
  <si>
    <t>Austin Pennington</t>
  </si>
  <si>
    <t>carterrichard@gmail.com</t>
  </si>
  <si>
    <t>6243449660</t>
  </si>
  <si>
    <t>Unit 7441 Box 1313, DPO AP 77294</t>
  </si>
  <si>
    <t>Hunter, Norris and Nguyen</t>
  </si>
  <si>
    <t>1972-06-08</t>
  </si>
  <si>
    <t>2016-01-12</t>
  </si>
  <si>
    <t>Joy Fisher</t>
  </si>
  <si>
    <t>twilkinson@gmail.com</t>
  </si>
  <si>
    <t>001-445-357-7679x46693</t>
  </si>
  <si>
    <t>Unit 1251 Box 1234, DPO AP 32855</t>
  </si>
  <si>
    <t>Richard-Mcguire</t>
  </si>
  <si>
    <t>1984-07-30</t>
  </si>
  <si>
    <t>Margaret Morrow</t>
  </si>
  <si>
    <t>awebb@yahoo.com</t>
  </si>
  <si>
    <t>001-298-523-5250x30499</t>
  </si>
  <si>
    <t>006 Kenneth Spur Apt. 193, Port Bryanshire, WV 56858</t>
  </si>
  <si>
    <t>1985-11-12</t>
  </si>
  <si>
    <t>2020-08-27</t>
  </si>
  <si>
    <t>Melissa Miller</t>
  </si>
  <si>
    <t>jon39@gmail.com</t>
  </si>
  <si>
    <t>697.815.6982</t>
  </si>
  <si>
    <t>108 Samantha Mission Apt. 132, North Christine, MN 00826</t>
  </si>
  <si>
    <t>Retail banker</t>
  </si>
  <si>
    <t>Ryan, Rogers and Mitchell</t>
  </si>
  <si>
    <t>1964-09-23</t>
  </si>
  <si>
    <t>Wendy Castillo</t>
  </si>
  <si>
    <t>petersonsean@gmail.com</t>
  </si>
  <si>
    <t>+1-180-684-7926x38764</t>
  </si>
  <si>
    <t>361 Jackson Lock, Gloverfort, IL 83326</t>
  </si>
  <si>
    <t>Crawford, Wilson and Fisher</t>
  </si>
  <si>
    <t>1990-09-01</t>
  </si>
  <si>
    <t>Christopher Padilla</t>
  </si>
  <si>
    <t>leetiffany@hotmail.com</t>
  </si>
  <si>
    <t>001-295-952-8801x41235</t>
  </si>
  <si>
    <t>USNS Cooke, FPO AP 36646</t>
  </si>
  <si>
    <t>Gonzalez, Quinn and Orr</t>
  </si>
  <si>
    <t>1960-04-29</t>
  </si>
  <si>
    <t>2017-12-17</t>
  </si>
  <si>
    <t>David Wilson</t>
  </si>
  <si>
    <t>ianfuller@hotmail.com</t>
  </si>
  <si>
    <t>(295)324-2927</t>
  </si>
  <si>
    <t>625 William Mountain Apt. 067, Carriefurt, ME 09148</t>
  </si>
  <si>
    <t>1965-02-05</t>
  </si>
  <si>
    <t>2016-10-15</t>
  </si>
  <si>
    <t>Jamie Johnson</t>
  </si>
  <si>
    <t>jacobgonzales@wall-roberts.info</t>
  </si>
  <si>
    <t>(521)684-3773</t>
  </si>
  <si>
    <t>9021 Mark Mews Apt. 963, Jimmystad, IA 41068</t>
  </si>
  <si>
    <t>Lopez-King</t>
  </si>
  <si>
    <t>1979-09-25</t>
  </si>
  <si>
    <t>Frank Fleming</t>
  </si>
  <si>
    <t>brewercraig@gmail.com</t>
  </si>
  <si>
    <t>+1-728-138-5754</t>
  </si>
  <si>
    <t>69525 Ann Plain, North Traviston, KY 39968</t>
  </si>
  <si>
    <t>Kline, Nelson and Arnold</t>
  </si>
  <si>
    <t>1978-01-31</t>
  </si>
  <si>
    <t>2022-07-13</t>
  </si>
  <si>
    <t>Bruce Jackson</t>
  </si>
  <si>
    <t>richard44@wright-joyce.net</t>
  </si>
  <si>
    <t>+1-780-261-1541x958</t>
  </si>
  <si>
    <t>Unit 8377 Box 6275, DPO AE 31708</t>
  </si>
  <si>
    <t>Hayes, Houston and Diaz</t>
  </si>
  <si>
    <t>1983-08-14</t>
  </si>
  <si>
    <t>2025-06-15</t>
  </si>
  <si>
    <t>William Henderson</t>
  </si>
  <si>
    <t>cameronamy@gmail.com</t>
  </si>
  <si>
    <t>+1-606-789-1284x5031</t>
  </si>
  <si>
    <t>755 James Trail Apt. 411, South Raymond, CO 19640</t>
  </si>
  <si>
    <t>1983-03-03</t>
  </si>
  <si>
    <t>2019-09-21</t>
  </si>
  <si>
    <t>Caitlyn Alexander</t>
  </si>
  <si>
    <t>jonathanrice@yahoo.com</t>
  </si>
  <si>
    <t>192-145-9502</t>
  </si>
  <si>
    <t>616 Klein Extensions Suite 656, Albertburgh, KY 71939</t>
  </si>
  <si>
    <t>Glass PLC</t>
  </si>
  <si>
    <t>1985-02-22</t>
  </si>
  <si>
    <t>2022-07-12</t>
  </si>
  <si>
    <t>Andrew Turner Md</t>
  </si>
  <si>
    <t>smithdonna@saunders.com</t>
  </si>
  <si>
    <t>+1-273-331-1453</t>
  </si>
  <si>
    <t>6499 Erika Field Apt. 011, Charleschester, VA 01333</t>
  </si>
  <si>
    <t>Jones, Miller and Baker</t>
  </si>
  <si>
    <t>2000-08-31</t>
  </si>
  <si>
    <t>2023-03-15</t>
  </si>
  <si>
    <t>Sheena Smith</t>
  </si>
  <si>
    <t>dustin11@smith.com</t>
  </si>
  <si>
    <t>(727)914-4308x59725</t>
  </si>
  <si>
    <t>7319 Young Village Apt. 614, Port Stanley, FL 79623</t>
  </si>
  <si>
    <t>Nichols-Ward</t>
  </si>
  <si>
    <t>1980-01-31</t>
  </si>
  <si>
    <t>2020-04-11</t>
  </si>
  <si>
    <t>Loretta White</t>
  </si>
  <si>
    <t>mmeadows@yahoo.com</t>
  </si>
  <si>
    <t>003-426-4052</t>
  </si>
  <si>
    <t>2645 Kelly Brook, Cooperside, DE 07854</t>
  </si>
  <si>
    <t>Garza LLC</t>
  </si>
  <si>
    <t>1993-08-05</t>
  </si>
  <si>
    <t>2020-04-14</t>
  </si>
  <si>
    <t>Charles Wilson</t>
  </si>
  <si>
    <t>stevehernandez@yahoo.com</t>
  </si>
  <si>
    <t>001-330-612-4635x0440</t>
  </si>
  <si>
    <t>247 Tate Well Suite 002, Loriburgh, IN 28112</t>
  </si>
  <si>
    <t>Salinas, Williams and Williamson</t>
  </si>
  <si>
    <t>1966-07-17</t>
  </si>
  <si>
    <t>Jacob Mendoza</t>
  </si>
  <si>
    <t>adamszachary@mcdonald.info</t>
  </si>
  <si>
    <t>282.662.3888</t>
  </si>
  <si>
    <t>99892 Boyd Loaf, West Ryanfort, IL 59244</t>
  </si>
  <si>
    <t>1970-02-21</t>
  </si>
  <si>
    <t>2020-03-05</t>
  </si>
  <si>
    <t>Charles Zamora</t>
  </si>
  <si>
    <t>xskinner@gmail.com</t>
  </si>
  <si>
    <t>246.711.9814x56117</t>
  </si>
  <si>
    <t>663 Martin Roads Suite 773, North Tracy, MN 67087</t>
  </si>
  <si>
    <t>Civil engineer, consulting</t>
  </si>
  <si>
    <t>Ruiz LLC</t>
  </si>
  <si>
    <t>2005-10-13</t>
  </si>
  <si>
    <t>2016-09-27</t>
  </si>
  <si>
    <t>Samuel Simmons</t>
  </si>
  <si>
    <t>turnercharles@hotmail.com</t>
  </si>
  <si>
    <t>246-165-7808</t>
  </si>
  <si>
    <t>5577 Hill Spring, Brownton, UT 29304</t>
  </si>
  <si>
    <t>Jenkins-Hammond</t>
  </si>
  <si>
    <t>1991-01-24</t>
  </si>
  <si>
    <t>Maria Wood</t>
  </si>
  <si>
    <t>webbdennis@powell.com</t>
  </si>
  <si>
    <t>929-625-1566</t>
  </si>
  <si>
    <t>4351 Herman Bridge, Lake Ronald, VT 59161</t>
  </si>
  <si>
    <t>Nguyen, Harrell and Perez</t>
  </si>
  <si>
    <t>1986-09-14</t>
  </si>
  <si>
    <t>2022-01-25</t>
  </si>
  <si>
    <t>Mary Maxwell</t>
  </si>
  <si>
    <t>jhudson@yahoo.com</t>
  </si>
  <si>
    <t>267.364.3603x686</t>
  </si>
  <si>
    <t>PSC 1428, Box 3620, APO AP 88082</t>
  </si>
  <si>
    <t>Bowman Ltd</t>
  </si>
  <si>
    <t>1972-10-21</t>
  </si>
  <si>
    <t>2016-04-13</t>
  </si>
  <si>
    <t>Stacy Bradshaw</t>
  </si>
  <si>
    <t>toni54@harris.biz</t>
  </si>
  <si>
    <t>839.951.9250x83062</t>
  </si>
  <si>
    <t>42486 Rodriguez Pass Suite 325, South Cynthialand, AR 52266</t>
  </si>
  <si>
    <t>Librarian, public</t>
  </si>
  <si>
    <t>Lucero, Montgomery and Madden</t>
  </si>
  <si>
    <t>1986-04-15</t>
  </si>
  <si>
    <t>Bryan Steele</t>
  </si>
  <si>
    <t>charles71@pruitt.com</t>
  </si>
  <si>
    <t>001-500-773-2841x7044</t>
  </si>
  <si>
    <t>919 Clarke Lights, South Bruce, RI 49252</t>
  </si>
  <si>
    <t>Kennedy Inc</t>
  </si>
  <si>
    <t>1962-10-06</t>
  </si>
  <si>
    <t>Jessica Mcguire</t>
  </si>
  <si>
    <t>jonesdaniel@meyers.info</t>
  </si>
  <si>
    <t>273.106.8515x504</t>
  </si>
  <si>
    <t>825 Stephen Squares, East Jacquelinemouth, NE 17009</t>
  </si>
  <si>
    <t>Khan, Harris and Jacobs</t>
  </si>
  <si>
    <t>2001-06-01</t>
  </si>
  <si>
    <t>2023-01-16</t>
  </si>
  <si>
    <t>Zachary Sutton</t>
  </si>
  <si>
    <t>earias@sweeney.com</t>
  </si>
  <si>
    <t>1441246978</t>
  </si>
  <si>
    <t>14771 Stevens Mill, Marystad, IA 90643</t>
  </si>
  <si>
    <t>Higher education careers adviser</t>
  </si>
  <si>
    <t>Barnett-Rodriguez</t>
  </si>
  <si>
    <t>1986-12-07</t>
  </si>
  <si>
    <t>Angel Brown</t>
  </si>
  <si>
    <t>evillegas@perry.com</t>
  </si>
  <si>
    <t>924-603-5800</t>
  </si>
  <si>
    <t>526 Michele Freeway Apt. 372, North Adamburgh, CO 33690</t>
  </si>
  <si>
    <t>Frazier LLC</t>
  </si>
  <si>
    <t>1963-07-01</t>
  </si>
  <si>
    <t>2019-02-24</t>
  </si>
  <si>
    <t>Chad Herring</t>
  </si>
  <si>
    <t>bryan43@yahoo.com</t>
  </si>
  <si>
    <t>684.113.4168</t>
  </si>
  <si>
    <t>6097 Katherine Radial Suite 297, Gonzalezview, SC 96491</t>
  </si>
  <si>
    <t>Garza-Kelly</t>
  </si>
  <si>
    <t>2006-01-03</t>
  </si>
  <si>
    <t>2025-04-19</t>
  </si>
  <si>
    <t>Jasmine Nolan</t>
  </si>
  <si>
    <t>kennedykaitlyn@hotmail.com</t>
  </si>
  <si>
    <t>(482)569-3364x279</t>
  </si>
  <si>
    <t>1184 Frank Fields Apt. 022, Lake Elizabeth, WV 63992</t>
  </si>
  <si>
    <t>Brown Inc</t>
  </si>
  <si>
    <t>1971-01-19</t>
  </si>
  <si>
    <t>2019-04-15</t>
  </si>
  <si>
    <t>gomezchristina@hotmail.com</t>
  </si>
  <si>
    <t>001-041-481-6972</t>
  </si>
  <si>
    <t>45919 Melissa Path Suite 010, West Patricia, VA 43938</t>
  </si>
  <si>
    <t>Allen, Jackson and Ward</t>
  </si>
  <si>
    <t>1992-08-14</t>
  </si>
  <si>
    <t>2024-04-20</t>
  </si>
  <si>
    <t>William Hubbard</t>
  </si>
  <si>
    <t>hooveramy@hotmail.com</t>
  </si>
  <si>
    <t>001-539-685-3226x035</t>
  </si>
  <si>
    <t>167 Glenn Estates Apt. 354, Wagnerborough, NC 44331</t>
  </si>
  <si>
    <t>Williams PLC</t>
  </si>
  <si>
    <t>1995-02-05</t>
  </si>
  <si>
    <t>2016-12-26</t>
  </si>
  <si>
    <t>Matthew Williams</t>
  </si>
  <si>
    <t>rburns@gmail.com</t>
  </si>
  <si>
    <t>432-849-4834</t>
  </si>
  <si>
    <t>9429 Walker Shore, Ashleyport, ID 26304</t>
  </si>
  <si>
    <t>Public relations account executive</t>
  </si>
  <si>
    <t>Evans Inc</t>
  </si>
  <si>
    <t>2018-05-08</t>
  </si>
  <si>
    <t>Susan Harper</t>
  </si>
  <si>
    <t>fdavis@yahoo.com</t>
  </si>
  <si>
    <t>001-926-375-2946x613</t>
  </si>
  <si>
    <t>0439 Andrew Overpass Suite 224, Ellenberg, WI 26940</t>
  </si>
  <si>
    <t>Crosby, Black and Adams</t>
  </si>
  <si>
    <t>2005-10-05</t>
  </si>
  <si>
    <t>2021-08-11</t>
  </si>
  <si>
    <t>Debra Garcia</t>
  </si>
  <si>
    <t>castanedatara@gmail.com</t>
  </si>
  <si>
    <t>590.546.5149x701</t>
  </si>
  <si>
    <t>USNV Banks, FPO AA 26402</t>
  </si>
  <si>
    <t>Clinical research associate</t>
  </si>
  <si>
    <t>2003-02-15</t>
  </si>
  <si>
    <t>Jay Reynolds</t>
  </si>
  <si>
    <t>lovemichael@rivas.com</t>
  </si>
  <si>
    <t>+1-581-575-2766x81660</t>
  </si>
  <si>
    <t>5061 Brandon Circle, Grayville, DC 04160</t>
  </si>
  <si>
    <t>Hebert PLC</t>
  </si>
  <si>
    <t>1970-01-22</t>
  </si>
  <si>
    <t>william33@braun-sloan.com</t>
  </si>
  <si>
    <t>112-755-3735x0236</t>
  </si>
  <si>
    <t>10259 Alicia Parks Suite 982, Hurleyville, ND 50283</t>
  </si>
  <si>
    <t>Horn-Neal</t>
  </si>
  <si>
    <t>1971-01-07</t>
  </si>
  <si>
    <t>2018-03-16</t>
  </si>
  <si>
    <t>Courtney Mcdaniel</t>
  </si>
  <si>
    <t>zlopez@hotmail.com</t>
  </si>
  <si>
    <t>114.035.9638</t>
  </si>
  <si>
    <t>2447 Amy Highway, Butlerport, SD 70728</t>
  </si>
  <si>
    <t>Warren, Hoffman and Wilson</t>
  </si>
  <si>
    <t>1992-03-12</t>
  </si>
  <si>
    <t>Andrea Logan</t>
  </si>
  <si>
    <t>katherine46@yahoo.com</t>
  </si>
  <si>
    <t>001-098-200-7943x69109</t>
  </si>
  <si>
    <t>27844 Watts Manor Suite 544, South Curtis, WV 42672</t>
  </si>
  <si>
    <t>Butler Inc</t>
  </si>
  <si>
    <t>1984-04-25</t>
  </si>
  <si>
    <t>Maxwell Beard</t>
  </si>
  <si>
    <t>kara82@hotmail.com</t>
  </si>
  <si>
    <t>801-698-8667</t>
  </si>
  <si>
    <t>05895 Campbell Fork Suite 070, Garciatown, UT 11728</t>
  </si>
  <si>
    <t>1990-08-30</t>
  </si>
  <si>
    <t>2022-11-27</t>
  </si>
  <si>
    <t>Deborah Mack</t>
  </si>
  <si>
    <t>richardrobert@yahoo.com</t>
  </si>
  <si>
    <t>+1-255-104-9759x808</t>
  </si>
  <si>
    <t>355 Chris Estates, Lake Jacqueline, NJ 55923</t>
  </si>
  <si>
    <t>Make</t>
  </si>
  <si>
    <t>Duke, Garcia and Chen</t>
  </si>
  <si>
    <t>1961-10-01</t>
  </si>
  <si>
    <t>2019-01-10</t>
  </si>
  <si>
    <t>Shannon Brown</t>
  </si>
  <si>
    <t>michael29@gmail.com</t>
  </si>
  <si>
    <t>367-080-2524</t>
  </si>
  <si>
    <t>2106 Hall Views, Port Mariashire, NJ 33057</t>
  </si>
  <si>
    <t>Gregory, Perkins and Prince</t>
  </si>
  <si>
    <t>1988-08-04</t>
  </si>
  <si>
    <t>2022-07-06</t>
  </si>
  <si>
    <t>Wayne Ruiz</t>
  </si>
  <si>
    <t>johnsonlisa@gates-williamson.biz</t>
  </si>
  <si>
    <t>416-536-6577x683</t>
  </si>
  <si>
    <t>945 Fields Landing Suite 551, Port Jessicahaven, KS 25636</t>
  </si>
  <si>
    <t>Jones LLC</t>
  </si>
  <si>
    <t>1995-04-27</t>
  </si>
  <si>
    <t>2018-01-10</t>
  </si>
  <si>
    <t>Brooke Stephenson</t>
  </si>
  <si>
    <t>sgriffith@yahoo.com</t>
  </si>
  <si>
    <t>976.973.1323</t>
  </si>
  <si>
    <t>Unit 5662 Box 7650, DPO AA 15189</t>
  </si>
  <si>
    <t>Rivas-Rios</t>
  </si>
  <si>
    <t>1997-02-08</t>
  </si>
  <si>
    <t>Jason Gonzalez</t>
  </si>
  <si>
    <t>stephanie55@mckay.com</t>
  </si>
  <si>
    <t>754-008-2817</t>
  </si>
  <si>
    <t>723 Martin Mountains Apt. 466, Webbburgh, VA 59108</t>
  </si>
  <si>
    <t>Baker LLC</t>
  </si>
  <si>
    <t>1974-04-24</t>
  </si>
  <si>
    <t>Zachary Miranda</t>
  </si>
  <si>
    <t>mackenzie28@yahoo.com</t>
  </si>
  <si>
    <t>(201)721-5858x9338</t>
  </si>
  <si>
    <t>Unit 6819 Box 3092, DPO AA 53068</t>
  </si>
  <si>
    <t>Cain Ltd</t>
  </si>
  <si>
    <t>1966-04-21</t>
  </si>
  <si>
    <t>Albert Ochoa</t>
  </si>
  <si>
    <t>001-261-932-8888x898</t>
  </si>
  <si>
    <t>1293 Reed Ville Apt. 751, New Annaside, MA 58097</t>
  </si>
  <si>
    <t>Brown, Huff and Clark</t>
  </si>
  <si>
    <t>1999-10-16</t>
  </si>
  <si>
    <t>2024-10-23</t>
  </si>
  <si>
    <t>tylermiller@hooper-smith.org</t>
  </si>
  <si>
    <t>+1-084-031-5211x55182</t>
  </si>
  <si>
    <t>75691 Daniel Trace Suite 457, Lake John, DE 51831</t>
  </si>
  <si>
    <t>Solomon Ltd</t>
  </si>
  <si>
    <t>1965-09-16</t>
  </si>
  <si>
    <t>Jenny Cohen</t>
  </si>
  <si>
    <t>oyoung@wood.com</t>
  </si>
  <si>
    <t>857-070-4528x3711</t>
  </si>
  <si>
    <t>20384 Gonzales Pines Apt. 208, Kimberlyhaven, SD 21804</t>
  </si>
  <si>
    <t>Insurance risk surveyor</t>
  </si>
  <si>
    <t>Carroll-Brown</t>
  </si>
  <si>
    <t>1995-02-22</t>
  </si>
  <si>
    <t>2018-07-30</t>
  </si>
  <si>
    <t>Ashley Williamson</t>
  </si>
  <si>
    <t>lindabarton@morales.biz</t>
  </si>
  <si>
    <t>564.948.9652</t>
  </si>
  <si>
    <t>2916 Mason Bridge Suite 482, Deborahhaven, MT 28778</t>
  </si>
  <si>
    <t>Peterson-Fields</t>
  </si>
  <si>
    <t>1969-11-16</t>
  </si>
  <si>
    <t>2018-11-19</t>
  </si>
  <si>
    <t>Joseph Ross</t>
  </si>
  <si>
    <t>stokesluis@gmail.com</t>
  </si>
  <si>
    <t>562.820.9204x287</t>
  </si>
  <si>
    <t>PSC 3257, Box 7464, APO AE 15573</t>
  </si>
  <si>
    <t>Therapist, speech and language</t>
  </si>
  <si>
    <t>Jacobs Ltd</t>
  </si>
  <si>
    <t>1980-04-11</t>
  </si>
  <si>
    <t>2017-10-29</t>
  </si>
  <si>
    <t>Hannah Glass</t>
  </si>
  <si>
    <t>taylorcurry@duarte.org</t>
  </si>
  <si>
    <t>045.696.8132</t>
  </si>
  <si>
    <t>3745 Nicole Shoals, Port Susan, VA 73688</t>
  </si>
  <si>
    <t>Carrillo Inc</t>
  </si>
  <si>
    <t>1963-06-18</t>
  </si>
  <si>
    <t>2020-11-28</t>
  </si>
  <si>
    <t>Kelly Wall</t>
  </si>
  <si>
    <t>michelle94@martinez.net</t>
  </si>
  <si>
    <t>2393600273</t>
  </si>
  <si>
    <t>40483 Gomez Fords, New Amandaborough, MS 80461</t>
  </si>
  <si>
    <t>Patel Inc</t>
  </si>
  <si>
    <t>1978-10-24</t>
  </si>
  <si>
    <t>2017-02-19</t>
  </si>
  <si>
    <t>Jamie Pitts</t>
  </si>
  <si>
    <t>adam16@bernard.com</t>
  </si>
  <si>
    <t>157-665-5060</t>
  </si>
  <si>
    <t>1245 Katherine Square, Isaachaven, IA 29327</t>
  </si>
  <si>
    <t>Investment banker, operational</t>
  </si>
  <si>
    <t>1995-03-31</t>
  </si>
  <si>
    <t>Amber Whitney</t>
  </si>
  <si>
    <t>michellepeters@yahoo.com</t>
  </si>
  <si>
    <t>334.262.9297x0141</t>
  </si>
  <si>
    <t>30834 Courtney Parkways, New Laura, WY 65835</t>
  </si>
  <si>
    <t>Lucas, Butler and Rivers</t>
  </si>
  <si>
    <t>1974-09-01</t>
  </si>
  <si>
    <t>2025-02-11</t>
  </si>
  <si>
    <t>Kristy Stewart</t>
  </si>
  <si>
    <t>lewiscynthia@gmail.com</t>
  </si>
  <si>
    <t>001-451-310-7772x882</t>
  </si>
  <si>
    <t>286 Burns Pine Apt. 097, New Judy, CT 09045</t>
  </si>
  <si>
    <t>Maldonado-Martinez</t>
  </si>
  <si>
    <t>1998-03-23</t>
  </si>
  <si>
    <t>2024-03-11</t>
  </si>
  <si>
    <t>Thomas Jones</t>
  </si>
  <si>
    <t>mackwilliam@boyd-mitchell.net</t>
  </si>
  <si>
    <t>341-531-6725</t>
  </si>
  <si>
    <t>7837 Anderson Walks, Johnsonmouth, ID 69252</t>
  </si>
  <si>
    <t>Cook, Garcia and Williams</t>
  </si>
  <si>
    <t>2007-04-17</t>
  </si>
  <si>
    <t>David Reynolds</t>
  </si>
  <si>
    <t>thomas33@hotmail.com</t>
  </si>
  <si>
    <t>779.246.1879x359</t>
  </si>
  <si>
    <t>USNV Fitzgerald, FPO AP 01770</t>
  </si>
  <si>
    <t>Ferguson-Jordan</t>
  </si>
  <si>
    <t>1986-06-23</t>
  </si>
  <si>
    <t>2022-12-12</t>
  </si>
  <si>
    <t>Amanda Brown</t>
  </si>
  <si>
    <t>john90@clements.com</t>
  </si>
  <si>
    <t>(078)036-8976</t>
  </si>
  <si>
    <t>11257 Jessica Flats Suite 683, Lisaville, NE 95786</t>
  </si>
  <si>
    <t>David LLC</t>
  </si>
  <si>
    <t>1960-11-21</t>
  </si>
  <si>
    <t>Gregg Donaldson</t>
  </si>
  <si>
    <t>emmarowe@yahoo.com</t>
  </si>
  <si>
    <t>001-480-199-6811x48502</t>
  </si>
  <si>
    <t>5001 Faulkner Fords Suite 997, Port Theresamouth, UT 05036</t>
  </si>
  <si>
    <t>Brooks-Nelson</t>
  </si>
  <si>
    <t>1987-05-13</t>
  </si>
  <si>
    <t>2022-08-29</t>
  </si>
  <si>
    <t>Brandon Wilson</t>
  </si>
  <si>
    <t>carlos98@hotmail.com</t>
  </si>
  <si>
    <t>+1-733-413-1624x6982</t>
  </si>
  <si>
    <t>102 Henry Shoals Apt. 444, West Christy, SC 03642</t>
  </si>
  <si>
    <t>Field trials officer</t>
  </si>
  <si>
    <t>Chavez, Robles and Kirk</t>
  </si>
  <si>
    <t>1960-02-24</t>
  </si>
  <si>
    <t>Sean Richardson</t>
  </si>
  <si>
    <t>patrick40@wood.com</t>
  </si>
  <si>
    <t>621.593.5023x57224</t>
  </si>
  <si>
    <t>001 Taylor Freeway, New Donna, ND 53382</t>
  </si>
  <si>
    <t>1979-06-08</t>
  </si>
  <si>
    <t>2020-10-29</t>
  </si>
  <si>
    <t>Brianna Stafford</t>
  </si>
  <si>
    <t>pruittmaureen@parker-boone.com</t>
  </si>
  <si>
    <t>+1-612-253-9440x998</t>
  </si>
  <si>
    <t>034 Smith Overpass Suite 449, East Mandyhaven, PA 41147</t>
  </si>
  <si>
    <t>Jones and Sons</t>
  </si>
  <si>
    <t>1991-06-04</t>
  </si>
  <si>
    <t>2025-06-05</t>
  </si>
  <si>
    <t>Zachary Lewis</t>
  </si>
  <si>
    <t>jason49@yahoo.com</t>
  </si>
  <si>
    <t>385.084.8546</t>
  </si>
  <si>
    <t>3760 Johnson Expressway Suite 276, Lake Katherineland, CT 43958</t>
  </si>
  <si>
    <t>Taylor-Key</t>
  </si>
  <si>
    <t>1979-05-22</t>
  </si>
  <si>
    <t>2016-07-31</t>
  </si>
  <si>
    <t>Anthony Anderson</t>
  </si>
  <si>
    <t>justinpena@hotmail.com</t>
  </si>
  <si>
    <t>(033)162-9927</t>
  </si>
  <si>
    <t>71504 Carlos Underpass Suite 670, North Jaredton, SD 06619</t>
  </si>
  <si>
    <t>Dickerson Inc</t>
  </si>
  <si>
    <t>1979-07-04</t>
  </si>
  <si>
    <t>2021-01-11</t>
  </si>
  <si>
    <t>Brian Vazquez</t>
  </si>
  <si>
    <t>pwarren@dixon-cortez.com</t>
  </si>
  <si>
    <t>766.101.3658x371</t>
  </si>
  <si>
    <t>370 Weber Throughway, East Davidborough, SC 89692</t>
  </si>
  <si>
    <t>Garner, Henry and George</t>
  </si>
  <si>
    <t>1980-12-09</t>
  </si>
  <si>
    <t>2024-04-02</t>
  </si>
  <si>
    <t>Kevin Shelton</t>
  </si>
  <si>
    <t>timothycohen@woods-thomas.net</t>
  </si>
  <si>
    <t>531.308.9309x141</t>
  </si>
  <si>
    <t>965 Lang Fields Apt. 314, South Earl, CT 47846</t>
  </si>
  <si>
    <t>Vazquez and Sons</t>
  </si>
  <si>
    <t>1967-05-30</t>
  </si>
  <si>
    <t>2020-02-07</t>
  </si>
  <si>
    <t>Ryan Tucker</t>
  </si>
  <si>
    <t>cassandracook@gmail.com</t>
  </si>
  <si>
    <t>922-905-5034</t>
  </si>
  <si>
    <t>3924 Griffin Vista Suite 672, Millerport, NE 08488</t>
  </si>
  <si>
    <t>Massey Group</t>
  </si>
  <si>
    <t>1983-03-18</t>
  </si>
  <si>
    <t>2017-03-05</t>
  </si>
  <si>
    <t>Nicole Dunn</t>
  </si>
  <si>
    <t>emily21@hotmail.com</t>
  </si>
  <si>
    <t>001-588-661-5856</t>
  </si>
  <si>
    <t>4200 Mcgee Plaza, New Katieton, RI 14694</t>
  </si>
  <si>
    <t>Medical physicist</t>
  </si>
  <si>
    <t>Bailey, Garcia and Rice</t>
  </si>
  <si>
    <t>Amy Conway</t>
  </si>
  <si>
    <t>blakekevin@yahoo.com</t>
  </si>
  <si>
    <t>+1-014-213-1881x7731</t>
  </si>
  <si>
    <t>298 Lori Ports, Taylorville, IN 10271</t>
  </si>
  <si>
    <t>Williamson, West and Larson</t>
  </si>
  <si>
    <t>1973-09-25</t>
  </si>
  <si>
    <t>2024-05-14</t>
  </si>
  <si>
    <t>Brian Flores</t>
  </si>
  <si>
    <t>brandonkelly@collier.biz</t>
  </si>
  <si>
    <t>(690)946-2026x51273</t>
  </si>
  <si>
    <t>023 Weber Expressway, West Christopherchester, IL 50730</t>
  </si>
  <si>
    <t>Wright Group</t>
  </si>
  <si>
    <t>1967-04-12</t>
  </si>
  <si>
    <t>2015-11-30</t>
  </si>
  <si>
    <t>Maria Grant</t>
  </si>
  <si>
    <t>vcooper@beasley-smith.com</t>
  </si>
  <si>
    <t>8520884209</t>
  </si>
  <si>
    <t>8351 Singh Fields Suite 288, North George, OH 20848</t>
  </si>
  <si>
    <t>Washington-Knapp</t>
  </si>
  <si>
    <t>1972-01-24</t>
  </si>
  <si>
    <t>2024-04-19</t>
  </si>
  <si>
    <t>Arthur Ford</t>
  </si>
  <si>
    <t>ksalas@petersen-watson.net</t>
  </si>
  <si>
    <t>(041)286-9191x424</t>
  </si>
  <si>
    <t>101 Jack Drive Apt. 246, Molinaton, AR 90525</t>
  </si>
  <si>
    <t>Padilla-Anderson</t>
  </si>
  <si>
    <t>2006-09-13</t>
  </si>
  <si>
    <t>2019-08-04</t>
  </si>
  <si>
    <t>Amy Perez</t>
  </si>
  <si>
    <t>frank38@yahoo.com</t>
  </si>
  <si>
    <t>9696393837</t>
  </si>
  <si>
    <t>USNV Schwartz, FPO AA 41597</t>
  </si>
  <si>
    <t>Coleman Ltd</t>
  </si>
  <si>
    <t>1987-08-21</t>
  </si>
  <si>
    <t>2015-12-31</t>
  </si>
  <si>
    <t>Jonathan Kim</t>
  </si>
  <si>
    <t>antonio91@ball.com</t>
  </si>
  <si>
    <t>(543)178-0220</t>
  </si>
  <si>
    <t>USNS Hall, FPO AE 01220</t>
  </si>
  <si>
    <t>George, Berg and Rose</t>
  </si>
  <si>
    <t>1977-12-30</t>
  </si>
  <si>
    <t>Gary Burns</t>
  </si>
  <si>
    <t>cherylbraun@ramos.org</t>
  </si>
  <si>
    <t>951-008-4772x23000</t>
  </si>
  <si>
    <t>625 Fernandez Pass Apt. 230, Lake Michaela, WA 23607</t>
  </si>
  <si>
    <t>Lara-Smith</t>
  </si>
  <si>
    <t>1969-08-03</t>
  </si>
  <si>
    <t>2024-11-05</t>
  </si>
  <si>
    <t>George Cook</t>
  </si>
  <si>
    <t>jeffrey79@cain.com</t>
  </si>
  <si>
    <t>(971)041-1574x273</t>
  </si>
  <si>
    <t>04389 Martinez Bypass Apt. 903, Mikestad, TN 70658</t>
  </si>
  <si>
    <t>Programmer, multimedia</t>
  </si>
  <si>
    <t>Rogers-Jarvis</t>
  </si>
  <si>
    <t>2007-03-15</t>
  </si>
  <si>
    <t>2016-08-04</t>
  </si>
  <si>
    <t>Brandon Hayden</t>
  </si>
  <si>
    <t>veronica92@peterson.org</t>
  </si>
  <si>
    <t>(499)324-1324x98609</t>
  </si>
  <si>
    <t>USS Kelley, FPO AE 24855</t>
  </si>
  <si>
    <t>Smith-Baker</t>
  </si>
  <si>
    <t>1975-01-30</t>
  </si>
  <si>
    <t>2022-04-24</t>
  </si>
  <si>
    <t>Marc Lopez</t>
  </si>
  <si>
    <t>leahsanchez@mccormick.com</t>
  </si>
  <si>
    <t>001-376-603-4435</t>
  </si>
  <si>
    <t>08950 Charles Walks Apt. 660, Lake Cindy, ME 14959</t>
  </si>
  <si>
    <t>Huang, Rivers and Luna</t>
  </si>
  <si>
    <t>2005-06-01</t>
  </si>
  <si>
    <t>2024-08-11</t>
  </si>
  <si>
    <t>Derek Martinez</t>
  </si>
  <si>
    <t>ortizjose@gmail.com</t>
  </si>
  <si>
    <t>(846)492-8995x821</t>
  </si>
  <si>
    <t>04868 Kimberly Passage Suite 931, Lake Kristina, OH 69738</t>
  </si>
  <si>
    <t>Harmon Inc</t>
  </si>
  <si>
    <t>1981-05-22</t>
  </si>
  <si>
    <t>Sarah Johnson</t>
  </si>
  <si>
    <t>vhaley@campos.com</t>
  </si>
  <si>
    <t>+1-983-106-1316x322</t>
  </si>
  <si>
    <t>291 Elliott Fall Suite 966, South Jerry, OK 54060</t>
  </si>
  <si>
    <t>Systems developer</t>
  </si>
  <si>
    <t>Mcdonald PLC</t>
  </si>
  <si>
    <t>1991-06-06</t>
  </si>
  <si>
    <t>2020-03-24</t>
  </si>
  <si>
    <t>William Hansen</t>
  </si>
  <si>
    <t>higginsmargaret@hotmail.com</t>
  </si>
  <si>
    <t>292-460-3462x1235</t>
  </si>
  <si>
    <t>80640 Sheri Pass Suite 507, New Kari, VT 74936</t>
  </si>
  <si>
    <t>Maxwell, Vasquez and Douglas</t>
  </si>
  <si>
    <t>1966-07-31</t>
  </si>
  <si>
    <t>2021-03-31</t>
  </si>
  <si>
    <t>Heather Ruiz</t>
  </si>
  <si>
    <t>arnoldjenna@duffy.com</t>
  </si>
  <si>
    <t>(141)342-4665x94857</t>
  </si>
  <si>
    <t>947 Weaver Islands, North Francis, ME 41222</t>
  </si>
  <si>
    <t>Rodriguez and Sons</t>
  </si>
  <si>
    <t>1994-07-27</t>
  </si>
  <si>
    <t>2016-03-10</t>
  </si>
  <si>
    <t>Megan Parrish</t>
  </si>
  <si>
    <t>sheilaadams@pratt.com</t>
  </si>
  <si>
    <t>+1-386-590-2018x14005</t>
  </si>
  <si>
    <t>795 Martin Tunnel Suite 648, New Miguelside, ND 66615</t>
  </si>
  <si>
    <t>1959-09-18</t>
  </si>
  <si>
    <t>Catherine Wright</t>
  </si>
  <si>
    <t>olsonjustin@gmail.com</t>
  </si>
  <si>
    <t>959-830-0999x6990</t>
  </si>
  <si>
    <t>4317 Flynn Creek Suite 437, South Erica, TN 88077</t>
  </si>
  <si>
    <t>Walters, Love and Duran</t>
  </si>
  <si>
    <t>1976-07-29</t>
  </si>
  <si>
    <t>2024-05-31</t>
  </si>
  <si>
    <t>Melissa Peck</t>
  </si>
  <si>
    <t>gkennedy@yahoo.com</t>
  </si>
  <si>
    <t>0416843661</t>
  </si>
  <si>
    <t>163 Watson Pass Suite 832, South Deborah, DE 09086</t>
  </si>
  <si>
    <t>Alexander, Cooper and Rivas</t>
  </si>
  <si>
    <t>2018-12-16</t>
  </si>
  <si>
    <t>Kenneth Nguyen Ii</t>
  </si>
  <si>
    <t>benjaminnorton@gmail.com</t>
  </si>
  <si>
    <t>+1-923-884-2143x031</t>
  </si>
  <si>
    <t>428 Bernard Green Apt. 709, Alisonton, NE 63761</t>
  </si>
  <si>
    <t>Miller, Murphy and Ramos</t>
  </si>
  <si>
    <t>1980-12-22</t>
  </si>
  <si>
    <t>2025-01-21</t>
  </si>
  <si>
    <t>hscott@horton.com</t>
  </si>
  <si>
    <t>001-769-046-7419</t>
  </si>
  <si>
    <t>9764 Mercado Spurs, North Yeseniaview, ID 22216</t>
  </si>
  <si>
    <t>Boyd, Long and Ortiz</t>
  </si>
  <si>
    <t>2002-10-07</t>
  </si>
  <si>
    <t>2018-12-22</t>
  </si>
  <si>
    <t>Rebecca Myers</t>
  </si>
  <si>
    <t>nicolemorales@graham.com</t>
  </si>
  <si>
    <t>001-367-491-2504</t>
  </si>
  <si>
    <t>8549 Gina Ports Suite 333, Owensmouth, NC 83814</t>
  </si>
  <si>
    <t>Brown-Robinson</t>
  </si>
  <si>
    <t>1975-09-10</t>
  </si>
  <si>
    <t>Melissa Moore</t>
  </si>
  <si>
    <t>susancuevas@harris-taylor.com</t>
  </si>
  <si>
    <t>080.655.2297x35052</t>
  </si>
  <si>
    <t>86578 Barnes Greens Suite 370, Sarahville, MT 56694</t>
  </si>
  <si>
    <t>Bowen, Drake and Alvarado</t>
  </si>
  <si>
    <t>1988-10-07</t>
  </si>
  <si>
    <t>2021-01-25</t>
  </si>
  <si>
    <t>Allison Thomas</t>
  </si>
  <si>
    <t>pbarton@gmail.com</t>
  </si>
  <si>
    <t>223-467-4553x029</t>
  </si>
  <si>
    <t>6319 Mitchell Land Apt. 264, Doyleton, DC 39876</t>
  </si>
  <si>
    <t>Duke, Jacobson and Thompson</t>
  </si>
  <si>
    <t>1994-12-06</t>
  </si>
  <si>
    <t>2023-06-19</t>
  </si>
  <si>
    <t>Steven Wu</t>
  </si>
  <si>
    <t>martinguy@carrillo-allen.com</t>
  </si>
  <si>
    <t>001-827-001-1586x84365</t>
  </si>
  <si>
    <t>571 Denise Trace, South Stevenmouth, AL 66157</t>
  </si>
  <si>
    <t>Benson-Bennett</t>
  </si>
  <si>
    <t>1994-07-15</t>
  </si>
  <si>
    <t>2016-02-17</t>
  </si>
  <si>
    <t>Austin Klein</t>
  </si>
  <si>
    <t>jocelynmorris@hotmail.com</t>
  </si>
  <si>
    <t>+1-112-455-1854x3092</t>
  </si>
  <si>
    <t>58835 Allen Locks, Landryland, IA 09228</t>
  </si>
  <si>
    <t>Hawkins-Meyer</t>
  </si>
  <si>
    <t>1979-09-17</t>
  </si>
  <si>
    <t>Michelle Williams</t>
  </si>
  <si>
    <t>watsonjames@yahoo.com</t>
  </si>
  <si>
    <t>053.529.7834x47232</t>
  </si>
  <si>
    <t>9777 Trevor Plaza, Davisfort, NY 80576</t>
  </si>
  <si>
    <t>Kristina Maldonado</t>
  </si>
  <si>
    <t>trice@peterson.com</t>
  </si>
  <si>
    <t>917-229-9797</t>
  </si>
  <si>
    <t>4387 Brianna Causeway, South Anthony, NJ 98099</t>
  </si>
  <si>
    <t>Booth-Nelson</t>
  </si>
  <si>
    <t>1984-08-14</t>
  </si>
  <si>
    <t>Willie Caldwell</t>
  </si>
  <si>
    <t>cmcguire@gmail.com</t>
  </si>
  <si>
    <t>+1-646-604-2967x370</t>
  </si>
  <si>
    <t>Unit 0951 Box 7091, DPO AA 79659</t>
  </si>
  <si>
    <t>Jensen, Evans and Benton</t>
  </si>
  <si>
    <t>1987-01-21</t>
  </si>
  <si>
    <t>2022-06-23</t>
  </si>
  <si>
    <t>Jerry Powers</t>
  </si>
  <si>
    <t>jennifer54@daniels.com</t>
  </si>
  <si>
    <t>012.884.4536x29826</t>
  </si>
  <si>
    <t>65756 Shirley Points Suite 231, West Tonyashire, CA 35696</t>
  </si>
  <si>
    <t>Clark Ltd</t>
  </si>
  <si>
    <t>2006-06-18</t>
  </si>
  <si>
    <t>2016-11-22</t>
  </si>
  <si>
    <t>David Bates</t>
  </si>
  <si>
    <t>lisa57@hartman.net</t>
  </si>
  <si>
    <t>001-869-270-0535x599</t>
  </si>
  <si>
    <t>471 White Row, Melanieport, IA 10353</t>
  </si>
  <si>
    <t>Best boy</t>
  </si>
  <si>
    <t>Wright and Sons</t>
  </si>
  <si>
    <t>1974-05-21</t>
  </si>
  <si>
    <t>2017-12-11</t>
  </si>
  <si>
    <t>Sherri Richardson</t>
  </si>
  <si>
    <t>philliprodriguez@yahoo.com</t>
  </si>
  <si>
    <t>(949)473-4908x27931</t>
  </si>
  <si>
    <t>USNS Harris, FPO AA 70377</t>
  </si>
  <si>
    <t>Ruiz PLC</t>
  </si>
  <si>
    <t>2007-05-18</t>
  </si>
  <si>
    <t>2021-08-10</t>
  </si>
  <si>
    <t>Bryan Wilkerson</t>
  </si>
  <si>
    <t>chaneydeborah@gmail.com</t>
  </si>
  <si>
    <t>(969)127-9690x649</t>
  </si>
  <si>
    <t>28348 Jeremiah Rest, Lake Christineland, GA 70013</t>
  </si>
  <si>
    <t>Industrial buyer</t>
  </si>
  <si>
    <t>Wang PLC</t>
  </si>
  <si>
    <t>2018-10-26</t>
  </si>
  <si>
    <t>Heather Barron</t>
  </si>
  <si>
    <t>williamsangela@shaffer-caldwell.com</t>
  </si>
  <si>
    <t>164-479-9143x6794</t>
  </si>
  <si>
    <t>15267 Victor Spring, Port Colleen, AK 30181</t>
  </si>
  <si>
    <t>Bradley-Herring</t>
  </si>
  <si>
    <t>2006-03-27</t>
  </si>
  <si>
    <t>2020-08-25</t>
  </si>
  <si>
    <t>Deborah Vasquez</t>
  </si>
  <si>
    <t>devin48@white.com</t>
  </si>
  <si>
    <t>(136)691-4111</t>
  </si>
  <si>
    <t>Unit 8984 Box 8686, DPO AP 59917</t>
  </si>
  <si>
    <t>Parker LLC</t>
  </si>
  <si>
    <t>1972-11-16</t>
  </si>
  <si>
    <t>Linda Bates</t>
  </si>
  <si>
    <t>saracurtis@benjamin-thompson.com</t>
  </si>
  <si>
    <t>9273214321</t>
  </si>
  <si>
    <t>59818 Briana Hills Suite 807, Kennedyville, OK 77809</t>
  </si>
  <si>
    <t>Kim LLC</t>
  </si>
  <si>
    <t>1987-06-24</t>
  </si>
  <si>
    <t>2023-10-25</t>
  </si>
  <si>
    <t>Mrs. Kendra Butler</t>
  </si>
  <si>
    <t>smithlynn@hotmail.com</t>
  </si>
  <si>
    <t>308-931-2995x3952</t>
  </si>
  <si>
    <t>376 Gilmore Lake, Jonesberg, VA 25010</t>
  </si>
  <si>
    <t>Logan and Sons</t>
  </si>
  <si>
    <t>2000-07-07</t>
  </si>
  <si>
    <t>2018-08-10</t>
  </si>
  <si>
    <t>Kimberly Wilson</t>
  </si>
  <si>
    <t>nicholsmichelle@anthony.com</t>
  </si>
  <si>
    <t>001-069-428-8653</t>
  </si>
  <si>
    <t>2274 Richard Squares, West Elizabethside, IL 82051</t>
  </si>
  <si>
    <t>Moore, Cordova and Lindsey</t>
  </si>
  <si>
    <t>1986-11-30</t>
  </si>
  <si>
    <t>2024-06-10</t>
  </si>
  <si>
    <t>ronalddavidson@estes.com</t>
  </si>
  <si>
    <t>4260117732</t>
  </si>
  <si>
    <t>PSC 1272, Box 1199, APO AP 81437</t>
  </si>
  <si>
    <t>Morris, Abbott and King</t>
  </si>
  <si>
    <t>2005-01-24</t>
  </si>
  <si>
    <t>Linda Johnson</t>
  </si>
  <si>
    <t>lsullivan@mays-gentry.com</t>
  </si>
  <si>
    <t>+1-909-929-3201</t>
  </si>
  <si>
    <t>6420 Deanna Stream Apt. 364, Port Christopher, MT 41357</t>
  </si>
  <si>
    <t>Hill Inc</t>
  </si>
  <si>
    <t>1991-04-05</t>
  </si>
  <si>
    <t>Natasha Thompson</t>
  </si>
  <si>
    <t>rodneydudley@jones.com</t>
  </si>
  <si>
    <t>(571)810-5048</t>
  </si>
  <si>
    <t>USCGC Davis, FPO AA 27120</t>
  </si>
  <si>
    <t>Flores-Clay</t>
  </si>
  <si>
    <t>1995-01-28</t>
  </si>
  <si>
    <t>2019-03-29</t>
  </si>
  <si>
    <t>Patricia Walker</t>
  </si>
  <si>
    <t>jesse93@downs.biz</t>
  </si>
  <si>
    <t>+1-344-605-0606x789</t>
  </si>
  <si>
    <t>4301 Perez Flats Apt. 583, Merrittland, MT 73825</t>
  </si>
  <si>
    <t>Webster-Pollard</t>
  </si>
  <si>
    <t>1981-08-02</t>
  </si>
  <si>
    <t>2015-11-17</t>
  </si>
  <si>
    <t>Latoya Medina</t>
  </si>
  <si>
    <t>michael61@diaz-powell.com</t>
  </si>
  <si>
    <t>364.322.0204x6453</t>
  </si>
  <si>
    <t>8699 Elizabeth Brooks, South Sylviamouth, DE 91279</t>
  </si>
  <si>
    <t>Reid, Perkins and Hicks</t>
  </si>
  <si>
    <t>1962-03-01</t>
  </si>
  <si>
    <t>Kaylee Miller</t>
  </si>
  <si>
    <t>lkelley@hotmail.com</t>
  </si>
  <si>
    <t>001-228-117-0475</t>
  </si>
  <si>
    <t>Unit 9243 Box 5643, DPO AE 22708</t>
  </si>
  <si>
    <t>Bird Group</t>
  </si>
  <si>
    <t>1970-11-24</t>
  </si>
  <si>
    <t>2019-10-17</t>
  </si>
  <si>
    <t>Courtney Adams</t>
  </si>
  <si>
    <t>mpeters@yahoo.com</t>
  </si>
  <si>
    <t>947-975-6818x5481</t>
  </si>
  <si>
    <t>PSC 4266, Box 6796, APO AE 86692</t>
  </si>
  <si>
    <t>Paul-Harrington</t>
  </si>
  <si>
    <t>1971-01-24</t>
  </si>
  <si>
    <t>Michael Barry</t>
  </si>
  <si>
    <t>lblack@wright-mathews.org</t>
  </si>
  <si>
    <t>0153466553</t>
  </si>
  <si>
    <t>7817 Powell Turnpike, West Karentown, TX 30331</t>
  </si>
  <si>
    <t>Marshall, Robertson and Richardson</t>
  </si>
  <si>
    <t>2002-05-30</t>
  </si>
  <si>
    <t>Brett Young</t>
  </si>
  <si>
    <t>littledanielle@hotmail.com</t>
  </si>
  <si>
    <t>(615)309-4622x00731</t>
  </si>
  <si>
    <t>8520 Nelson Islands Suite 496, New Alfredland, PA 41458</t>
  </si>
  <si>
    <t>Mcpherson LLC</t>
  </si>
  <si>
    <t>1998-12-23</t>
  </si>
  <si>
    <t>2019-01-26</t>
  </si>
  <si>
    <t>Tyler Collins</t>
  </si>
  <si>
    <t>alexis71@mullins-singh.info</t>
  </si>
  <si>
    <t>396.808.9758x4951</t>
  </si>
  <si>
    <t>124 Mora Hills, North Richardview, CO 86063</t>
  </si>
  <si>
    <t>Jackson, Sanchez and Cline</t>
  </si>
  <si>
    <t>1975-01-13</t>
  </si>
  <si>
    <t>2023-05-17</t>
  </si>
  <si>
    <t>Courtney Wright</t>
  </si>
  <si>
    <t>dbryan@herrera.com</t>
  </si>
  <si>
    <t>(109)841-4643x5446</t>
  </si>
  <si>
    <t>385 Graham Brooks, Thomasshire, HI 26709</t>
  </si>
  <si>
    <t>Martin, Hill and Brooks</t>
  </si>
  <si>
    <t>1980-02-26</t>
  </si>
  <si>
    <t>2023-12-07</t>
  </si>
  <si>
    <t>Tiffany Wilson</t>
  </si>
  <si>
    <t>curtisdavis@hotmail.com</t>
  </si>
  <si>
    <t>343.615.5496x4644</t>
  </si>
  <si>
    <t>72624 Tonya Isle Suite 660, New Davidborough, WY 88991</t>
  </si>
  <si>
    <t>2005-04-26</t>
  </si>
  <si>
    <t>2025-05-21</t>
  </si>
  <si>
    <t>Jay Donovan</t>
  </si>
  <si>
    <t>russell75@gmail.com</t>
  </si>
  <si>
    <t>3634236395</t>
  </si>
  <si>
    <t>54933 Allison Port, South Adamside, KS 99135</t>
  </si>
  <si>
    <t>Park Group</t>
  </si>
  <si>
    <t>1990-11-12</t>
  </si>
  <si>
    <t>2017-11-25</t>
  </si>
  <si>
    <t>Michelle Wells</t>
  </si>
  <si>
    <t>jeffreyrhodes@walton-singh.com</t>
  </si>
  <si>
    <t>069.964.6615x039</t>
  </si>
  <si>
    <t>USCGC White, FPO AA 00808</t>
  </si>
  <si>
    <t>Nash, Rodriguez and Washington</t>
  </si>
  <si>
    <t>1985-04-04</t>
  </si>
  <si>
    <t>2020-08-14</t>
  </si>
  <si>
    <t>Emily Walton</t>
  </si>
  <si>
    <t>tmatthews@clark.com</t>
  </si>
  <si>
    <t>001-292-961-2291x193</t>
  </si>
  <si>
    <t>4729 Smith Grove, Hawkinsshire, NV 16896</t>
  </si>
  <si>
    <t>Rush PLC</t>
  </si>
  <si>
    <t>2019-09-12</t>
  </si>
  <si>
    <t>Christopher Mendoza</t>
  </si>
  <si>
    <t>jerry98@turner.com</t>
  </si>
  <si>
    <t>+1-059-861-2252</t>
  </si>
  <si>
    <t>4988 Tristan Cliffs Apt. 091, Jamesfurt, KS 62182</t>
  </si>
  <si>
    <t>Little, Fletcher and Bennett</t>
  </si>
  <si>
    <t>2006-07-16</t>
  </si>
  <si>
    <t>Nicholas Carter</t>
  </si>
  <si>
    <t>anthony61@king.com</t>
  </si>
  <si>
    <t>(121)245-1738</t>
  </si>
  <si>
    <t>02220 Karen Crossing Suite 146, Shaunport, NM 71155</t>
  </si>
  <si>
    <t>Nielsen and Sons</t>
  </si>
  <si>
    <t>1968-11-29</t>
  </si>
  <si>
    <t>2021-03-11</t>
  </si>
  <si>
    <t>Mary Farley</t>
  </si>
  <si>
    <t>mvaughn@hotmail.com</t>
  </si>
  <si>
    <t>876.843.7298</t>
  </si>
  <si>
    <t>03487 Smith Unions Suite 925, Smallberg, IA 60281</t>
  </si>
  <si>
    <t>Surveyor, commercial/residential</t>
  </si>
  <si>
    <t>Rhodes-Shaffer</t>
  </si>
  <si>
    <t>Robin Hammond</t>
  </si>
  <si>
    <t>irodriguez@thomas.info</t>
  </si>
  <si>
    <t>877-093-2451</t>
  </si>
  <si>
    <t>7617 Zimmerman Port, Thomasshire, AZ 15458</t>
  </si>
  <si>
    <t>Carrillo and Sons</t>
  </si>
  <si>
    <t>1971-06-11</t>
  </si>
  <si>
    <t>2015-12-06</t>
  </si>
  <si>
    <t>Mary Miller</t>
  </si>
  <si>
    <t>jenniferberry@peck-gonzalez.com</t>
  </si>
  <si>
    <t>+1-761-900-7296</t>
  </si>
  <si>
    <t>862 Vincent Summit Apt. 121, South Katherine, UT 19215</t>
  </si>
  <si>
    <t>Nguyen-Anderson</t>
  </si>
  <si>
    <t>1979-03-08</t>
  </si>
  <si>
    <t>2024-10-03</t>
  </si>
  <si>
    <t>Chelsea Alvarez</t>
  </si>
  <si>
    <t>kramerdarren@miller-ray.net</t>
  </si>
  <si>
    <t>228-279-3399x9486</t>
  </si>
  <si>
    <t>6813 Sullivan Crossroad, New Jacob, OK 39563</t>
  </si>
  <si>
    <t>Oconnor and Sons</t>
  </si>
  <si>
    <t>1980-11-11</t>
  </si>
  <si>
    <t>2022-08-10</t>
  </si>
  <si>
    <t>Valerie Fuller</t>
  </si>
  <si>
    <t>brandonferrell@reyes.net</t>
  </si>
  <si>
    <t>001-022-633-8492x2561</t>
  </si>
  <si>
    <t>377 Kristen Valleys, North Brandon, NJ 75911</t>
  </si>
  <si>
    <t>Dawson LLC</t>
  </si>
  <si>
    <t>2001-02-26</t>
  </si>
  <si>
    <t>2016-07-22</t>
  </si>
  <si>
    <t>Mathew Baker</t>
  </si>
  <si>
    <t>bsalinas@gmail.com</t>
  </si>
  <si>
    <t>001-396-536-7978x050</t>
  </si>
  <si>
    <t>759 Michelle Pines Apt. 175, Nguyenburgh, IA 77416</t>
  </si>
  <si>
    <t>Mitchell, Cooley and Hurley</t>
  </si>
  <si>
    <t>1989-09-23</t>
  </si>
  <si>
    <t>2019-11-05</t>
  </si>
  <si>
    <t>Kathryn Evans</t>
  </si>
  <si>
    <t>moliver@rush.com</t>
  </si>
  <si>
    <t>898.037.8220x184</t>
  </si>
  <si>
    <t>85047 Elizabeth Highway, Lake Ashleyfurt, UT 54954</t>
  </si>
  <si>
    <t>Jefferson and Sons</t>
  </si>
  <si>
    <t>1969-05-16</t>
  </si>
  <si>
    <t>2024-12-16</t>
  </si>
  <si>
    <t>Becky Ramirez</t>
  </si>
  <si>
    <t>daniel08@hotmail.com</t>
  </si>
  <si>
    <t>728-560-8345</t>
  </si>
  <si>
    <t>7244 Jason Bridge, Lake Courtney, NM 55649</t>
  </si>
  <si>
    <t>Graves-Fischer</t>
  </si>
  <si>
    <t>1996-06-13</t>
  </si>
  <si>
    <t>2024-11-07</t>
  </si>
  <si>
    <t>Tiffany Moreno</t>
  </si>
  <si>
    <t>davisashley@berry-hicks.com</t>
  </si>
  <si>
    <t>515-357-9697</t>
  </si>
  <si>
    <t>7118 Hood Summit Apt. 858, East Jenniferborough, IA 17876</t>
  </si>
  <si>
    <t>Davidson-Brown</t>
  </si>
  <si>
    <t>1965-05-15</t>
  </si>
  <si>
    <t>2015-11-20</t>
  </si>
  <si>
    <t>Alisha Grant</t>
  </si>
  <si>
    <t>vblackburn@lambert.com</t>
  </si>
  <si>
    <t>001-602-100-6169</t>
  </si>
  <si>
    <t>0208 Wayne Fall, Smithstad, DE 64344</t>
  </si>
  <si>
    <t>Davis, Wolfe and Barrera</t>
  </si>
  <si>
    <t>1987-08-17</t>
  </si>
  <si>
    <t>2019-12-18</t>
  </si>
  <si>
    <t>Michelle Page</t>
  </si>
  <si>
    <t>michael28@gmail.com</t>
  </si>
  <si>
    <t>001-149-363-8943</t>
  </si>
  <si>
    <t>1625 Fernandez Cliffs, Washingtonfort, AZ 95421</t>
  </si>
  <si>
    <t>Beck-Johnson</t>
  </si>
  <si>
    <t>2005-02-25</t>
  </si>
  <si>
    <t>Jeffrey Reeves</t>
  </si>
  <si>
    <t>boonedeanna@neal.com</t>
  </si>
  <si>
    <t>001-311-882-5518</t>
  </si>
  <si>
    <t>229 Waters Club, Joseborough, GA 88104</t>
  </si>
  <si>
    <t>Associate Professor</t>
  </si>
  <si>
    <t>Ward-Spencer</t>
  </si>
  <si>
    <t>1998-03-28</t>
  </si>
  <si>
    <t>2020-01-10</t>
  </si>
  <si>
    <t>Brian Salas</t>
  </si>
  <si>
    <t>jtran@weber-moore.info</t>
  </si>
  <si>
    <t>+1-313-383-1660x26453</t>
  </si>
  <si>
    <t>2717 Cortez Forks Apt. 310, Cantuton, NM 36503</t>
  </si>
  <si>
    <t>Hernandez PLC</t>
  </si>
  <si>
    <t>1976-12-19</t>
  </si>
  <si>
    <t>2021-02-02</t>
  </si>
  <si>
    <t>Hannah Smith</t>
  </si>
  <si>
    <t>dean17@hotmail.com</t>
  </si>
  <si>
    <t>+1-937-468-4074</t>
  </si>
  <si>
    <t>11101 Melissa Crescent, Port Nicole, CA 60181</t>
  </si>
  <si>
    <t>Williams Inc</t>
  </si>
  <si>
    <t>1987-02-27</t>
  </si>
  <si>
    <t>2017-11-10</t>
  </si>
  <si>
    <t>Angela Ellis</t>
  </si>
  <si>
    <t>kpham@yahoo.com</t>
  </si>
  <si>
    <t>+1-468-561-0976</t>
  </si>
  <si>
    <t>48157 Conrad Prairie Suite 220, Port Kristineville, MS 54507</t>
  </si>
  <si>
    <t>Cochran-Smith</t>
  </si>
  <si>
    <t>1999-10-29</t>
  </si>
  <si>
    <t>Amanda King</t>
  </si>
  <si>
    <t>craig06@crosby-robinson.com</t>
  </si>
  <si>
    <t>6385250280</t>
  </si>
  <si>
    <t>14946 Betty Lakes, Jenniferborough, OR 83315</t>
  </si>
  <si>
    <t>Schneider, Wolf and Gamble</t>
  </si>
  <si>
    <t>2000-03-06</t>
  </si>
  <si>
    <t>Christopher Mcdonald</t>
  </si>
  <si>
    <t>laurenburton@hotmail.com</t>
  </si>
  <si>
    <t>001-708-861-3085x1547</t>
  </si>
  <si>
    <t>01727 Theresa Inlet Suite 942, West Alexis, MN 45739</t>
  </si>
  <si>
    <t>Education officer, museum</t>
  </si>
  <si>
    <t>Sparks-Carson</t>
  </si>
  <si>
    <t>2005-11-29</t>
  </si>
  <si>
    <t>2021-12-18</t>
  </si>
  <si>
    <t>Mr. Gary Peterson Phd</t>
  </si>
  <si>
    <t>xrush@yahoo.com</t>
  </si>
  <si>
    <t>777.446.3893x237</t>
  </si>
  <si>
    <t>798 Shaw Wall Apt. 278, Reneefort, IL 03933</t>
  </si>
  <si>
    <t>Psychologist, clinical</t>
  </si>
  <si>
    <t>Luna Group</t>
  </si>
  <si>
    <t>1985-05-23</t>
  </si>
  <si>
    <t>Vanessa Jones</t>
  </si>
  <si>
    <t>tonyagaines@nguyen.com</t>
  </si>
  <si>
    <t>(344)084-8319x9993</t>
  </si>
  <si>
    <t>68111 Lawson Island, Mistyland, KY 74122</t>
  </si>
  <si>
    <t>Tourism officer</t>
  </si>
  <si>
    <t>Pearson, Pugh and Baker</t>
  </si>
  <si>
    <t>1990-06-02</t>
  </si>
  <si>
    <t>2024-03-12</t>
  </si>
  <si>
    <t>Vincent Hernandez</t>
  </si>
  <si>
    <t>andreadyer@tran.com</t>
  </si>
  <si>
    <t>001-013-426-7667x6237</t>
  </si>
  <si>
    <t>4618 Higgins Hollow, Matthewmouth, WV 48700</t>
  </si>
  <si>
    <t>Smith-Schneider</t>
  </si>
  <si>
    <t>1981-12-13</t>
  </si>
  <si>
    <t>2020-07-20</t>
  </si>
  <si>
    <t>Shannon Moore</t>
  </si>
  <si>
    <t>rosalesdouglas@hotmail.com</t>
  </si>
  <si>
    <t>+1-778-392-1563x80779</t>
  </si>
  <si>
    <t>524 Robert Island Apt. 742, South Teresa, NC 47489</t>
  </si>
  <si>
    <t>Electrical engineer</t>
  </si>
  <si>
    <t>Kemp Ltd</t>
  </si>
  <si>
    <t>1972-03-06</t>
  </si>
  <si>
    <t>2021-01-13</t>
  </si>
  <si>
    <t>Joshua Fernandez</t>
  </si>
  <si>
    <t>bradley76@donaldson-duarte.info</t>
  </si>
  <si>
    <t>979.666.6835</t>
  </si>
  <si>
    <t>74328 Stephanie Ranch, Victorshire, AZ 68778</t>
  </si>
  <si>
    <t>York-Baker</t>
  </si>
  <si>
    <t>1978-08-18</t>
  </si>
  <si>
    <t>2021-01-10</t>
  </si>
  <si>
    <t>Ana Cervantes</t>
  </si>
  <si>
    <t>garzamatthew@johnson.com</t>
  </si>
  <si>
    <t>441-224-9888x76261</t>
  </si>
  <si>
    <t>7474 Zachary Street Apt. 455, South Robert, NE 31261</t>
  </si>
  <si>
    <t>Francis PLC</t>
  </si>
  <si>
    <t>1961-03-24</t>
  </si>
  <si>
    <t>Steven Taylor</t>
  </si>
  <si>
    <t>mariaesparza@young-green.com</t>
  </si>
  <si>
    <t>+1-177-387-7136x97867</t>
  </si>
  <si>
    <t>229 Keith Stream, North Josephmouth, KY 07018</t>
  </si>
  <si>
    <t>Pace, Bailey and Skinner</t>
  </si>
  <si>
    <t>1991-09-09</t>
  </si>
  <si>
    <t>Daniel Lane</t>
  </si>
  <si>
    <t>devinbolton@gmail.com</t>
  </si>
  <si>
    <t>821.881.0339x0409</t>
  </si>
  <si>
    <t>2966 Rebecca Drive, Mayerborough, MO 98428</t>
  </si>
  <si>
    <t>Moore LLC</t>
  </si>
  <si>
    <t>1987-12-02</t>
  </si>
  <si>
    <t>2024-12-22</t>
  </si>
  <si>
    <t>Mary Rice</t>
  </si>
  <si>
    <t>samantha43@yahoo.com</t>
  </si>
  <si>
    <t>155-137-8568x564</t>
  </si>
  <si>
    <t>19161 Tommy Groves Apt. 418, Stephensborough, MS 18433</t>
  </si>
  <si>
    <t>Taylor and Sons</t>
  </si>
  <si>
    <t>1987-12-13</t>
  </si>
  <si>
    <t>2019-06-05</t>
  </si>
  <si>
    <t>Jorge Stanley</t>
  </si>
  <si>
    <t>patrick71@murphy-phillips.com</t>
  </si>
  <si>
    <t>164-145-1366x670</t>
  </si>
  <si>
    <t>604 Harrison Landing, Holmestown, DE 42269</t>
  </si>
  <si>
    <t>Smith, Willis and Hickman</t>
  </si>
  <si>
    <t>1989-08-06</t>
  </si>
  <si>
    <t>Erika Chase</t>
  </si>
  <si>
    <t>denniswilliams@hotmail.com</t>
  </si>
  <si>
    <t>271-453-9171</t>
  </si>
  <si>
    <t>76036 Eric Glens Apt. 412, South Julialand, CO 63455</t>
  </si>
  <si>
    <t>Garcia-Myers</t>
  </si>
  <si>
    <t>1966-11-22</t>
  </si>
  <si>
    <t>2022-06-27</t>
  </si>
  <si>
    <t>Thomas Griffith</t>
  </si>
  <si>
    <t>jessicasullivan@yahoo.com</t>
  </si>
  <si>
    <t>+1-021-647-1102x241</t>
  </si>
  <si>
    <t>6440 Diana Shoal Apt. 848, New Jason, MI 16936</t>
  </si>
  <si>
    <t>Davis-Mercado</t>
  </si>
  <si>
    <t>2016-05-24</t>
  </si>
  <si>
    <t>Rachel Harper</t>
  </si>
  <si>
    <t>carolyn32@campbell.com</t>
  </si>
  <si>
    <t>121.455.7692</t>
  </si>
  <si>
    <t>124 Amy Path Apt. 223, West Marthabury, KS 39032</t>
  </si>
  <si>
    <t>Blackburn PLC</t>
  </si>
  <si>
    <t>1995-07-17</t>
  </si>
  <si>
    <t>Makayla Floyd</t>
  </si>
  <si>
    <t>fernandezmark@jones.com</t>
  </si>
  <si>
    <t>+1-066-246-7580x306</t>
  </si>
  <si>
    <t>65188 Wells Spurs, Lake Karenburgh, OK 12196</t>
  </si>
  <si>
    <t>Shaw and Sons</t>
  </si>
  <si>
    <t>2021-10-22</t>
  </si>
  <si>
    <t>Bianca Armstrong</t>
  </si>
  <si>
    <t>cynthiaallen@hunt.com</t>
  </si>
  <si>
    <t>469-079-2470</t>
  </si>
  <si>
    <t>1830 Daniel Trace Apt. 949, Andersonside, MT 00704</t>
  </si>
  <si>
    <t>Stewart Group</t>
  </si>
  <si>
    <t>1993-02-13</t>
  </si>
  <si>
    <t>Amy Blanchard</t>
  </si>
  <si>
    <t>bradshawjackson@hotmail.com</t>
  </si>
  <si>
    <t>879.228.4109</t>
  </si>
  <si>
    <t>PSC 9813, Box 8033, APO AA 53554</t>
  </si>
  <si>
    <t>1963-04-02</t>
  </si>
  <si>
    <t>2025-05-03</t>
  </si>
  <si>
    <t>Brandon Holmes</t>
  </si>
  <si>
    <t>adamconway@morrison-miller.com</t>
  </si>
  <si>
    <t>411.135.4495x18414</t>
  </si>
  <si>
    <t>45302 Kayla Mount Apt. 608, South Jill, MD 71473</t>
  </si>
  <si>
    <t>Richardson, Kelley and Porter</t>
  </si>
  <si>
    <t>2005-02-08</t>
  </si>
  <si>
    <t>2015-09-17</t>
  </si>
  <si>
    <t>Jennifer Le</t>
  </si>
  <si>
    <t>davisjay@gmail.com</t>
  </si>
  <si>
    <t>001-075-965-5014x3803</t>
  </si>
  <si>
    <t>81525 Mcdaniel Branch, East Danielland, AR 98637</t>
  </si>
  <si>
    <t>Coleman-Williams</t>
  </si>
  <si>
    <t>1991-11-17</t>
  </si>
  <si>
    <t>2019-11-10</t>
  </si>
  <si>
    <t>Alan Gutierrez</t>
  </si>
  <si>
    <t>julie96@thomas.com</t>
  </si>
  <si>
    <t>716-201-7346</t>
  </si>
  <si>
    <t>Unit 3810 Box 3271, DPO AP 81197</t>
  </si>
  <si>
    <t>Stewart-Carter</t>
  </si>
  <si>
    <t>1965-11-23</t>
  </si>
  <si>
    <t>2018-11-13</t>
  </si>
  <si>
    <t>Kevin Allen</t>
  </si>
  <si>
    <t>angela89@gmail.com</t>
  </si>
  <si>
    <t>6371304325</t>
  </si>
  <si>
    <t>436 Jordan Valleys, New Annette, OR 85516</t>
  </si>
  <si>
    <t>Zimmerman-Barrera</t>
  </si>
  <si>
    <t>Theresa Woods</t>
  </si>
  <si>
    <t>ashleysmith@gmail.com</t>
  </si>
  <si>
    <t>(774)763-9271</t>
  </si>
  <si>
    <t>6201 Misty Trail Suite 029, Port Johnport, ND 72076</t>
  </si>
  <si>
    <t>Barton PLC</t>
  </si>
  <si>
    <t>2001-11-17</t>
  </si>
  <si>
    <t>2022-11-05</t>
  </si>
  <si>
    <t>Kimberly Vincent</t>
  </si>
  <si>
    <t>raymond03@yahoo.com</t>
  </si>
  <si>
    <t>478-409-5209x67137</t>
  </si>
  <si>
    <t>9011 Tiffany Estates, East Faith, MS 35146</t>
  </si>
  <si>
    <t>Willis, Jackson and Ortiz</t>
  </si>
  <si>
    <t>1969-10-11</t>
  </si>
  <si>
    <t>2015-08-29</t>
  </si>
  <si>
    <t>James Carter</t>
  </si>
  <si>
    <t>kristencarpenter@parker-robbins.com</t>
  </si>
  <si>
    <t>0031052696</t>
  </si>
  <si>
    <t>05364 Larry Mountains, Port Brookechester, MI 22828</t>
  </si>
  <si>
    <t>Watts-Day</t>
  </si>
  <si>
    <t>1983-09-26</t>
  </si>
  <si>
    <t>Steven Wright</t>
  </si>
  <si>
    <t>robyn42@moore-reed.com</t>
  </si>
  <si>
    <t>+1-654-308-7668x664</t>
  </si>
  <si>
    <t>USS Mccarthy, FPO AP 51456</t>
  </si>
  <si>
    <t>Child psychotherapist</t>
  </si>
  <si>
    <t>Rodriguez-Martin</t>
  </si>
  <si>
    <t>2021-08-01</t>
  </si>
  <si>
    <t>Jason Castro</t>
  </si>
  <si>
    <t>elizabethbowman@hotmail.com</t>
  </si>
  <si>
    <t>(179)010-4280x3637</t>
  </si>
  <si>
    <t>13535 Brooks Meadows, Colemanmouth, AR 86490</t>
  </si>
  <si>
    <t>Therapist, drama</t>
  </si>
  <si>
    <t>Patterson LLC</t>
  </si>
  <si>
    <t>1976-09-16</t>
  </si>
  <si>
    <t>Shaun Dodson</t>
  </si>
  <si>
    <t>joshuagood@higgins-grant.com</t>
  </si>
  <si>
    <t>+1-771-691-2323x30069</t>
  </si>
  <si>
    <t>71115 Ana Expressway, New Chadstad, KY 49375</t>
  </si>
  <si>
    <t>1980-11-03</t>
  </si>
  <si>
    <t>2020-08-07</t>
  </si>
  <si>
    <t>Jessica Jimenez</t>
  </si>
  <si>
    <t>michellethomas@whitaker.com</t>
  </si>
  <si>
    <t>628.796.2722x6667</t>
  </si>
  <si>
    <t>13708 Carr Curve Apt. 976, Chavezfurt, TN 35546</t>
  </si>
  <si>
    <t>Jackson, Pope and Anderson</t>
  </si>
  <si>
    <t>1997-12-05</t>
  </si>
  <si>
    <t>Brad Perkins</t>
  </si>
  <si>
    <t>michaelgreen@yahoo.com</t>
  </si>
  <si>
    <t>001-338-147-6816x49661</t>
  </si>
  <si>
    <t>07283 Davis Landing, Reynoldsberg, WY 95619</t>
  </si>
  <si>
    <t>Baker-Davila</t>
  </si>
  <si>
    <t>1972-04-06</t>
  </si>
  <si>
    <t>2022-03-04</t>
  </si>
  <si>
    <t>Paul Foster</t>
  </si>
  <si>
    <t>icharles@brooks.org</t>
  </si>
  <si>
    <t>082-575-0925</t>
  </si>
  <si>
    <t>4491 Strickland Stravenue Suite 024, Sawyerland, GA 56929</t>
  </si>
  <si>
    <t>1985-11-06</t>
  </si>
  <si>
    <t>2021-04-12</t>
  </si>
  <si>
    <t>Tonya Goodwin</t>
  </si>
  <si>
    <t>angelahull@hotmail.com</t>
  </si>
  <si>
    <t>892.783.8129x33267</t>
  </si>
  <si>
    <t>8677 Martinez Run, Smithberg, IN 87213</t>
  </si>
  <si>
    <t>Thompson Group</t>
  </si>
  <si>
    <t>1998-08-09</t>
  </si>
  <si>
    <t>Bradley Perez</t>
  </si>
  <si>
    <t>jhouston@chapman.biz</t>
  </si>
  <si>
    <t>001-505-161-4661</t>
  </si>
  <si>
    <t>7233 Edwards Drives, New Monicahaven, RI 18022</t>
  </si>
  <si>
    <t>Diaz, Jones and Reynolds</t>
  </si>
  <si>
    <t>1987-02-14</t>
  </si>
  <si>
    <t>2017-03-15</t>
  </si>
  <si>
    <t>Kristina Moody</t>
  </si>
  <si>
    <t>cynthia16@harris.com</t>
  </si>
  <si>
    <t>321.708.0824x3833</t>
  </si>
  <si>
    <t>12410 Hurley Keys, Penamouth, WV 70245</t>
  </si>
  <si>
    <t>Simon Group</t>
  </si>
  <si>
    <t>1962-06-28</t>
  </si>
  <si>
    <t>2025-05-10</t>
  </si>
  <si>
    <t>Mrs. Patricia Lewis</t>
  </si>
  <si>
    <t>fisherkyle@young.com</t>
  </si>
  <si>
    <t>001-709-329-0081x98640</t>
  </si>
  <si>
    <t>967 Christina Ridges, Port Johnport, FL 66816</t>
  </si>
  <si>
    <t>Radiation protection practitioner</t>
  </si>
  <si>
    <t>Ramirez LLC</t>
  </si>
  <si>
    <t>2001-08-06</t>
  </si>
  <si>
    <t>2022-06-04</t>
  </si>
  <si>
    <t>Henry Daniels</t>
  </si>
  <si>
    <t>hhernandez@davis.com</t>
  </si>
  <si>
    <t>680.675.0885x1722</t>
  </si>
  <si>
    <t>347 Jordan Views Apt. 271, Jordantown, MA 71138</t>
  </si>
  <si>
    <t>Huang-Graham</t>
  </si>
  <si>
    <t>2006-12-03</t>
  </si>
  <si>
    <t>2020-10-02</t>
  </si>
  <si>
    <t>Daniel Gilbert</t>
  </si>
  <si>
    <t>petersonelizabeth@martinez.com</t>
  </si>
  <si>
    <t>001-674-603-1834x44976</t>
  </si>
  <si>
    <t>558 Kimberly Estates Apt. 308, North Donnabury, KY 55337</t>
  </si>
  <si>
    <t>Hansen-Travis</t>
  </si>
  <si>
    <t>2002-09-27</t>
  </si>
  <si>
    <t>2018-02-19</t>
  </si>
  <si>
    <t>Samantha Wallace</t>
  </si>
  <si>
    <t>olara@yahoo.com</t>
  </si>
  <si>
    <t>578.277.0324x924</t>
  </si>
  <si>
    <t>97636 White Crossroad, Brownport, MI 68020</t>
  </si>
  <si>
    <t>Media planner</t>
  </si>
  <si>
    <t>Mckay-Brown</t>
  </si>
  <si>
    <t>2004-06-21</t>
  </si>
  <si>
    <t>sylviacortez@hotmail.com</t>
  </si>
  <si>
    <t>443.417.5291x026</t>
  </si>
  <si>
    <t>153 Patricia Points, East Joshuaport, HI 13573</t>
  </si>
  <si>
    <t>White-Smith</t>
  </si>
  <si>
    <t>1985-12-08</t>
  </si>
  <si>
    <t>2016-01-03</t>
  </si>
  <si>
    <t>Eric Davis</t>
  </si>
  <si>
    <t>john89@yahoo.com</t>
  </si>
  <si>
    <t>(495)097-6201</t>
  </si>
  <si>
    <t>87785 Richard Street, Port Bettyberg, KY 93173</t>
  </si>
  <si>
    <t>Baker-Hudson</t>
  </si>
  <si>
    <t>1973-01-15</t>
  </si>
  <si>
    <t>2017-09-07</t>
  </si>
  <si>
    <t>Jesse Bates</t>
  </si>
  <si>
    <t>pfisher@yahoo.com</t>
  </si>
  <si>
    <t>368.546.6649x2558</t>
  </si>
  <si>
    <t>8160 Vargas Fork Apt. 337, Lake Annaborough, PA 64816</t>
  </si>
  <si>
    <t>Lee-Harrington</t>
  </si>
  <si>
    <t>1968-12-31</t>
  </si>
  <si>
    <t>2015-11-29</t>
  </si>
  <si>
    <t>Eric Rasmussen</t>
  </si>
  <si>
    <t>qmorris@yahoo.com</t>
  </si>
  <si>
    <t>+1-700-012-0626x0014</t>
  </si>
  <si>
    <t>PSC 9665, Box 6333, APO AE 32571</t>
  </si>
  <si>
    <t>Burnett and Sons</t>
  </si>
  <si>
    <t>1961-12-13</t>
  </si>
  <si>
    <t>2021-06-11</t>
  </si>
  <si>
    <t>Nicholas Dennis</t>
  </si>
  <si>
    <t>stoutrobert@bowen.info</t>
  </si>
  <si>
    <t>332-491-8237</t>
  </si>
  <si>
    <t>USNS Allen, FPO AE 24655</t>
  </si>
  <si>
    <t>Berry, Gomez and Flynn</t>
  </si>
  <si>
    <t>1988-07-01</t>
  </si>
  <si>
    <t>2022-06-09</t>
  </si>
  <si>
    <t>Jessica Barrett</t>
  </si>
  <si>
    <t>thomasmullins@hotmail.com</t>
  </si>
  <si>
    <t>(235)261-3029x4081</t>
  </si>
  <si>
    <t>679 Flores Mission Suite 585, East Bryan, SC 55007</t>
  </si>
  <si>
    <t>Hotel manager</t>
  </si>
  <si>
    <t>Strickland, Morris and Lewis</t>
  </si>
  <si>
    <t>1969-07-01</t>
  </si>
  <si>
    <t>2024-12-30</t>
  </si>
  <si>
    <t>Derek Nguyen</t>
  </si>
  <si>
    <t>tonirivera@walker.com</t>
  </si>
  <si>
    <t>001-941-288-9374x1226</t>
  </si>
  <si>
    <t>839 Simmons Locks Suite 971, Morganton, KS 18970</t>
  </si>
  <si>
    <t>Steele Ltd</t>
  </si>
  <si>
    <t>1967-03-02</t>
  </si>
  <si>
    <t>2020-04-23</t>
  </si>
  <si>
    <t>Christopher Rodriguez</t>
  </si>
  <si>
    <t>sflores@bartlett.com</t>
  </si>
  <si>
    <t>191.687.1343x12717</t>
  </si>
  <si>
    <t>79211 Nelson Plaza, Rachelfurt, VA 90020</t>
  </si>
  <si>
    <t>Mcdaniel and Sons</t>
  </si>
  <si>
    <t>1983-11-01</t>
  </si>
  <si>
    <t>Joshua Griffin</t>
  </si>
  <si>
    <t>julie00@hotmail.com</t>
  </si>
  <si>
    <t>001-149-970-7180</t>
  </si>
  <si>
    <t>368 Hall River Apt. 654, Jamesshire, NY 03372</t>
  </si>
  <si>
    <t>Allen and Sons</t>
  </si>
  <si>
    <t>1970-03-21</t>
  </si>
  <si>
    <t>2021-08-05</t>
  </si>
  <si>
    <t>Mrs. Jenna Aguilar Md</t>
  </si>
  <si>
    <t>bking@yahoo.com</t>
  </si>
  <si>
    <t>(673)069-6567x700</t>
  </si>
  <si>
    <t>1115 Gill Island, Lake Ronaldview, NC 32098</t>
  </si>
  <si>
    <t>Proctor, Harrison and Moore</t>
  </si>
  <si>
    <t>1989-03-01</t>
  </si>
  <si>
    <t>Jared Hurst</t>
  </si>
  <si>
    <t>george25@bonilla-moore.com</t>
  </si>
  <si>
    <t>+1-721-028-1211</t>
  </si>
  <si>
    <t>583 Christopher Loaf Apt. 540, Piercechester, TX 46901</t>
  </si>
  <si>
    <t>Simon, Davis and Wade</t>
  </si>
  <si>
    <t>2003-02-17</t>
  </si>
  <si>
    <t>Charles Hoffman</t>
  </si>
  <si>
    <t>elizabeth27@yahoo.com</t>
  </si>
  <si>
    <t>(161)360-2492x06512</t>
  </si>
  <si>
    <t>3390 Jodi Brooks, Port Robert, KS 43389</t>
  </si>
  <si>
    <t>Lucas Group</t>
  </si>
  <si>
    <t>1967-08-13</t>
  </si>
  <si>
    <t>Richard Cabrera Md</t>
  </si>
  <si>
    <t>fshannon@koch-howard.com</t>
  </si>
  <si>
    <t>+1-043-321-5462x279</t>
  </si>
  <si>
    <t>40714 Tracy Bridge, Mistystad, MA 26474</t>
  </si>
  <si>
    <t>Wallace, Wilson and Flores</t>
  </si>
  <si>
    <t>1998-02-13</t>
  </si>
  <si>
    <t>2022-06-22</t>
  </si>
  <si>
    <t>Sherry Smith</t>
  </si>
  <si>
    <t>earmstrong@yahoo.com</t>
  </si>
  <si>
    <t>(855)407-3410x711</t>
  </si>
  <si>
    <t>USNS Liu, FPO AA 04789</t>
  </si>
  <si>
    <t>Trujillo, Salazar and Bernard</t>
  </si>
  <si>
    <t>1986-10-07</t>
  </si>
  <si>
    <t>2016-03-07</t>
  </si>
  <si>
    <t>Daniel Ward</t>
  </si>
  <si>
    <t>xlane@bell.info</t>
  </si>
  <si>
    <t>697.596.2374x7056</t>
  </si>
  <si>
    <t>6672 Walton Alley, Brianamouth, ID 87371</t>
  </si>
  <si>
    <t>Phillips Ltd</t>
  </si>
  <si>
    <t>2022-09-08</t>
  </si>
  <si>
    <t>Phillip Hudson</t>
  </si>
  <si>
    <t>jasonperry@yahoo.com</t>
  </si>
  <si>
    <t>001-006-844-5532x7968</t>
  </si>
  <si>
    <t>97715 Ortiz Cliff Apt. 894, Greenebury, NH 11409</t>
  </si>
  <si>
    <t>Williams-Smith</t>
  </si>
  <si>
    <t>1977-06-02</t>
  </si>
  <si>
    <t>2022-01-20</t>
  </si>
  <si>
    <t>Jordan Ross</t>
  </si>
  <si>
    <t>vincent97@cordova.com</t>
  </si>
  <si>
    <t>242.321.5041x77036</t>
  </si>
  <si>
    <t>6088 Carl Ville, Tracyton, SC 83253</t>
  </si>
  <si>
    <t>Collins Inc</t>
  </si>
  <si>
    <t>1972-08-23</t>
  </si>
  <si>
    <t>2017-04-02</t>
  </si>
  <si>
    <t>Terrence Baker</t>
  </si>
  <si>
    <t>andreahayes@yahoo.com</t>
  </si>
  <si>
    <t>513-154-5900x719</t>
  </si>
  <si>
    <t>Unit 2813 Box 6620, DPO AA 98849</t>
  </si>
  <si>
    <t>Cole, Jackson and Wilkinson</t>
  </si>
  <si>
    <t>2018-09-08</t>
  </si>
  <si>
    <t>Jacob Howard</t>
  </si>
  <si>
    <t>clarkesandra@yahoo.com</t>
  </si>
  <si>
    <t>672-493-3150</t>
  </si>
  <si>
    <t>07288 Gomez Shoal Apt. 867, Lake Erikbury, IN 18775</t>
  </si>
  <si>
    <t>Smith-Oliver</t>
  </si>
  <si>
    <t>2003-03-31</t>
  </si>
  <si>
    <t>2018-04-24</t>
  </si>
  <si>
    <t>Michael Lowe</t>
  </si>
  <si>
    <t>jenny48@vaughn.info</t>
  </si>
  <si>
    <t>(144)015-4970x73333</t>
  </si>
  <si>
    <t>25530 Clayton Hill Suite 437, Lake David, PA 49125</t>
  </si>
  <si>
    <t>Valentine-Eaton</t>
  </si>
  <si>
    <t>1959-11-01</t>
  </si>
  <si>
    <t>2022-12-21</t>
  </si>
  <si>
    <t>Mr. Mark Payne</t>
  </si>
  <si>
    <t>jonesjonathan@yahoo.com</t>
  </si>
  <si>
    <t>670.797.1920</t>
  </si>
  <si>
    <t>477 Matthew Club, Escobarton, AL 28165</t>
  </si>
  <si>
    <t>Roman Inc</t>
  </si>
  <si>
    <t>1992-12-28</t>
  </si>
  <si>
    <t>2017-01-17</t>
  </si>
  <si>
    <t>Shawn Johnson</t>
  </si>
  <si>
    <t>narnold@hotmail.com</t>
  </si>
  <si>
    <t>455.903.8332</t>
  </si>
  <si>
    <t>4144 Caldwell Crossroad Apt. 369, New Stephen, VA 95717</t>
  </si>
  <si>
    <t>Gallegos-Kirby</t>
  </si>
  <si>
    <t>1986-10-04</t>
  </si>
  <si>
    <t>John Ross</t>
  </si>
  <si>
    <t>kimberly54@young-pace.com</t>
  </si>
  <si>
    <t>835-923-6436x531</t>
  </si>
  <si>
    <t>USCGC Gomez, FPO AA 73889</t>
  </si>
  <si>
    <t>Smith Inc</t>
  </si>
  <si>
    <t>1975-09-06</t>
  </si>
  <si>
    <t>Mr. John Ross</t>
  </si>
  <si>
    <t>jerrycooley@taylor.com</t>
  </si>
  <si>
    <t>001-212-729-2401</t>
  </si>
  <si>
    <t>USNS Pierce, FPO AE 86613</t>
  </si>
  <si>
    <t>Graves-Jones</t>
  </si>
  <si>
    <t>1990-09-05</t>
  </si>
  <si>
    <t>2019-09-16</t>
  </si>
  <si>
    <t>Patricia Mueller</t>
  </si>
  <si>
    <t>donald49@gmail.com</t>
  </si>
  <si>
    <t>(420)894-6407x35686</t>
  </si>
  <si>
    <t>990 Lucas Ville Apt. 435, Hickschester, VA 77079</t>
  </si>
  <si>
    <t>Gutierrez Inc</t>
  </si>
  <si>
    <t>1993-10-31</t>
  </si>
  <si>
    <t>2018-01-22</t>
  </si>
  <si>
    <t>George Hunter</t>
  </si>
  <si>
    <t>dkline@williams-brown.com</t>
  </si>
  <si>
    <t>309.457.2905</t>
  </si>
  <si>
    <t>36853 Kelly Drive, Markmouth, OR 02323</t>
  </si>
  <si>
    <t>Lopez-Hines</t>
  </si>
  <si>
    <t>1980-07-03</t>
  </si>
  <si>
    <t>2022-09-02</t>
  </si>
  <si>
    <t>Christopher Sanders</t>
  </si>
  <si>
    <t>alan13@harper.com</t>
  </si>
  <si>
    <t>+1-215-202-9022</t>
  </si>
  <si>
    <t>0925 Angela Shoals Apt. 563, West Gregoryberg, AK 13385</t>
  </si>
  <si>
    <t>1989-11-24</t>
  </si>
  <si>
    <t>2021-09-18</t>
  </si>
  <si>
    <t>Desiree Wood</t>
  </si>
  <si>
    <t>colleen64@ewing-castaneda.biz</t>
  </si>
  <si>
    <t>(222)027-6377</t>
  </si>
  <si>
    <t>USNV Gaines, FPO AE 62504</t>
  </si>
  <si>
    <t>Hutchinson Group</t>
  </si>
  <si>
    <t>1984-12-26</t>
  </si>
  <si>
    <t>Andrew Vaughn</t>
  </si>
  <si>
    <t>jasmine51@yahoo.com</t>
  </si>
  <si>
    <t>7251345538</t>
  </si>
  <si>
    <t>72010 Evans Rapids Suite 723, Colemanmouth, CT 20408</t>
  </si>
  <si>
    <t>Mcmahon Inc</t>
  </si>
  <si>
    <t>1965-02-06</t>
  </si>
  <si>
    <t>2017-09-02</t>
  </si>
  <si>
    <t>Greg Tapia</t>
  </si>
  <si>
    <t>jessicamanning@rivera.com</t>
  </si>
  <si>
    <t>300-041-4255</t>
  </si>
  <si>
    <t>71903 Kimberly Meadows Apt. 895, South Shannon, VT 96149</t>
  </si>
  <si>
    <t>Lopez-Davis</t>
  </si>
  <si>
    <t>1976-04-30</t>
  </si>
  <si>
    <t>Levi Sanchez</t>
  </si>
  <si>
    <t>garylyons@williams.com</t>
  </si>
  <si>
    <t>080.709.5236</t>
  </si>
  <si>
    <t>7380 Terry Circle, Lake Kyle, WY 63045</t>
  </si>
  <si>
    <t>Poole Group</t>
  </si>
  <si>
    <t>1969-09-13</t>
  </si>
  <si>
    <t>Madison Hoover</t>
  </si>
  <si>
    <t>bhernandez@yahoo.com</t>
  </si>
  <si>
    <t>(565)853-9918x252</t>
  </si>
  <si>
    <t>131 Ian Roads Suite 535, Johnsonside, NV 62198</t>
  </si>
  <si>
    <t>Terry and Sons</t>
  </si>
  <si>
    <t>1982-04-25</t>
  </si>
  <si>
    <t>2016-01-22</t>
  </si>
  <si>
    <t>Justin Johnson</t>
  </si>
  <si>
    <t>zparks@carter-mcdaniel.com</t>
  </si>
  <si>
    <t>+1-989-857-9323x2043</t>
  </si>
  <si>
    <t>98488 Pope Loaf Suite 670, New Antoniobury, CA 18430</t>
  </si>
  <si>
    <t>Moore-Oconnor</t>
  </si>
  <si>
    <t>1982-12-08</t>
  </si>
  <si>
    <t>2023-08-20</t>
  </si>
  <si>
    <t>Stephanie Ford</t>
  </si>
  <si>
    <t>james21@johnson.com</t>
  </si>
  <si>
    <t>001-637-766-7550x3610</t>
  </si>
  <si>
    <t>8405 Copeland Trail Apt. 180, Adamsbury, MT 20286</t>
  </si>
  <si>
    <t>Alexander Inc</t>
  </si>
  <si>
    <t>1998-07-17</t>
  </si>
  <si>
    <t>Patrick Frazier</t>
  </si>
  <si>
    <t>candice29@riley-hanson.info</t>
  </si>
  <si>
    <t>656-166-0889x23779</t>
  </si>
  <si>
    <t>540 Jones Pines Suite 277, Lake Lisa, NC 19700</t>
  </si>
  <si>
    <t>Financial risk analyst</t>
  </si>
  <si>
    <t>Novak Inc</t>
  </si>
  <si>
    <t>2007-04-28</t>
  </si>
  <si>
    <t>Dennis Martin</t>
  </si>
  <si>
    <t>jeffrey29@yahoo.com</t>
  </si>
  <si>
    <t>3627194805</t>
  </si>
  <si>
    <t>69336 Joshua Ports Suite 710, Martinezville, WI 42220</t>
  </si>
  <si>
    <t>Stewart-Johnson</t>
  </si>
  <si>
    <t>1983-07-03</t>
  </si>
  <si>
    <t>2021-11-11</t>
  </si>
  <si>
    <t>Stephen Maynard</t>
  </si>
  <si>
    <t>thomasedwards@doyle.org</t>
  </si>
  <si>
    <t>7834466091</t>
  </si>
  <si>
    <t>515 Richard Roads, North Emilyborough, LA 56266</t>
  </si>
  <si>
    <t>Brown Ltd</t>
  </si>
  <si>
    <t>1998-03-21</t>
  </si>
  <si>
    <t>2020-01-23</t>
  </si>
  <si>
    <t>Daniel Gill</t>
  </si>
  <si>
    <t>coopercheryl@hotmail.com</t>
  </si>
  <si>
    <t>3126749263</t>
  </si>
  <si>
    <t>8722 Austin Locks Suite 161, South Wesley, IN 27976</t>
  </si>
  <si>
    <t>Guerrero Group</t>
  </si>
  <si>
    <t>1974-07-07</t>
  </si>
  <si>
    <t>2022-07-30</t>
  </si>
  <si>
    <t>Douglas Jackson</t>
  </si>
  <si>
    <t>thomas11@lopez.com</t>
  </si>
  <si>
    <t>001-863-708-1685x78090</t>
  </si>
  <si>
    <t>4489 Donaldson Vista, Wagnerfurt, ID 08183</t>
  </si>
  <si>
    <t>Williams-Cooke</t>
  </si>
  <si>
    <t>1986-10-19</t>
  </si>
  <si>
    <t>2020-06-24</t>
  </si>
  <si>
    <t>Justin Hayes</t>
  </si>
  <si>
    <t>reyesdavid@saunders.org</t>
  </si>
  <si>
    <t>001-814-052-6238x5729</t>
  </si>
  <si>
    <t>45756 Kimberly Mission Suite 459, Shawnville, IA 69715</t>
  </si>
  <si>
    <t>Stevens-Allen</t>
  </si>
  <si>
    <t>1978-03-08</t>
  </si>
  <si>
    <t>2017-03-02</t>
  </si>
  <si>
    <t>Laura Guzman</t>
  </si>
  <si>
    <t>ylewis@gonzalez.com</t>
  </si>
  <si>
    <t>001-227-365-0333x186</t>
  </si>
  <si>
    <t>1079 Alisha Plains, Nicholasside, UT 69811</t>
  </si>
  <si>
    <t>Mann Ltd</t>
  </si>
  <si>
    <t>1988-08-15</t>
  </si>
  <si>
    <t>Elizabeth Holmes</t>
  </si>
  <si>
    <t>castrodavid@medina.com</t>
  </si>
  <si>
    <t>750-294-9272x816</t>
  </si>
  <si>
    <t>56100 Jennifer Fields Apt. 401, Hunterton, VA 75460</t>
  </si>
  <si>
    <t>Lobbyist</t>
  </si>
  <si>
    <t>Parker Group</t>
  </si>
  <si>
    <t>1976-07-11</t>
  </si>
  <si>
    <t>Desiree Warner</t>
  </si>
  <si>
    <t>michaelberry@yahoo.com</t>
  </si>
  <si>
    <t>4863519243</t>
  </si>
  <si>
    <t>45864 John Greens Apt. 942, East Christinetown, AR 74087</t>
  </si>
  <si>
    <t>Carter Inc</t>
  </si>
  <si>
    <t>1984-11-11</t>
  </si>
  <si>
    <t>2020-09-06</t>
  </si>
  <si>
    <t>Misty Foley</t>
  </si>
  <si>
    <t>baileybrandon@yahoo.com</t>
  </si>
  <si>
    <t>862-916-9207x5703</t>
  </si>
  <si>
    <t>17908 Veronica Views Suite 605, Aaronburgh, WV 19712</t>
  </si>
  <si>
    <t>Wilson Ltd</t>
  </si>
  <si>
    <t>1983-07-26</t>
  </si>
  <si>
    <t>2019-07-26</t>
  </si>
  <si>
    <t>Melinda Bullock</t>
  </si>
  <si>
    <t>kevin02@gmail.com</t>
  </si>
  <si>
    <t>441-557-1203x5072</t>
  </si>
  <si>
    <t>USCGC Rowe, FPO AP 81775</t>
  </si>
  <si>
    <t>Jones, Glover and Williams</t>
  </si>
  <si>
    <t>1973-04-20</t>
  </si>
  <si>
    <t>Michaela Duarte</t>
  </si>
  <si>
    <t>jennifer48@yahoo.com</t>
  </si>
  <si>
    <t>(322)647-9779x5968</t>
  </si>
  <si>
    <t>1533 Angela Fields, Wadeville, SD 03874</t>
  </si>
  <si>
    <t>Henry-Jacobson</t>
  </si>
  <si>
    <t>1987-10-31</t>
  </si>
  <si>
    <t>2017-03-20</t>
  </si>
  <si>
    <t>Gerald Rangel</t>
  </si>
  <si>
    <t>thompsonwilliam@cruz.org</t>
  </si>
  <si>
    <t>616-279-4624x403</t>
  </si>
  <si>
    <t>07452 Leah Ranch Apt. 003, New Jennifer, IA 11394</t>
  </si>
  <si>
    <t>Warren-Leblanc</t>
  </si>
  <si>
    <t>1986-05-10</t>
  </si>
  <si>
    <t>Brian Mullins</t>
  </si>
  <si>
    <t>jenniferryan@yahoo.com</t>
  </si>
  <si>
    <t>001-819-888-1358</t>
  </si>
  <si>
    <t>770 Kelly Avenue, Lake Josephchester, LA 89670</t>
  </si>
  <si>
    <t>Stevenson, Sharp and Washington</t>
  </si>
  <si>
    <t>1961-03-21</t>
  </si>
  <si>
    <t>Allen Alvarez</t>
  </si>
  <si>
    <t>njohnson@wood.com</t>
  </si>
  <si>
    <t>947.290.3985x6826</t>
  </si>
  <si>
    <t>101 Guzman Square Apt. 334, North Frankview, WI 44587</t>
  </si>
  <si>
    <t>Williams-Lewis</t>
  </si>
  <si>
    <t>Kimberly Perez</t>
  </si>
  <si>
    <t>jwelch@yahoo.com</t>
  </si>
  <si>
    <t>024.556.1910</t>
  </si>
  <si>
    <t>814 Cheyenne Grove, South Cameron, WA 89529</t>
  </si>
  <si>
    <t>Morales, Evans and Cummings</t>
  </si>
  <si>
    <t>1988-11-26</t>
  </si>
  <si>
    <t>Gary Day</t>
  </si>
  <si>
    <t>hallpeter@randall-hebert.com</t>
  </si>
  <si>
    <t>560-959-1946x1522</t>
  </si>
  <si>
    <t>67215 Peter Extension, East Jacob, OK 74018</t>
  </si>
  <si>
    <t>Turner-Carroll</t>
  </si>
  <si>
    <t>1974-05-24</t>
  </si>
  <si>
    <t>2017-11-01</t>
  </si>
  <si>
    <t>Cindy Mcdaniel</t>
  </si>
  <si>
    <t>olsenashley@yahoo.com</t>
  </si>
  <si>
    <t>379.002.1337</t>
  </si>
  <si>
    <t>172 Carol Groves, Lake Brandon, NV 64954</t>
  </si>
  <si>
    <t>Wilkins, Mcknight and Fox</t>
  </si>
  <si>
    <t>1972-06-17</t>
  </si>
  <si>
    <t>Stacey Walsh</t>
  </si>
  <si>
    <t>hinesjanet@patel-todd.com</t>
  </si>
  <si>
    <t>4517694668</t>
  </si>
  <si>
    <t>155 Perez Flats, Robertofort, WI 14102</t>
  </si>
  <si>
    <t>Hurst-Woods</t>
  </si>
  <si>
    <t>1991-04-16</t>
  </si>
  <si>
    <t>2025-06-01</t>
  </si>
  <si>
    <t>Anna Hernandez</t>
  </si>
  <si>
    <t>donnamoore@sanchez.com</t>
  </si>
  <si>
    <t>266.702.0837x0944</t>
  </si>
  <si>
    <t>5339 Michelle Bypass Apt. 178, East Robert, IA 13377</t>
  </si>
  <si>
    <t>Lewis PLC</t>
  </si>
  <si>
    <t>1999-07-07</t>
  </si>
  <si>
    <t>2019-07-28</t>
  </si>
  <si>
    <t>Michael Roberts</t>
  </si>
  <si>
    <t>katherine78@powell-francis.org</t>
  </si>
  <si>
    <t>333-816-5276x68767</t>
  </si>
  <si>
    <t>36734 Dillon Brooks Apt. 703, Clarkmouth, IN 82528</t>
  </si>
  <si>
    <t>Lighting technician, broadcasting/film/video</t>
  </si>
  <si>
    <t>Francis, Lopez and Mccarthy</t>
  </si>
  <si>
    <t>1978-12-13</t>
  </si>
  <si>
    <t>2020-07-26</t>
  </si>
  <si>
    <t>Michelle Arnold</t>
  </si>
  <si>
    <t>davisjennifer@flores.com</t>
  </si>
  <si>
    <t>001-881-649-9783x547</t>
  </si>
  <si>
    <t>2928 Mendoza Junctions, Gregorytown, MS 97960</t>
  </si>
  <si>
    <t>Alexander PLC</t>
  </si>
  <si>
    <t>1969-06-21</t>
  </si>
  <si>
    <t>Heather Williams</t>
  </si>
  <si>
    <t>dustinwilliams@roberts-smith.biz</t>
  </si>
  <si>
    <t>935-893-3733x72287</t>
  </si>
  <si>
    <t>4932 Ryan Parks Apt. 514, Richmondland, SD 89749</t>
  </si>
  <si>
    <t>Lewis, Stevens and Thornton</t>
  </si>
  <si>
    <t>1964-08-14</t>
  </si>
  <si>
    <t>Daniel Hanson</t>
  </si>
  <si>
    <t>jerryjuarez@yahoo.com</t>
  </si>
  <si>
    <t>(462)130-3610x73652</t>
  </si>
  <si>
    <t>80983 Audrey Islands, South Jeffreychester, RI 48679</t>
  </si>
  <si>
    <t>Wiggins, Roberts and Romero</t>
  </si>
  <si>
    <t>1988-10-06</t>
  </si>
  <si>
    <t>2018-04-13</t>
  </si>
  <si>
    <t>Kevin Kennedy</t>
  </si>
  <si>
    <t>mitchellbrian@gmail.com</t>
  </si>
  <si>
    <t>135-387-1364x37280</t>
  </si>
  <si>
    <t>050 Kramer Parkways Apt. 934, Harmonstad, GA 11172</t>
  </si>
  <si>
    <t>Russell-Bradley</t>
  </si>
  <si>
    <t>2000-01-07</t>
  </si>
  <si>
    <t>Joshua Johnson</t>
  </si>
  <si>
    <t>michael51@yahoo.com</t>
  </si>
  <si>
    <t>001-364-034-4179x0040</t>
  </si>
  <si>
    <t>9982 David Corner, Hughesview, MT 68371</t>
  </si>
  <si>
    <t>Stewart, Murphy and Brown</t>
  </si>
  <si>
    <t>1961-08-29</t>
  </si>
  <si>
    <t>2023-10-10</t>
  </si>
  <si>
    <t>Kristen Bell</t>
  </si>
  <si>
    <t>stanleyvincent@yahoo.com</t>
  </si>
  <si>
    <t>+1-035-514-6483x5043</t>
  </si>
  <si>
    <t>4492 Horton Row Suite 930, Jasonburgh, NH 46688</t>
  </si>
  <si>
    <t>Smith-Williams</t>
  </si>
  <si>
    <t>1983-12-09</t>
  </si>
  <si>
    <t>2022-10-08</t>
  </si>
  <si>
    <t>Jennifer Rowland</t>
  </si>
  <si>
    <t>kristisnow@yahoo.com</t>
  </si>
  <si>
    <t>001-499-054-1159</t>
  </si>
  <si>
    <t>USCGC Cline, FPO AP 97052</t>
  </si>
  <si>
    <t>Christian-King</t>
  </si>
  <si>
    <t>1977-08-10</t>
  </si>
  <si>
    <t>2020-01-14</t>
  </si>
  <si>
    <t>Jennifer Chase</t>
  </si>
  <si>
    <t>scottmendez@winters.info</t>
  </si>
  <si>
    <t>213-002-6095</t>
  </si>
  <si>
    <t>218 Austin Expressway Suite 163, Shahmouth, MA 48560</t>
  </si>
  <si>
    <t>Mullen-Webb</t>
  </si>
  <si>
    <t>2004-08-09</t>
  </si>
  <si>
    <t>Leah Mendoza</t>
  </si>
  <si>
    <t>miguelroman@hotmail.com</t>
  </si>
  <si>
    <t>001-986-901-7363x6372</t>
  </si>
  <si>
    <t>3997 Tammy Overpass, West Brandonton, AK 91357</t>
  </si>
  <si>
    <t>Beasley PLC</t>
  </si>
  <si>
    <t>1983-01-08</t>
  </si>
  <si>
    <t>Crystal Cain</t>
  </si>
  <si>
    <t>bsnow@blake-solomon.info</t>
  </si>
  <si>
    <t>538-690-7173x9134</t>
  </si>
  <si>
    <t>57111 Williams Estate Apt. 184, South Pedroview, NH 28726</t>
  </si>
  <si>
    <t>Bonilla-Melton</t>
  </si>
  <si>
    <t>1995-12-25</t>
  </si>
  <si>
    <t>Anthony Mullins</t>
  </si>
  <si>
    <t>josephblevins@owens-anderson.org</t>
  </si>
  <si>
    <t>(085)466-9770x35603</t>
  </si>
  <si>
    <t>581 Olsen Highway Apt. 313, Kennethhaven, RI 08835</t>
  </si>
  <si>
    <t>Guzman, Ray and Davies</t>
  </si>
  <si>
    <t>1969-03-28</t>
  </si>
  <si>
    <t>2018-10-05</t>
  </si>
  <si>
    <t>Frank Arias</t>
  </si>
  <si>
    <t>nicole54@robinson.com</t>
  </si>
  <si>
    <t>710-043-2179x6117</t>
  </si>
  <si>
    <t>4505 Lawrence Course Suite 842, New Martinton, DC 01625</t>
  </si>
  <si>
    <t>Myers-Gould</t>
  </si>
  <si>
    <t>1997-07-17</t>
  </si>
  <si>
    <t>2023-08-09</t>
  </si>
  <si>
    <t>Monica Garcia</t>
  </si>
  <si>
    <t>hansenjeremy@yahoo.com</t>
  </si>
  <si>
    <t>326.489.5390x552</t>
  </si>
  <si>
    <t>0462 Schmidt Rapid, West Patriciaville, DC 21691</t>
  </si>
  <si>
    <t>Richard, Potter and Valencia</t>
  </si>
  <si>
    <t>1962-07-11</t>
  </si>
  <si>
    <t>2022-06-24</t>
  </si>
  <si>
    <t>Edwin Park</t>
  </si>
  <si>
    <t>ncoleman@liu.org</t>
  </si>
  <si>
    <t>487-702-0737x27391</t>
  </si>
  <si>
    <t>6450 Alexandra Forge Apt. 044, Dunnfurt, VT 78758</t>
  </si>
  <si>
    <t>Sanchez, Cruz and Wells</t>
  </si>
  <si>
    <t>1979-01-29</t>
  </si>
  <si>
    <t>2018-11-02</t>
  </si>
  <si>
    <t>Rebecca Griffin</t>
  </si>
  <si>
    <t>johnsonlinda@hotmail.com</t>
  </si>
  <si>
    <t>(721)704-7585x69273</t>
  </si>
  <si>
    <t>02015 Clinton Station Suite 516, East Steve, OH 64203</t>
  </si>
  <si>
    <t>Cochran, Thompson and Caldwell</t>
  </si>
  <si>
    <t>1990-06-20</t>
  </si>
  <si>
    <t>2019-06-29</t>
  </si>
  <si>
    <t>John Potter</t>
  </si>
  <si>
    <t>zachary47@gmail.com</t>
  </si>
  <si>
    <t>+1-589-321-1655x9266</t>
  </si>
  <si>
    <t>2575 Joanna Summit Apt. 563, Gallaghertown, MS 18691</t>
  </si>
  <si>
    <t>Mendoza-Farmer</t>
  </si>
  <si>
    <t>2001-05-17</t>
  </si>
  <si>
    <t>Christopher Johnson</t>
  </si>
  <si>
    <t>robertabailey@warner-parks.com</t>
  </si>
  <si>
    <t>(895)913-0729x34608</t>
  </si>
  <si>
    <t>516 Cory Mews, South Marissashire, WY 86811</t>
  </si>
  <si>
    <t>Mccoy LLC</t>
  </si>
  <si>
    <t>1989-07-03</t>
  </si>
  <si>
    <t>2017-06-13</t>
  </si>
  <si>
    <t>Daniel Zimmerman</t>
  </si>
  <si>
    <t>linda05@osborne-levy.com</t>
  </si>
  <si>
    <t>(394)648-7484x98931</t>
  </si>
  <si>
    <t>256 Carrie Brook, Phillipfort, IL 41342</t>
  </si>
  <si>
    <t>Romero, Morris and Valencia</t>
  </si>
  <si>
    <t>1995-08-12</t>
  </si>
  <si>
    <t>David Campbell</t>
  </si>
  <si>
    <t>jane19@gmail.com</t>
  </si>
  <si>
    <t>423-441-4070</t>
  </si>
  <si>
    <t>PSC 0682, Box 7567, APO AA 72439</t>
  </si>
  <si>
    <t>1983-02-04</t>
  </si>
  <si>
    <t>2017-03-28</t>
  </si>
  <si>
    <t>James Robinson</t>
  </si>
  <si>
    <t>kelly52@yahoo.com</t>
  </si>
  <si>
    <t>(814)637-6303x4068</t>
  </si>
  <si>
    <t>880 Walsh Lodge, North Stevenville, NV 75261</t>
  </si>
  <si>
    <t>Media buyer</t>
  </si>
  <si>
    <t>Thompson, Carr and Cannon</t>
  </si>
  <si>
    <t>1966-11-04</t>
  </si>
  <si>
    <t>2015-08-02</t>
  </si>
  <si>
    <t>Aaron Todd</t>
  </si>
  <si>
    <t>smithtoni@payne.com</t>
  </si>
  <si>
    <t>330.595.5939x5107</t>
  </si>
  <si>
    <t>250 Sullivan Springs Suite 183, East Kylie, NV 40193</t>
  </si>
  <si>
    <t>Lopez-Melton</t>
  </si>
  <si>
    <t>1980-06-22</t>
  </si>
  <si>
    <t>2022-01-13</t>
  </si>
  <si>
    <t>Nicholas Jackson</t>
  </si>
  <si>
    <t>jessica72@morris.com</t>
  </si>
  <si>
    <t>(271)330-3396x56737</t>
  </si>
  <si>
    <t>93437 George Spring Apt. 691, New Danny, MS 42267</t>
  </si>
  <si>
    <t>Bush, Lawson and Sanchez</t>
  </si>
  <si>
    <t>1987-07-15</t>
  </si>
  <si>
    <t>2018-11-11</t>
  </si>
  <si>
    <t>Kathleen Waller</t>
  </si>
  <si>
    <t>clambert@schmidt.com</t>
  </si>
  <si>
    <t>+1-545-087-6625x993</t>
  </si>
  <si>
    <t>42260 Thompson Spur Suite 445, North Jennifershire, MI 03359</t>
  </si>
  <si>
    <t>Dunn-Hall</t>
  </si>
  <si>
    <t>2020-05-01</t>
  </si>
  <si>
    <t>Jeremy Rodriguez</t>
  </si>
  <si>
    <t>mcconnellthomas@barron.info</t>
  </si>
  <si>
    <t>+1-559-002-6031x51738</t>
  </si>
  <si>
    <t>93008 Hunt Branch Suite 348, Mariaton, IA 32249</t>
  </si>
  <si>
    <t>Graves-Taylor</t>
  </si>
  <si>
    <t>1976-12-10</t>
  </si>
  <si>
    <t>2021-04-10</t>
  </si>
  <si>
    <t>Monica Hogan</t>
  </si>
  <si>
    <t>chavezvalerie@juarez.net</t>
  </si>
  <si>
    <t>001-033-902-6331x25882</t>
  </si>
  <si>
    <t>04273 Burns Alley Apt. 246, Lake David, AZ 43205</t>
  </si>
  <si>
    <t>Romero-Sweeney</t>
  </si>
  <si>
    <t>2004-09-09</t>
  </si>
  <si>
    <t>2017-09-29</t>
  </si>
  <si>
    <t>Michael Ball</t>
  </si>
  <si>
    <t>amy38@hotmail.com</t>
  </si>
  <si>
    <t>+1-743-807-8922x73916</t>
  </si>
  <si>
    <t>3939 Monica Court, Lake Christopherburgh, PA 12921</t>
  </si>
  <si>
    <t>Nichols-Joseph</t>
  </si>
  <si>
    <t>1965-09-07</t>
  </si>
  <si>
    <t>2018-03-25</t>
  </si>
  <si>
    <t>David Fisher</t>
  </si>
  <si>
    <t>sblack@yahoo.com</t>
  </si>
  <si>
    <t>(206)724-3506</t>
  </si>
  <si>
    <t>463 Duarte Turnpike, Codyland, KS 24609</t>
  </si>
  <si>
    <t>Gilbert, House and Diaz</t>
  </si>
  <si>
    <t>1961-11-19</t>
  </si>
  <si>
    <t>2022-06-10</t>
  </si>
  <si>
    <t>Jennifer Gonzalez</t>
  </si>
  <si>
    <t>susan87@yahoo.com</t>
  </si>
  <si>
    <t>728.060.7112x19278</t>
  </si>
  <si>
    <t>796 Blair Causeway Suite 967, Port Gabrielabury, NC 30747</t>
  </si>
  <si>
    <t>Adkins, Carroll and Rodriguez</t>
  </si>
  <si>
    <t>2022-02-16</t>
  </si>
  <si>
    <t>Robert Hood</t>
  </si>
  <si>
    <t>april68@gmail.com</t>
  </si>
  <si>
    <t>(497)337-4999x0004</t>
  </si>
  <si>
    <t>91266 Powers Light Suite 832, New Nicholasfort, MN 96585</t>
  </si>
  <si>
    <t>Smith LLC</t>
  </si>
  <si>
    <t>1996-08-03</t>
  </si>
  <si>
    <t>2020-05-19</t>
  </si>
  <si>
    <t>Gary Phillips</t>
  </si>
  <si>
    <t>ivillarreal@gmail.com</t>
  </si>
  <si>
    <t>841.089.4062x72381</t>
  </si>
  <si>
    <t>69919 Daniel Valley, Wilsonview, NH 88932</t>
  </si>
  <si>
    <t>Wilson, Nguyen and Medina</t>
  </si>
  <si>
    <t>1963-11-17</t>
  </si>
  <si>
    <t>Kerry King</t>
  </si>
  <si>
    <t>ashlee94@blair.com</t>
  </si>
  <si>
    <t>(736)624-1073x33769</t>
  </si>
  <si>
    <t>132 James Points, Timothychester, MA 80731</t>
  </si>
  <si>
    <t>Ramos-Perez</t>
  </si>
  <si>
    <t>Mitchell Burns</t>
  </si>
  <si>
    <t>susanthomas@wyatt-mason.com</t>
  </si>
  <si>
    <t>958.199.6588x394</t>
  </si>
  <si>
    <t>17406 Carroll Orchard, Lake Amychester, ME 73965</t>
  </si>
  <si>
    <t>Harvey-Graham</t>
  </si>
  <si>
    <t>1997-06-11</t>
  </si>
  <si>
    <t>2020-12-24</t>
  </si>
  <si>
    <t>Jessica Hicks</t>
  </si>
  <si>
    <t>mary56@gmail.com</t>
  </si>
  <si>
    <t>(302)168-1631</t>
  </si>
  <si>
    <t>968 Mccormick Junction, Cooleytown, NM 75459</t>
  </si>
  <si>
    <t>Ramsey-Terrell</t>
  </si>
  <si>
    <t>1994-02-18</t>
  </si>
  <si>
    <t>2021-08-09</t>
  </si>
  <si>
    <t>Jason Kim</t>
  </si>
  <si>
    <t>martinezveronica@yahoo.com</t>
  </si>
  <si>
    <t>001-329-851-3908x40890</t>
  </si>
  <si>
    <t>91969 Dean Burgs Suite 308, South Christinaview, KS 14809</t>
  </si>
  <si>
    <t>Morris LLC</t>
  </si>
  <si>
    <t>1972-10-10</t>
  </si>
  <si>
    <t>Kathleen Clark</t>
  </si>
  <si>
    <t>larryobrien@henderson.com</t>
  </si>
  <si>
    <t>001-857-877-0060x4898</t>
  </si>
  <si>
    <t>384 Rachael Underpass, Charlesborough, MO 61816</t>
  </si>
  <si>
    <t>Martinez-Murphy</t>
  </si>
  <si>
    <t>2007-04-26</t>
  </si>
  <si>
    <t>2021-06-16</t>
  </si>
  <si>
    <t>Vicki Miller</t>
  </si>
  <si>
    <t>dana26@yahoo.com</t>
  </si>
  <si>
    <t>001-229-870-0945x787</t>
  </si>
  <si>
    <t>33445 Matthew Dam, East Kevinmouth, VT 71672</t>
  </si>
  <si>
    <t>Figueroa, Mays and Austin</t>
  </si>
  <si>
    <t>1976-12-30</t>
  </si>
  <si>
    <t>Jennifer Anderson</t>
  </si>
  <si>
    <t>ruiztimothy@yahoo.com</t>
  </si>
  <si>
    <t>405-087-1601</t>
  </si>
  <si>
    <t>91341 Thomas Corner, West Stephanie, OK 72129</t>
  </si>
  <si>
    <t>Wong-Wilson</t>
  </si>
  <si>
    <t>1998-05-29</t>
  </si>
  <si>
    <t>2017-04-29</t>
  </si>
  <si>
    <t>Joe Lewis</t>
  </si>
  <si>
    <t>mitchell12@yahoo.com</t>
  </si>
  <si>
    <t>001-970-931-6028x483</t>
  </si>
  <si>
    <t>3969 Nathan Lane, East Jennifer, NM 22774</t>
  </si>
  <si>
    <t>Cummings, Olson and Nelson</t>
  </si>
  <si>
    <t>1992-06-19</t>
  </si>
  <si>
    <t>Evelyn Gonzalez</t>
  </si>
  <si>
    <t>pcarter@hotmail.com</t>
  </si>
  <si>
    <t>+1-493-096-9025</t>
  </si>
  <si>
    <t>6135 Gibson Branch, Lewishaven, AK 33747</t>
  </si>
  <si>
    <t>Crawford, Lin and Johnson</t>
  </si>
  <si>
    <t>1968-03-06</t>
  </si>
  <si>
    <t>2017-02-06</t>
  </si>
  <si>
    <t>Martha Cook</t>
  </si>
  <si>
    <t>juanpetersen@gmail.com</t>
  </si>
  <si>
    <t>001-252-279-1615</t>
  </si>
  <si>
    <t>USS Glover, FPO AE 94751</t>
  </si>
  <si>
    <t>Hughes, Robertson and Price</t>
  </si>
  <si>
    <t>1977-10-11</t>
  </si>
  <si>
    <t>Samantha Rogers</t>
  </si>
  <si>
    <t>gary76@ball-schultz.biz</t>
  </si>
  <si>
    <t>001-046-159-6668x83459</t>
  </si>
  <si>
    <t>015 Gamble Mountains, Port Steven, NJ 27537</t>
  </si>
  <si>
    <t>Simon, Figueroa and Holder</t>
  </si>
  <si>
    <t>2017-03-25</t>
  </si>
  <si>
    <t>Michael Dominguez</t>
  </si>
  <si>
    <t>495-136-6263x804</t>
  </si>
  <si>
    <t>Unit 5687 Box 6269, DPO AE 49010</t>
  </si>
  <si>
    <t>1983-10-28</t>
  </si>
  <si>
    <t>2019-07-13</t>
  </si>
  <si>
    <t>Alejandro Morris</t>
  </si>
  <si>
    <t>williamrice@kane.com</t>
  </si>
  <si>
    <t>001-883-586-1468x631</t>
  </si>
  <si>
    <t>96094 John Cape Apt. 593, Hooverfurt, RI 43807</t>
  </si>
  <si>
    <t>Frederick, Blackwell and Lloyd</t>
  </si>
  <si>
    <t>1992-03-29</t>
  </si>
  <si>
    <t>2019-03-30</t>
  </si>
  <si>
    <t>Kristen Thompson</t>
  </si>
  <si>
    <t>erin69@yahoo.com</t>
  </si>
  <si>
    <t>980-475-8860</t>
  </si>
  <si>
    <t>39573 Weiss Ranch, Port Rebeccaborough, PA 48403</t>
  </si>
  <si>
    <t>Chavez, Blair and Daniels</t>
  </si>
  <si>
    <t>1963-11-05</t>
  </si>
  <si>
    <t>2016-02-22</t>
  </si>
  <si>
    <t>Shawn Moore</t>
  </si>
  <si>
    <t>kevin50@phillips.net</t>
  </si>
  <si>
    <t>(175)976-4048</t>
  </si>
  <si>
    <t>4873 Daniel Haven, West Elizabeth, ID 23432</t>
  </si>
  <si>
    <t>Fowler-Jenkins</t>
  </si>
  <si>
    <t>1995-07-13</t>
  </si>
  <si>
    <t>Michelle Wade</t>
  </si>
  <si>
    <t>hoffmancaitlin@gmail.com</t>
  </si>
  <si>
    <t>001-018-589-1089x49559</t>
  </si>
  <si>
    <t>87608 Amber Plains Apt. 282, New Christinafort, OH 55316</t>
  </si>
  <si>
    <t>Financial trader</t>
  </si>
  <si>
    <t>Moore-Harvey</t>
  </si>
  <si>
    <t>2002-10-23</t>
  </si>
  <si>
    <t>William Ferguson</t>
  </si>
  <si>
    <t>joycekimberly@taylor-cooley.org</t>
  </si>
  <si>
    <t>001-010-586-5370x76168</t>
  </si>
  <si>
    <t>9381 Richard Extension, Johnview, MA 37215</t>
  </si>
  <si>
    <t>Wilcox and Sons</t>
  </si>
  <si>
    <t>1966-05-31</t>
  </si>
  <si>
    <t>Carl Hernandez</t>
  </si>
  <si>
    <t>juliabenson@mcdaniel-munoz.com</t>
  </si>
  <si>
    <t>839-768-1778x34530</t>
  </si>
  <si>
    <t>8550 Joel Orchard Apt. 366, West Matthew, MA 87375</t>
  </si>
  <si>
    <t>Grant, Oliver and Jackson</t>
  </si>
  <si>
    <t>1976-04-18</t>
  </si>
  <si>
    <t>2024-05-08</t>
  </si>
  <si>
    <t>Stephen Hughes</t>
  </si>
  <si>
    <t>esanchez@gmail.com</t>
  </si>
  <si>
    <t>001-228-773-8200x927</t>
  </si>
  <si>
    <t>8713 Shelly Walk, Cassandramouth, PA 04185</t>
  </si>
  <si>
    <t>Lewis Group</t>
  </si>
  <si>
    <t>1977-06-17</t>
  </si>
  <si>
    <t>2021-06-27</t>
  </si>
  <si>
    <t>Kristine Nelson</t>
  </si>
  <si>
    <t>kaylarobinson@hotmail.com</t>
  </si>
  <si>
    <t>+1-015-798-8760x6364</t>
  </si>
  <si>
    <t>22500 Leach Fords, Jonesberg, IL 49032</t>
  </si>
  <si>
    <t>Molina PLC</t>
  </si>
  <si>
    <t>1961-01-25</t>
  </si>
  <si>
    <t>2023-05-14</t>
  </si>
  <si>
    <t>Lisa Mclaughlin</t>
  </si>
  <si>
    <t>youngkyle@lane-sharp.org</t>
  </si>
  <si>
    <t>1810302141</t>
  </si>
  <si>
    <t>612 Brown Parkways, East Shirleymouth, MO 21458</t>
  </si>
  <si>
    <t>Russell PLC</t>
  </si>
  <si>
    <t>1975-03-13</t>
  </si>
  <si>
    <t>Garrett Campbell</t>
  </si>
  <si>
    <t>bryantarthur@williams-meyer.com</t>
  </si>
  <si>
    <t>753-748-5512</t>
  </si>
  <si>
    <t>5602 Hoffman Pines Apt. 700, Sharpchester, MI 40397</t>
  </si>
  <si>
    <t>Morris and Sons</t>
  </si>
  <si>
    <t>1974-05-02</t>
  </si>
  <si>
    <t>Steven Vazquez</t>
  </si>
  <si>
    <t>adkinstony@bright.com</t>
  </si>
  <si>
    <t>+1-063-709-4809</t>
  </si>
  <si>
    <t>605 Travis Meadow, Adamsbury, AK 25444</t>
  </si>
  <si>
    <t>Perry-Mclean</t>
  </si>
  <si>
    <t>1988-03-04</t>
  </si>
  <si>
    <t>2024-09-02</t>
  </si>
  <si>
    <t>Christopher Washington</t>
  </si>
  <si>
    <t>bassjeremy@yahoo.com</t>
  </si>
  <si>
    <t>685.156.7556x85502</t>
  </si>
  <si>
    <t>3240 James Forge Suite 252, Michaelland, NM 30286</t>
  </si>
  <si>
    <t>Hawkins-Bates</t>
  </si>
  <si>
    <t>1995-04-17</t>
  </si>
  <si>
    <t>William Hawkins</t>
  </si>
  <si>
    <t>edward73@gmail.com</t>
  </si>
  <si>
    <t>673.439.3310x54729</t>
  </si>
  <si>
    <t>38950 Thomas Manor Apt. 783, Lake Williamberg, TX 60283</t>
  </si>
  <si>
    <t>Sanchez, Hill and Brock</t>
  </si>
  <si>
    <t>Crystal Stout</t>
  </si>
  <si>
    <t>brentyoung@lane.biz</t>
  </si>
  <si>
    <t>001-217-778-0081x10893</t>
  </si>
  <si>
    <t>990 Susan Locks Suite 965, West Ernestborough, FL 80545</t>
  </si>
  <si>
    <t>Hutchinson, Olson and Deleon</t>
  </si>
  <si>
    <t>1960-09-12</t>
  </si>
  <si>
    <t>2018-06-16</t>
  </si>
  <si>
    <t>Rodney Johnson</t>
  </si>
  <si>
    <t>russocatherine@gmail.com</t>
  </si>
  <si>
    <t>649.458.8307x29175</t>
  </si>
  <si>
    <t>135 Melissa Mountain Suite 545, Gutierrezside, NY 03143</t>
  </si>
  <si>
    <t>Kennedy-Valenzuela</t>
  </si>
  <si>
    <t>1994-03-10</t>
  </si>
  <si>
    <t>2016-07-18</t>
  </si>
  <si>
    <t>Teresa Rodriguez</t>
  </si>
  <si>
    <t>sandraruiz@yahoo.com</t>
  </si>
  <si>
    <t>+1-634-819-3226x92271</t>
  </si>
  <si>
    <t>838 Joshua Flats, Port Dannyport, OK 91381</t>
  </si>
  <si>
    <t>Fine artist</t>
  </si>
  <si>
    <t>Russell, Yates and Chambers</t>
  </si>
  <si>
    <t>1971-07-15</t>
  </si>
  <si>
    <t>2015-09-15</t>
  </si>
  <si>
    <t>qharris@yahoo.com</t>
  </si>
  <si>
    <t>+1-265-199-0278x6142</t>
  </si>
  <si>
    <t>36848 Raven Islands, New Kathleenfort, NM 77172</t>
  </si>
  <si>
    <t>Roberts LLC</t>
  </si>
  <si>
    <t>1977-12-01</t>
  </si>
  <si>
    <t>Jordan Martinez</t>
  </si>
  <si>
    <t>jasmine83@gmail.com</t>
  </si>
  <si>
    <t>001-117-631-6497x23763</t>
  </si>
  <si>
    <t>420 Laura Walks, Christopherhaven, NE 52213</t>
  </si>
  <si>
    <t>Lara Inc</t>
  </si>
  <si>
    <t>1988-05-06</t>
  </si>
  <si>
    <t>2023-01-24</t>
  </si>
  <si>
    <t>Sonia Barrera</t>
  </si>
  <si>
    <t>shawn00@simmons.com</t>
  </si>
  <si>
    <t>(144)789-7143x498</t>
  </si>
  <si>
    <t>557 Kaiser Mills Suite 854, South Melanie, OK 88681</t>
  </si>
  <si>
    <t>Odonnell Inc</t>
  </si>
  <si>
    <t>1975-10-09</t>
  </si>
  <si>
    <t>2018-10-11</t>
  </si>
  <si>
    <t>Alison Adams</t>
  </si>
  <si>
    <t>christopher06@roy.com</t>
  </si>
  <si>
    <t>(202)330-6741x81967</t>
  </si>
  <si>
    <t>54585 Rachel Ports, East Hollyville, NM 01751</t>
  </si>
  <si>
    <t>Research scientist (physical sciences)</t>
  </si>
  <si>
    <t>Diaz Ltd</t>
  </si>
  <si>
    <t>1976-12-05</t>
  </si>
  <si>
    <t>Donna May</t>
  </si>
  <si>
    <t>jamesmurphy@gmail.com</t>
  </si>
  <si>
    <t>+1-195-540-6934x439</t>
  </si>
  <si>
    <t>5603 Hess Expressway Apt. 727, Reneeview, AK 43224</t>
  </si>
  <si>
    <t>Wolfe-Marquez</t>
  </si>
  <si>
    <t>1988-03-10</t>
  </si>
  <si>
    <t>2018-10-04</t>
  </si>
  <si>
    <t>David Cooke</t>
  </si>
  <si>
    <t>johnsonadam@hotmail.com</t>
  </si>
  <si>
    <t>457-775-8441</t>
  </si>
  <si>
    <t>9191 Guerrero Plains Suite 335, South Janet, AR 03085</t>
  </si>
  <si>
    <t>Barnes and Sons</t>
  </si>
  <si>
    <t>2003-09-18</t>
  </si>
  <si>
    <t>2016-12-04</t>
  </si>
  <si>
    <t>Scott Strickland</t>
  </si>
  <si>
    <t>brandongordon@hotmail.com</t>
  </si>
  <si>
    <t>0298225792</t>
  </si>
  <si>
    <t>097 Kelly Highway Suite 266, Leefort, IA 81282</t>
  </si>
  <si>
    <t>1981-12-09</t>
  </si>
  <si>
    <t>2022-08-23</t>
  </si>
  <si>
    <t>Joshua Henderson</t>
  </si>
  <si>
    <t>tiffany36@yahoo.com</t>
  </si>
  <si>
    <t>(436)833-8407</t>
  </si>
  <si>
    <t>4209 Bryan Rapids, Hamiltonmouth, HI 20562</t>
  </si>
  <si>
    <t>2003-09-12</t>
  </si>
  <si>
    <t>2022-02-11</t>
  </si>
  <si>
    <t>Andrea Salas</t>
  </si>
  <si>
    <t>cbrown@martin-hall.org</t>
  </si>
  <si>
    <t>+1-174-248-0289x567</t>
  </si>
  <si>
    <t>80390 Valerie Plaza Suite 673, Mendozamouth, AK 35047</t>
  </si>
  <si>
    <t>1969-11-12</t>
  </si>
  <si>
    <t>2024-06-24</t>
  </si>
  <si>
    <t>John Smith</t>
  </si>
  <si>
    <t>hernandezpamela@atkins.com</t>
  </si>
  <si>
    <t>685-613-4371</t>
  </si>
  <si>
    <t>1689 Jones Street, South Danielport, NC 83893</t>
  </si>
  <si>
    <t>Hodge-Bruce</t>
  </si>
  <si>
    <t>1979-05-26</t>
  </si>
  <si>
    <t>Michael Rowland</t>
  </si>
  <si>
    <t>pthompson@hotmail.com</t>
  </si>
  <si>
    <t>2121702052</t>
  </si>
  <si>
    <t>194 Adam Mall, Nancyville, SC 71980</t>
  </si>
  <si>
    <t>Garza Ltd</t>
  </si>
  <si>
    <t>1972-02-05</t>
  </si>
  <si>
    <t>2017-02-15</t>
  </si>
  <si>
    <t>Lisa Olsen</t>
  </si>
  <si>
    <t>kellyarellano@gmail.com</t>
  </si>
  <si>
    <t>076.473.6896x728</t>
  </si>
  <si>
    <t>63602 Stewart Ways, New Claudia, CA 48668</t>
  </si>
  <si>
    <t>Mitchell-Carr</t>
  </si>
  <si>
    <t>1991-08-22</t>
  </si>
  <si>
    <t>2024-12-06</t>
  </si>
  <si>
    <t>Eric Haley</t>
  </si>
  <si>
    <t>ofernandez@velazquez-cline.com</t>
  </si>
  <si>
    <t>(550)520-3981</t>
  </si>
  <si>
    <t>6963 Mays Pike, Patrickstad, TX 17603</t>
  </si>
  <si>
    <t>Obrien-Steele</t>
  </si>
  <si>
    <t>2005-05-30</t>
  </si>
  <si>
    <t>Katherine Elliott</t>
  </si>
  <si>
    <t>armstrongdebbie@gallegos-lynn.com</t>
  </si>
  <si>
    <t>071-877-6079</t>
  </si>
  <si>
    <t>61834 Justin Flat, North Michaelside, UT 45484</t>
  </si>
  <si>
    <t>Johnson, Davis and Cunningham</t>
  </si>
  <si>
    <t>1971-08-01</t>
  </si>
  <si>
    <t>Brent Lee</t>
  </si>
  <si>
    <t>christopher39@hotmail.com</t>
  </si>
  <si>
    <t>(600)367-9680x656</t>
  </si>
  <si>
    <t>2001 Erica Street, North Danielborough, MI 52488</t>
  </si>
  <si>
    <t>Andrade-Holland</t>
  </si>
  <si>
    <t>1980-08-23</t>
  </si>
  <si>
    <t>Ashley Guerra</t>
  </si>
  <si>
    <t>evanskevin@martinez-clay.info</t>
  </si>
  <si>
    <t>+1-457-346-2106x43033</t>
  </si>
  <si>
    <t>6011 Barnes Place Apt. 919, Brendamouth, NY 07013</t>
  </si>
  <si>
    <t>Levy PLC</t>
  </si>
  <si>
    <t>1992-02-16</t>
  </si>
  <si>
    <t>2017-11-16</t>
  </si>
  <si>
    <t>James Rich</t>
  </si>
  <si>
    <t>graymary@gmail.com</t>
  </si>
  <si>
    <t>+1-074-822-6765x661</t>
  </si>
  <si>
    <t>19333 April Valleys Apt. 244, Hurstshire, MI 45759</t>
  </si>
  <si>
    <t>Kane Group</t>
  </si>
  <si>
    <t>1979-05-31</t>
  </si>
  <si>
    <t>2018-05-13</t>
  </si>
  <si>
    <t>Brian Leonard</t>
  </si>
  <si>
    <t>jamesbell@yahoo.com</t>
  </si>
  <si>
    <t>577.412.4559x4454</t>
  </si>
  <si>
    <t>78647 Sandra Ramp, Lake Brianmouth, AK 47532</t>
  </si>
  <si>
    <t>Teacher, adult education</t>
  </si>
  <si>
    <t>White, Baker and Cervantes</t>
  </si>
  <si>
    <t>1967-09-29</t>
  </si>
  <si>
    <t>2020-02-03</t>
  </si>
  <si>
    <t>Rodney Flores</t>
  </si>
  <si>
    <t>davidlowery@hotmail.com</t>
  </si>
  <si>
    <t>150.852.5076x550</t>
  </si>
  <si>
    <t>148 Mitchell Garden, Port Susanland, SC 52626</t>
  </si>
  <si>
    <t>Jones, Ward and Anderson</t>
  </si>
  <si>
    <t>2000-07-19</t>
  </si>
  <si>
    <t>2017-09-11</t>
  </si>
  <si>
    <t>Kurt Molina</t>
  </si>
  <si>
    <t>mhenry@oliver-martin.com</t>
  </si>
  <si>
    <t>(640)675-5404</t>
  </si>
  <si>
    <t>99947 Fields Club Suite 569, Christinafort, WI 25234</t>
  </si>
  <si>
    <t>IT trainer</t>
  </si>
  <si>
    <t>Price, Wright and Castillo</t>
  </si>
  <si>
    <t>1975-08-27</t>
  </si>
  <si>
    <t>2019-07-12</t>
  </si>
  <si>
    <t>Charles Thornton</t>
  </si>
  <si>
    <t>nryan@jones-strickland.com</t>
  </si>
  <si>
    <t>+1-836-632-9486x308</t>
  </si>
  <si>
    <t>503 Mitchell Cliffs, Castroton, AK 86499</t>
  </si>
  <si>
    <t>1962-01-15</t>
  </si>
  <si>
    <t>2021-12-17</t>
  </si>
  <si>
    <t>George Escobar</t>
  </si>
  <si>
    <t>gardneramanda@parker-thompson.com</t>
  </si>
  <si>
    <t>797.428.4224x0476</t>
  </si>
  <si>
    <t>0535 Young Row, West Harryville, GA 71001</t>
  </si>
  <si>
    <t>Miles Ltd</t>
  </si>
  <si>
    <t>2000-04-21</t>
  </si>
  <si>
    <t>2020-09-23</t>
  </si>
  <si>
    <t>Brent Smith</t>
  </si>
  <si>
    <t>gbrown@harris.info</t>
  </si>
  <si>
    <t>+1-675-299-0206x4918</t>
  </si>
  <si>
    <t>8534 Sabrina Circles, Lake Carriefort, CO 80786</t>
  </si>
  <si>
    <t>Clarke, Harper and Kidd</t>
  </si>
  <si>
    <t>1985-09-08</t>
  </si>
  <si>
    <t>2021-11-20</t>
  </si>
  <si>
    <t>Michael Reed</t>
  </si>
  <si>
    <t>andrew17@lewis-gonzalez.info</t>
  </si>
  <si>
    <t>455-860-2921</t>
  </si>
  <si>
    <t>78563 Ray Loop, Parkerview, ID 03005</t>
  </si>
  <si>
    <t>1980-11-17</t>
  </si>
  <si>
    <t>Michelle Solomon</t>
  </si>
  <si>
    <t>jonathantucker@hotmail.com</t>
  </si>
  <si>
    <t>527-232-2020</t>
  </si>
  <si>
    <t>96402 Bailey Ridge Suite 956, Markport, MT 37523</t>
  </si>
  <si>
    <t>Carr-Lara</t>
  </si>
  <si>
    <t>1988-07-10</t>
  </si>
  <si>
    <t>2024-09-11</t>
  </si>
  <si>
    <t>Carolyn Gonzalez</t>
  </si>
  <si>
    <t>ramirezsean@yahoo.com</t>
  </si>
  <si>
    <t>001-391-741-2613x545</t>
  </si>
  <si>
    <t>77203 Sandra Valley, East Barbara, WI 00936</t>
  </si>
  <si>
    <t>Martinez-Holder</t>
  </si>
  <si>
    <t>1993-02-09</t>
  </si>
  <si>
    <t>2022-08-11</t>
  </si>
  <si>
    <t>Roy Davis</t>
  </si>
  <si>
    <t>carteredward@hotmail.com</t>
  </si>
  <si>
    <t>(719)741-2387x41125</t>
  </si>
  <si>
    <t>0532 Allison Loaf, North Noahburgh, NE 92362</t>
  </si>
  <si>
    <t>1982-05-20</t>
  </si>
  <si>
    <t>2016-08-08</t>
  </si>
  <si>
    <t>James Blake</t>
  </si>
  <si>
    <t>smithdarrell@kennedy.com</t>
  </si>
  <si>
    <t>+1-809-503-7765x580</t>
  </si>
  <si>
    <t>7265 Doris Inlet, Kaylabury, MS 08204</t>
  </si>
  <si>
    <t>Hernandez, Lopez and Allen</t>
  </si>
  <si>
    <t>1967-09-19</t>
  </si>
  <si>
    <t>Dylan Reyes</t>
  </si>
  <si>
    <t>gbeltran@yahoo.com</t>
  </si>
  <si>
    <t>+1-009-725-4517x0439</t>
  </si>
  <si>
    <t>5434 Galloway Skyway Suite 736, Port Adamfort, AL 37700</t>
  </si>
  <si>
    <t>Spencer-Williams</t>
  </si>
  <si>
    <t>2018-11-23</t>
  </si>
  <si>
    <t>Raymond May</t>
  </si>
  <si>
    <t>christopher63@peters-cervantes.com</t>
  </si>
  <si>
    <t>001-639-695-4950x843</t>
  </si>
  <si>
    <t>05573 Karen Key Suite 165, Trevinoville, AZ 66023</t>
  </si>
  <si>
    <t>Ellis, Lewis and Wilson</t>
  </si>
  <si>
    <t>1963-08-10</t>
  </si>
  <si>
    <t>David Tate</t>
  </si>
  <si>
    <t>zgarcia@munoz.com</t>
  </si>
  <si>
    <t>718.245.4690x261</t>
  </si>
  <si>
    <t>9753 Ward Mount Apt. 311, Paigeview, MT 74930</t>
  </si>
  <si>
    <t>Kim PLC</t>
  </si>
  <si>
    <t>1998-07-03</t>
  </si>
  <si>
    <t>Jessica Ward</t>
  </si>
  <si>
    <t>nicoleriley@mcgee.biz</t>
  </si>
  <si>
    <t>(526)713-2836x662</t>
  </si>
  <si>
    <t>29153 Nguyen Street, Lindaberg, NC 04857</t>
  </si>
  <si>
    <t>Poole-Jenkins</t>
  </si>
  <si>
    <t>1970-10-12</t>
  </si>
  <si>
    <t>2024-11-17</t>
  </si>
  <si>
    <t>Yvonne Hernandez</t>
  </si>
  <si>
    <t>christine78@luna.org</t>
  </si>
  <si>
    <t>(533)226-1912</t>
  </si>
  <si>
    <t>886 Lopez Pass Suite 930, South Angelamouth, OH 19861</t>
  </si>
  <si>
    <t>Martinez, Tate and Parker</t>
  </si>
  <si>
    <t>2020-12-10</t>
  </si>
  <si>
    <t>Emily Larsen</t>
  </si>
  <si>
    <t>jimmyhudson@holland.com</t>
  </si>
  <si>
    <t>3385903724</t>
  </si>
  <si>
    <t>527 Walker Crossing Suite 351, Leeburgh, SD 02560</t>
  </si>
  <si>
    <t>Teacher, early years/pre</t>
  </si>
  <si>
    <t>Wilson, Lawson and Collins</t>
  </si>
  <si>
    <t>1972-03-23</t>
  </si>
  <si>
    <t>2017-10-06</t>
  </si>
  <si>
    <t>Clinton Jones</t>
  </si>
  <si>
    <t>nknight@atkins.biz</t>
  </si>
  <si>
    <t>372.120.3261</t>
  </si>
  <si>
    <t>999 Mary Avenue, Nancymouth, ID 09304</t>
  </si>
  <si>
    <t>Howard, Carroll and Foley</t>
  </si>
  <si>
    <t>1982-02-10</t>
  </si>
  <si>
    <t>2023-10-03</t>
  </si>
  <si>
    <t>Lauren Andersen</t>
  </si>
  <si>
    <t>huntsarah@hotmail.com</t>
  </si>
  <si>
    <t>828.283.0942x2380</t>
  </si>
  <si>
    <t>81519 Olivia Port, Port Alexander, AR 08861</t>
  </si>
  <si>
    <t>Thornton, Davis and Spencer</t>
  </si>
  <si>
    <t>1962-06-07</t>
  </si>
  <si>
    <t>Dylan Reynolds</t>
  </si>
  <si>
    <t>lberry@gmail.com</t>
  </si>
  <si>
    <t>851.511.1459</t>
  </si>
  <si>
    <t>PSC 6902, Box 1789, APO AP 50348</t>
  </si>
  <si>
    <t>Dawson-Santana</t>
  </si>
  <si>
    <t>1995-04-07</t>
  </si>
  <si>
    <t>2018-03-11</t>
  </si>
  <si>
    <t>Karen Taylor</t>
  </si>
  <si>
    <t>jacksonchristopher@yahoo.com</t>
  </si>
  <si>
    <t>320-234-5974</t>
  </si>
  <si>
    <t>15115 Michelle Mews Apt. 875, Pamelashire, MS 68664</t>
  </si>
  <si>
    <t>Costa Group</t>
  </si>
  <si>
    <t>1991-04-03</t>
  </si>
  <si>
    <t>Jason Powell</t>
  </si>
  <si>
    <t>julie17@gmail.com</t>
  </si>
  <si>
    <t>001-057-657-9523</t>
  </si>
  <si>
    <t>92981 Shirley River, Pattersonburgh, ND 40893</t>
  </si>
  <si>
    <t>George and Sons</t>
  </si>
  <si>
    <t>1980-02-20</t>
  </si>
  <si>
    <t>Mark Oconnell</t>
  </si>
  <si>
    <t>matthew13@gmail.com</t>
  </si>
  <si>
    <t>001-705-083-3211x347</t>
  </si>
  <si>
    <t>976 Heather Field Apt. 230, Rebeccamouth, TN 53346</t>
  </si>
  <si>
    <t>Todd Group</t>
  </si>
  <si>
    <t>1959-08-04</t>
  </si>
  <si>
    <t>2021-11-06</t>
  </si>
  <si>
    <t>Cassandra Wilson</t>
  </si>
  <si>
    <t>zvillanueva@kramer.com</t>
  </si>
  <si>
    <t>687.421.2623</t>
  </si>
  <si>
    <t>USS Perry, FPO AA 41935</t>
  </si>
  <si>
    <t>Klein, Davis and Thompson</t>
  </si>
  <si>
    <t>1978-09-22</t>
  </si>
  <si>
    <t>2023-10-06</t>
  </si>
  <si>
    <t>Vickie Ochoa</t>
  </si>
  <si>
    <t>stoutbecky@schroeder-rodriguez.info</t>
  </si>
  <si>
    <t>270.634.5859</t>
  </si>
  <si>
    <t>9970 Dawn Brook Apt. 909, Blackfurt, CO 96836</t>
  </si>
  <si>
    <t>Carr Group</t>
  </si>
  <si>
    <t>1982-06-17</t>
  </si>
  <si>
    <t>2017-04-08</t>
  </si>
  <si>
    <t>Ashley Joseph</t>
  </si>
  <si>
    <t>samanthacurtis@hotmail.com</t>
  </si>
  <si>
    <t>283.771.4686x84254</t>
  </si>
  <si>
    <t>168 Medina Village, South Chelseafort, NM 86082</t>
  </si>
  <si>
    <t>1979-01-02</t>
  </si>
  <si>
    <t>James Neal</t>
  </si>
  <si>
    <t>manningcory@gmail.com</t>
  </si>
  <si>
    <t>039-195-5962</t>
  </si>
  <si>
    <t>96645 Jennifer Ports Apt. 431, Port Michael, OR 80495</t>
  </si>
  <si>
    <t>Brooks LLC</t>
  </si>
  <si>
    <t>1989-07-05</t>
  </si>
  <si>
    <t>2018-09-19</t>
  </si>
  <si>
    <t>Kimberly Santana</t>
  </si>
  <si>
    <t>dawnscott@yahoo.com</t>
  </si>
  <si>
    <t>4624125414</t>
  </si>
  <si>
    <t>9804 Jeremiah Cape, Lake Jamieburgh, OR 37443</t>
  </si>
  <si>
    <t>Cameron, Shannon and Liu</t>
  </si>
  <si>
    <t>1981-04-26</t>
  </si>
  <si>
    <t>2018-11-12</t>
  </si>
  <si>
    <t>Jose Lambert</t>
  </si>
  <si>
    <t>owensbarbara@fernandez.com</t>
  </si>
  <si>
    <t>4400315858</t>
  </si>
  <si>
    <t>92105 Jennifer Dam, West Lindafurt, AZ 42231</t>
  </si>
  <si>
    <t>Morris-Moreno</t>
  </si>
  <si>
    <t>1976-07-25</t>
  </si>
  <si>
    <t>smithrichard@gmail.com</t>
  </si>
  <si>
    <t>481-747-9136x982</t>
  </si>
  <si>
    <t>29893 Everett Prairie Apt. 616, Stephanieberg, KS 96292</t>
  </si>
  <si>
    <t>Gonzalez LLC</t>
  </si>
  <si>
    <t>1982-12-09</t>
  </si>
  <si>
    <t>2021-08-06</t>
  </si>
  <si>
    <t>Laura Martin</t>
  </si>
  <si>
    <t>jacqueline83@gmail.com</t>
  </si>
  <si>
    <t>862.027.8903x34833</t>
  </si>
  <si>
    <t>PSC 2043, Box 8303, APO AP 27686</t>
  </si>
  <si>
    <t>Johnson, Holloway and Ingram</t>
  </si>
  <si>
    <t>1960-04-16</t>
  </si>
  <si>
    <t>Paul Smith</t>
  </si>
  <si>
    <t>meghandavis@warren.info</t>
  </si>
  <si>
    <t>(244)251-6391</t>
  </si>
  <si>
    <t>10749 Taylor Rapid Apt. 394, Caseyburgh, KY 19203</t>
  </si>
  <si>
    <t>Haynes-Parks</t>
  </si>
  <si>
    <t>1984-03-04</t>
  </si>
  <si>
    <t>2016-02-20</t>
  </si>
  <si>
    <t>Kristin Miller</t>
  </si>
  <si>
    <t>gardneralan@garcia-hahn.com</t>
  </si>
  <si>
    <t>194.880.8874x26901</t>
  </si>
  <si>
    <t>4038 Atkins Inlet, Barrettton, NJ 09073</t>
  </si>
  <si>
    <t>Riley, Smith and Gillespie</t>
  </si>
  <si>
    <t>1982-12-16</t>
  </si>
  <si>
    <t>2019-12-01</t>
  </si>
  <si>
    <t>Angela Lee</t>
  </si>
  <si>
    <t>andrew94@olson-alexander.org</t>
  </si>
  <si>
    <t>297-820-9104x8629</t>
  </si>
  <si>
    <t>4534 Tanner Pines Apt. 431, New Benjaminton, AK 55727</t>
  </si>
  <si>
    <t>Farley LLC</t>
  </si>
  <si>
    <t>1995-09-21</t>
  </si>
  <si>
    <t>Richard Mcdaniel</t>
  </si>
  <si>
    <t>denise05@hotmail.com</t>
  </si>
  <si>
    <t>675-518-4698x462</t>
  </si>
  <si>
    <t>USNV Acosta, FPO AA 50627</t>
  </si>
  <si>
    <t>Wade-Russell</t>
  </si>
  <si>
    <t>1993-11-14</t>
  </si>
  <si>
    <t>2022-03-07</t>
  </si>
  <si>
    <t>Lori Castillo</t>
  </si>
  <si>
    <t>masseycolleen@hotmail.com</t>
  </si>
  <si>
    <t>(597)060-7615</t>
  </si>
  <si>
    <t>565 Hensley Street, Morenohaven, SC 93683</t>
  </si>
  <si>
    <t>Hydrographic surveyor</t>
  </si>
  <si>
    <t>Duffy-Myers</t>
  </si>
  <si>
    <t>1977-02-05</t>
  </si>
  <si>
    <t>Steven Vega</t>
  </si>
  <si>
    <t>nparker@burns.biz</t>
  </si>
  <si>
    <t>001-545-9426</t>
  </si>
  <si>
    <t>045 Mary Fall, West Michael, NC 84803</t>
  </si>
  <si>
    <t>Watson-Webb</t>
  </si>
  <si>
    <t>2022-05-01</t>
  </si>
  <si>
    <t>Jennifer Johnson</t>
  </si>
  <si>
    <t>garrettdiaz@yahoo.com</t>
  </si>
  <si>
    <t>770.083.2681x903</t>
  </si>
  <si>
    <t>01284 Michael Ports, New Samanthahaven, FL 85568</t>
  </si>
  <si>
    <t>Hampton, Phillips and Garcia</t>
  </si>
  <si>
    <t>1990-02-25</t>
  </si>
  <si>
    <t>Ashley Shaw</t>
  </si>
  <si>
    <t>phoward@tran-allen.com</t>
  </si>
  <si>
    <t>001-013-333-6146x5116</t>
  </si>
  <si>
    <t>585 Taylor Hills Suite 423, Port Angela, OR 56861</t>
  </si>
  <si>
    <t>Robinson-Nguyen</t>
  </si>
  <si>
    <t>1980-02-10</t>
  </si>
  <si>
    <t>2022-10-19</t>
  </si>
  <si>
    <t>Wayne Holmes</t>
  </si>
  <si>
    <t>richardshelly@barry-pearson.com</t>
  </si>
  <si>
    <t>001-157-204-6585x812</t>
  </si>
  <si>
    <t>9948 Hayes Knolls, Allenville, IN 18940</t>
  </si>
  <si>
    <t>Thomas-Flores</t>
  </si>
  <si>
    <t>1979-02-28</t>
  </si>
  <si>
    <t>Jeremy Byrd</t>
  </si>
  <si>
    <t>brownmatthew@yahoo.com</t>
  </si>
  <si>
    <t>467.455.5496</t>
  </si>
  <si>
    <t>6913 Ford Mission Suite 518, New Sharon, TX 34491</t>
  </si>
  <si>
    <t>Merchandiser, retail</t>
  </si>
  <si>
    <t>Miller-Byrd</t>
  </si>
  <si>
    <t>1967-04-08</t>
  </si>
  <si>
    <t>Gary Coleman</t>
  </si>
  <si>
    <t>nkim@ali.com</t>
  </si>
  <si>
    <t>+1-965-890-8959x8415</t>
  </si>
  <si>
    <t>0476 Leslie Parkways, New Darrellmouth, MI 80190</t>
  </si>
  <si>
    <t>Rivera, Clark and Lee</t>
  </si>
  <si>
    <t>1983-05-26</t>
  </si>
  <si>
    <t>James Harris</t>
  </si>
  <si>
    <t>plopez@garcia-ellis.org</t>
  </si>
  <si>
    <t>591.533.2089x556</t>
  </si>
  <si>
    <t>041 Dunn Locks Suite 299, Smithmouth, WV 03593</t>
  </si>
  <si>
    <t>Banks, Smith and Montes</t>
  </si>
  <si>
    <t>1964-11-08</t>
  </si>
  <si>
    <t>2025-06-02</t>
  </si>
  <si>
    <t>Danielle Rodriguez</t>
  </si>
  <si>
    <t>wilsonrichard@hotmail.com</t>
  </si>
  <si>
    <t>+1-876-853-0501x2116</t>
  </si>
  <si>
    <t>909 Jordan Estate Apt. 101, Gordonchester, CA 88669</t>
  </si>
  <si>
    <t>Wright-Moss</t>
  </si>
  <si>
    <t>2003-08-15</t>
  </si>
  <si>
    <t>Monica Hendrix</t>
  </si>
  <si>
    <t>tfrazier@harris.com</t>
  </si>
  <si>
    <t>681-127-5713x012</t>
  </si>
  <si>
    <t>02330 Adam Point Suite 981, Lopezhaven, IL 38747</t>
  </si>
  <si>
    <t>Valenzuela-Simpson</t>
  </si>
  <si>
    <t>1979-07-09</t>
  </si>
  <si>
    <t>2024-07-10</t>
  </si>
  <si>
    <t>Paula Hill</t>
  </si>
  <si>
    <t>allendana@hotmail.com</t>
  </si>
  <si>
    <t>070.324.6828</t>
  </si>
  <si>
    <t>2369 Green Fork, Gibsonfurt, AK 21617</t>
  </si>
  <si>
    <t>Commercial art gallery manager</t>
  </si>
  <si>
    <t>Rodriguez LLC</t>
  </si>
  <si>
    <t>1994-11-03</t>
  </si>
  <si>
    <t>2022-08-05</t>
  </si>
  <si>
    <t>Benjamin Owens</t>
  </si>
  <si>
    <t>chandlerjoseph@holder.biz</t>
  </si>
  <si>
    <t>001-817-372-9048x419</t>
  </si>
  <si>
    <t>0133 Woods Cliffs, Heberthaven, WI 22928</t>
  </si>
  <si>
    <t>Interior and spatial designer</t>
  </si>
  <si>
    <t>Sosa, Woods and Wright</t>
  </si>
  <si>
    <t>Dale Lee</t>
  </si>
  <si>
    <t>echase@mitchell.net</t>
  </si>
  <si>
    <t>(792)267-5232</t>
  </si>
  <si>
    <t>07285 Garrett Underpass Suite 557, Jenniferland, LA 92606</t>
  </si>
  <si>
    <t>Baker, Solis and Moran</t>
  </si>
  <si>
    <t>1984-12-06</t>
  </si>
  <si>
    <t>John Bell</t>
  </si>
  <si>
    <t>hcardenas@gmail.com</t>
  </si>
  <si>
    <t>001-115-434-3786x25889</t>
  </si>
  <si>
    <t>PSC 5245, Box 8141, APO AA 45107</t>
  </si>
  <si>
    <t>1961-03-01</t>
  </si>
  <si>
    <t>David Wyatt</t>
  </si>
  <si>
    <t>howedaniel@pham.com</t>
  </si>
  <si>
    <t>582-981-9818x45777</t>
  </si>
  <si>
    <t>0295 Carlson Corners Suite 028, Richardsonchester, NJ 96590</t>
  </si>
  <si>
    <t>Reed, Welch and Fox</t>
  </si>
  <si>
    <t>1964-12-28</t>
  </si>
  <si>
    <t>2021-07-25</t>
  </si>
  <si>
    <t>simmonspaul@hotmail.com</t>
  </si>
  <si>
    <t>001-174-049-8356</t>
  </si>
  <si>
    <t>50552 Brewer Motorway, South Monicafort, MT 88575</t>
  </si>
  <si>
    <t>Atkins Group</t>
  </si>
  <si>
    <t>1980-03-04</t>
  </si>
  <si>
    <t>2021-07-21</t>
  </si>
  <si>
    <t>Nancy Schultz</t>
  </si>
  <si>
    <t>johnfuller@williams-paul.biz</t>
  </si>
  <si>
    <t>001-334-189-0455x715</t>
  </si>
  <si>
    <t>712 Bishop Ville Suite 429, East Heidishire, CA 06680</t>
  </si>
  <si>
    <t>Davis, Pollard and Pennington</t>
  </si>
  <si>
    <t>1960-03-24</t>
  </si>
  <si>
    <t>2019-05-11</t>
  </si>
  <si>
    <t>Cameron Schwartz</t>
  </si>
  <si>
    <t>fwhitaker@gmail.com</t>
  </si>
  <si>
    <t>001-164-464-8003x11716</t>
  </si>
  <si>
    <t>223 Sullivan Cove, South Jacob, HI 93751</t>
  </si>
  <si>
    <t>Turner, Brock and Brown</t>
  </si>
  <si>
    <t>1978-06-09</t>
  </si>
  <si>
    <t>2023-01-22</t>
  </si>
  <si>
    <t>Theresa Baxter</t>
  </si>
  <si>
    <t>hollowaykyle@duke.com</t>
  </si>
  <si>
    <t>001-176-901-2610</t>
  </si>
  <si>
    <t>965 Kathryn Hollow, Joycechester, OK 60313</t>
  </si>
  <si>
    <t>1972-09-14</t>
  </si>
  <si>
    <t>2024-11-25</t>
  </si>
  <si>
    <t>Michael Miller</t>
  </si>
  <si>
    <t>richardpowell@yahoo.com</t>
  </si>
  <si>
    <t>+1-267-794-5593x87354</t>
  </si>
  <si>
    <t>61493 Amy Lane Suite 509, Sotoburgh, MS 19940</t>
  </si>
  <si>
    <t>Hall-Matthews</t>
  </si>
  <si>
    <t>2006-11-24</t>
  </si>
  <si>
    <t>nicolewilkins@yahoo.com</t>
  </si>
  <si>
    <t>135.591.9943</t>
  </si>
  <si>
    <t>361 Fowler Parkway, Hendricksstad, AZ 79197</t>
  </si>
  <si>
    <t>Hill-Torres</t>
  </si>
  <si>
    <t>1966-04-11</t>
  </si>
  <si>
    <t>Nicholas James</t>
  </si>
  <si>
    <t>elizabeth98@mann.com</t>
  </si>
  <si>
    <t>001-049-464-9640x05914</t>
  </si>
  <si>
    <t>16922 Deborah Ville, Kathyshire, NV 63031</t>
  </si>
  <si>
    <t>Valentine Group</t>
  </si>
  <si>
    <t>2002-03-07</t>
  </si>
  <si>
    <t>2018-07-03</t>
  </si>
  <si>
    <t>Michael Edwards</t>
  </si>
  <si>
    <t>nharris@yahoo.com</t>
  </si>
  <si>
    <t>617.890.2343x1290</t>
  </si>
  <si>
    <t>8288 Williams Valley, East Brandontown, MT 72935</t>
  </si>
  <si>
    <t>Harper, Garcia and Wade</t>
  </si>
  <si>
    <t>1989-10-29</t>
  </si>
  <si>
    <t>2025-06-09</t>
  </si>
  <si>
    <t>Derrick Brooks</t>
  </si>
  <si>
    <t>davidboyle@hotmail.com</t>
  </si>
  <si>
    <t>196.867.1047x526</t>
  </si>
  <si>
    <t>60675 Richardson River Apt. 749, Port Christineport, WA 39768</t>
  </si>
  <si>
    <t>Hanson-Mills</t>
  </si>
  <si>
    <t>Jordan Walton</t>
  </si>
  <si>
    <t>emilymccarty@hotmail.com</t>
  </si>
  <si>
    <t>909-749-3332x95081</t>
  </si>
  <si>
    <t>8861 Campbell Turnpike, East James, IA 89724</t>
  </si>
  <si>
    <t>Gomez-Duarte</t>
  </si>
  <si>
    <t>2002-10-16</t>
  </si>
  <si>
    <t>2024-03-07</t>
  </si>
  <si>
    <t>Jessica Wallace</t>
  </si>
  <si>
    <t>kevinmann@gmail.com</t>
  </si>
  <si>
    <t>+1-780-314-2408x4371</t>
  </si>
  <si>
    <t>4965 Robin Summit Apt. 349, Lake Sarah, TN 44858</t>
  </si>
  <si>
    <t>Ward, Combs and Lopez</t>
  </si>
  <si>
    <t>2005-08-16</t>
  </si>
  <si>
    <t>Teresa Brown</t>
  </si>
  <si>
    <t>thomaslisa@hotmail.com</t>
  </si>
  <si>
    <t>(214)926-7752x20322</t>
  </si>
  <si>
    <t>93398 Michelle Station, East Ashleyburgh, PA 24415</t>
  </si>
  <si>
    <t>Duke, Williams and Berger</t>
  </si>
  <si>
    <t>1980-06-07</t>
  </si>
  <si>
    <t>Rachael Green</t>
  </si>
  <si>
    <t>jesus56@yahoo.com</t>
  </si>
  <si>
    <t>+1-103-750-2343x21629</t>
  </si>
  <si>
    <t>772 Justin Stream Suite 089, Pattersonstad, AL 28722</t>
  </si>
  <si>
    <t>Lindsey, Johnson and Villanueva</t>
  </si>
  <si>
    <t>1961-03-04</t>
  </si>
  <si>
    <t>2015-11-26</t>
  </si>
  <si>
    <t>Jacob Blackwell</t>
  </si>
  <si>
    <t>cameronshaffer@gmail.com</t>
  </si>
  <si>
    <t>(242)849-6136x5552</t>
  </si>
  <si>
    <t>3866 Steven Lodge Apt. 162, Port Reneeview, IA 53234</t>
  </si>
  <si>
    <t>Wang LLC</t>
  </si>
  <si>
    <t>2000-12-30</t>
  </si>
  <si>
    <t>2021-06-15</t>
  </si>
  <si>
    <t>Kerry Gomez</t>
  </si>
  <si>
    <t>victoria26@rosario-nelson.org</t>
  </si>
  <si>
    <t>001-442-272-3842x6700</t>
  </si>
  <si>
    <t>27785 Carpenter Lodge, North Sabrina, VT 34976</t>
  </si>
  <si>
    <t>Chapman and Sons</t>
  </si>
  <si>
    <t>2004-04-12</t>
  </si>
  <si>
    <t>Kevin Henderson</t>
  </si>
  <si>
    <t>rhondaedwards@yahoo.com</t>
  </si>
  <si>
    <t>009-759-7590</t>
  </si>
  <si>
    <t>6899 Miller Rest, North Amyfurt, CA 60749</t>
  </si>
  <si>
    <t>1959-09-13</t>
  </si>
  <si>
    <t>2019-08-30</t>
  </si>
  <si>
    <t>Victoria Carter</t>
  </si>
  <si>
    <t>fthornton@gmail.com</t>
  </si>
  <si>
    <t>741-758-9099</t>
  </si>
  <si>
    <t>1950 Dustin Crossing Apt. 337, Ashleyborough, RI 08360</t>
  </si>
  <si>
    <t>Kim Ltd</t>
  </si>
  <si>
    <t>1974-08-14</t>
  </si>
  <si>
    <t>James Andrews</t>
  </si>
  <si>
    <t>danielthompson@kane.com</t>
  </si>
  <si>
    <t>(465)915-4066</t>
  </si>
  <si>
    <t>30166 Morrison Row Apt. 584, Adamborough, ME 70281</t>
  </si>
  <si>
    <t>Baker-Duncan</t>
  </si>
  <si>
    <t>1976-06-20</t>
  </si>
  <si>
    <t>2024-02-16</t>
  </si>
  <si>
    <t>Debra Anderson</t>
  </si>
  <si>
    <t>kimdaniel@ortiz-sawyer.org</t>
  </si>
  <si>
    <t>001-914-955-8488x14462</t>
  </si>
  <si>
    <t>6787 Kaufman Run Suite 760, Wattsfurt, CT 80094</t>
  </si>
  <si>
    <t>Moody Group</t>
  </si>
  <si>
    <t>2020-04-06</t>
  </si>
  <si>
    <t>Stephanie Brandt</t>
  </si>
  <si>
    <t>dkey@boyle.com</t>
  </si>
  <si>
    <t>(217)319-3375x2654</t>
  </si>
  <si>
    <t>USS Dean, FPO AE 96382</t>
  </si>
  <si>
    <t>Sanchez Inc</t>
  </si>
  <si>
    <t>1990-03-07</t>
  </si>
  <si>
    <t>2018-02-16</t>
  </si>
  <si>
    <t>Victor Summers</t>
  </si>
  <si>
    <t>bookerlaura@white-phelps.com</t>
  </si>
  <si>
    <t>973-049-4676</t>
  </si>
  <si>
    <t>11501 Ryan Square Suite 201, Lake Melanie, MS 13396</t>
  </si>
  <si>
    <t>Engineer, land</t>
  </si>
  <si>
    <t>Blevins, Walters and King</t>
  </si>
  <si>
    <t>2007-05-27</t>
  </si>
  <si>
    <t>Andrew Jacobson</t>
  </si>
  <si>
    <t>thomas70@avila.com</t>
  </si>
  <si>
    <t>753-232-3144x331</t>
  </si>
  <si>
    <t>78153 Alyssa Isle Apt. 705, Stacyland, GA 64421</t>
  </si>
  <si>
    <t>Carson, Taylor and Rodriguez</t>
  </si>
  <si>
    <t>1988-06-22</t>
  </si>
  <si>
    <t>Sarah Wilson</t>
  </si>
  <si>
    <t>corey00@harmon-hammond.info</t>
  </si>
  <si>
    <t>3299780014</t>
  </si>
  <si>
    <t>58368 Powell Rest, New Elaineberg, DE 98221</t>
  </si>
  <si>
    <t>1972-11-27</t>
  </si>
  <si>
    <t>2021-10-13</t>
  </si>
  <si>
    <t>Mr. Timothy Wyatt</t>
  </si>
  <si>
    <t>charlesalexander@miller.com</t>
  </si>
  <si>
    <t>174-739-3201x108</t>
  </si>
  <si>
    <t>95043 Bryan Vista Apt. 515, Jamesmouth, IA 76009</t>
  </si>
  <si>
    <t>Pierce Group</t>
  </si>
  <si>
    <t>1973-11-18</t>
  </si>
  <si>
    <t>Wayne Jones</t>
  </si>
  <si>
    <t>mbrown@mitchell-mills.com</t>
  </si>
  <si>
    <t>5658873772</t>
  </si>
  <si>
    <t>234 Cynthia Orchard Suite 658, Lake Juliamouth, DC 22549</t>
  </si>
  <si>
    <t>Kennedy and Sons</t>
  </si>
  <si>
    <t>1991-07-07</t>
  </si>
  <si>
    <t>2021-12-15</t>
  </si>
  <si>
    <t>Taylor Bennett</t>
  </si>
  <si>
    <t>alexis74@yahoo.com</t>
  </si>
  <si>
    <t>+1-139-372-7004x36391</t>
  </si>
  <si>
    <t>822 Morris Common, East Nicolas, ME 22573</t>
  </si>
  <si>
    <t>Campbell-Walker</t>
  </si>
  <si>
    <t>2004-11-25</t>
  </si>
  <si>
    <t>2020-06-23</t>
  </si>
  <si>
    <t>Bradley Reyes</t>
  </si>
  <si>
    <t>alangarrett@gmail.com</t>
  </si>
  <si>
    <t>(662)774-8606x0179</t>
  </si>
  <si>
    <t>98972 Heather Mill, Christophermouth, OH 83592</t>
  </si>
  <si>
    <t>Clark-Fitzpatrick</t>
  </si>
  <si>
    <t>2006-04-03</t>
  </si>
  <si>
    <t>2023-07-16</t>
  </si>
  <si>
    <t>Emily West</t>
  </si>
  <si>
    <t>dpowell@yahoo.com</t>
  </si>
  <si>
    <t>337-168-4685x113</t>
  </si>
  <si>
    <t>195 Amanda Ridges Suite 206, Jodihaven, IL 00889</t>
  </si>
  <si>
    <t>Perkins, Miller and Woods</t>
  </si>
  <si>
    <t>1993-01-28</t>
  </si>
  <si>
    <t>2019-08-27</t>
  </si>
  <si>
    <t>Anita Brown</t>
  </si>
  <si>
    <t>renee94@gmail.com</t>
  </si>
  <si>
    <t>+1-198-857-2175x7176</t>
  </si>
  <si>
    <t>3018 Stacey Ports Apt. 938, Andersonmouth, IA 70641</t>
  </si>
  <si>
    <t>Lopez, Castro and Lang</t>
  </si>
  <si>
    <t>2002-12-17</t>
  </si>
  <si>
    <t>2024-01-28</t>
  </si>
  <si>
    <t>Brian Scott</t>
  </si>
  <si>
    <t>paigeschmidt@stuart.com</t>
  </si>
  <si>
    <t>(313)426-0370x2639</t>
  </si>
  <si>
    <t>7015 Hernandez Flat Suite 957, South Nicole, AK 49893</t>
  </si>
  <si>
    <t>Meyer, Larson and Clark</t>
  </si>
  <si>
    <t>1965-12-24</t>
  </si>
  <si>
    <t>Brandon Olson</t>
  </si>
  <si>
    <t>charlessmith@hotmail.com</t>
  </si>
  <si>
    <t>700-451-2841x1790</t>
  </si>
  <si>
    <t>203 Burton Loop Suite 521, Vincentville, GA 68349</t>
  </si>
  <si>
    <t>Watts, Joseph and Johnson</t>
  </si>
  <si>
    <t>1982-12-01</t>
  </si>
  <si>
    <t>Alexander Mendez</t>
  </si>
  <si>
    <t>cjimenez@hotmail.com</t>
  </si>
  <si>
    <t>+1-247-948-8558</t>
  </si>
  <si>
    <t>69385 Laura Manors, West Ronaldshire, NE 00534</t>
  </si>
  <si>
    <t>Barnes, Martinez and Roberts</t>
  </si>
  <si>
    <t>2002-07-10</t>
  </si>
  <si>
    <t>2016-04-26</t>
  </si>
  <si>
    <t>Juan Parrish</t>
  </si>
  <si>
    <t>robertcampos@hotmail.com</t>
  </si>
  <si>
    <t>001-765-550-5714x92825</t>
  </si>
  <si>
    <t>14379 Bell Light, Port Danielview, NJ 35235</t>
  </si>
  <si>
    <t>Bradford LLC</t>
  </si>
  <si>
    <t>1962-11-13</t>
  </si>
  <si>
    <t>John Morse</t>
  </si>
  <si>
    <t>michaelmiller@gmail.com</t>
  </si>
  <si>
    <t>001-012-548-3595x82061</t>
  </si>
  <si>
    <t>Unit 4236 Box 6695, DPO AP 56049</t>
  </si>
  <si>
    <t>Dickson, Krause and Park</t>
  </si>
  <si>
    <t>1998-11-15</t>
  </si>
  <si>
    <t>Melinda Hernandez</t>
  </si>
  <si>
    <t>kimberlyrobinson@gmail.com</t>
  </si>
  <si>
    <t>+1-394-997-4294</t>
  </si>
  <si>
    <t>297 Stone Ranch, Youngstad, MS 75933</t>
  </si>
  <si>
    <t>Oliver, Kelley and Jackson</t>
  </si>
  <si>
    <t>1993-05-04</t>
  </si>
  <si>
    <t>2019-01-18</t>
  </si>
  <si>
    <t>Alicia Stuart</t>
  </si>
  <si>
    <t>ericacox@harrison.com</t>
  </si>
  <si>
    <t>(980)983-2664</t>
  </si>
  <si>
    <t>35428 Davis Fields Apt. 596, South Davidfort, KS 39711</t>
  </si>
  <si>
    <t>Short, Reed and Lee</t>
  </si>
  <si>
    <t>1976-07-14</t>
  </si>
  <si>
    <t>Kevin Hicks</t>
  </si>
  <si>
    <t>qwalker@gmail.com</t>
  </si>
  <si>
    <t>(203)566-3241x46776</t>
  </si>
  <si>
    <t>037 Sutton Neck Suite 895, Carlosborough, ME 88772</t>
  </si>
  <si>
    <t>Smith, Odonnell and Rivera</t>
  </si>
  <si>
    <t>1990-03-10</t>
  </si>
  <si>
    <t>James Collins</t>
  </si>
  <si>
    <t>zmora@lane-patel.info</t>
  </si>
  <si>
    <t>001-562-966-6917x30051</t>
  </si>
  <si>
    <t>11469 Kyle Rue Apt. 793, Steventon, KS 80164</t>
  </si>
  <si>
    <t>Hicks-King</t>
  </si>
  <si>
    <t>1991-03-09</t>
  </si>
  <si>
    <t>Jason Marshall</t>
  </si>
  <si>
    <t>earlfrey@hotmail.com</t>
  </si>
  <si>
    <t>001-934-935-7010x947</t>
  </si>
  <si>
    <t>73095 Williams Ways Apt. 538, Campbellmouth, DE 74594</t>
  </si>
  <si>
    <t>Lee-Graham</t>
  </si>
  <si>
    <t>1961-12-12</t>
  </si>
  <si>
    <t>Lisa Wilson</t>
  </si>
  <si>
    <t>henry07@reynolds.com</t>
  </si>
  <si>
    <t>001-216-218-2385x52812</t>
  </si>
  <si>
    <t>07785 Kenneth Walk Apt. 073, Jonesstad, MD 52437</t>
  </si>
  <si>
    <t>Simmons and Sons</t>
  </si>
  <si>
    <t>Kelly Thompson</t>
  </si>
  <si>
    <t>welchjamie@gmail.com</t>
  </si>
  <si>
    <t>(758)019-5746x1992</t>
  </si>
  <si>
    <t>843 Andrade Islands Suite 442, North Jayborough, ID 52168</t>
  </si>
  <si>
    <t>Gill, Branch and Mcgee</t>
  </si>
  <si>
    <t>1988-09-27</t>
  </si>
  <si>
    <t>2017-04-27</t>
  </si>
  <si>
    <t>Robin Foster</t>
  </si>
  <si>
    <t>murphychristopher@duncan.biz</t>
  </si>
  <si>
    <t>989-678-9073x5326</t>
  </si>
  <si>
    <t>USS Gonzales, FPO AP 11488</t>
  </si>
  <si>
    <t>King LLC</t>
  </si>
  <si>
    <t>2022-05-04</t>
  </si>
  <si>
    <t>Wesley Santiago</t>
  </si>
  <si>
    <t>stephanieforbes@lopez.com</t>
  </si>
  <si>
    <t>+1-270-621-7626x4820</t>
  </si>
  <si>
    <t>0347 William Glens Apt. 948, East Keithfort, IA 34737</t>
  </si>
  <si>
    <t>Haney, Lewis and Logan</t>
  </si>
  <si>
    <t>2003-09-11</t>
  </si>
  <si>
    <t>2020-01-28</t>
  </si>
  <si>
    <t>Paul Gallegos</t>
  </si>
  <si>
    <t>barnettjessica@yahoo.com</t>
  </si>
  <si>
    <t>001-629-136-4627x95754</t>
  </si>
  <si>
    <t>9953 Amanda Prairie, West Emilyport, AL 98272</t>
  </si>
  <si>
    <t>1999-02-27</t>
  </si>
  <si>
    <t>2016-10-10</t>
  </si>
  <si>
    <t>Willie Le</t>
  </si>
  <si>
    <t>kaylajohnson@yahoo.com</t>
  </si>
  <si>
    <t>+1-740-766-1193x16671</t>
  </si>
  <si>
    <t>3877 Jennings Vista, Lake Shannon, DE 50837</t>
  </si>
  <si>
    <t>Robles, Flores and Davis</t>
  </si>
  <si>
    <t>1962-03-14</t>
  </si>
  <si>
    <t>2021-01-07</t>
  </si>
  <si>
    <t>Julie Baker</t>
  </si>
  <si>
    <t>michaelelliott@yahoo.com</t>
  </si>
  <si>
    <t>0106680559</t>
  </si>
  <si>
    <t>9764 Dakota Terrace Apt. 360, Susanfurt, MN 60139</t>
  </si>
  <si>
    <t>Hughes-Williams</t>
  </si>
  <si>
    <t>1991-10-08</t>
  </si>
  <si>
    <t>Steven Meadows</t>
  </si>
  <si>
    <t>sanderslisa@garcia.com</t>
  </si>
  <si>
    <t>+1-832-003-1318x342</t>
  </si>
  <si>
    <t>PSC 5358, Box 5968, APO AE 62820</t>
  </si>
  <si>
    <t>Harrison, Padilla and Mack</t>
  </si>
  <si>
    <t>1976-06-11</t>
  </si>
  <si>
    <t>2017-09-16</t>
  </si>
  <si>
    <t>jessica52@young.com</t>
  </si>
  <si>
    <t>001-971-983-4744x79042</t>
  </si>
  <si>
    <t>188 Mckenzie Roads, Jasonchester, NH 45603</t>
  </si>
  <si>
    <t>Amanda Caldwell</t>
  </si>
  <si>
    <t>tmann@hotmail.com</t>
  </si>
  <si>
    <t>088.721.1686x4708</t>
  </si>
  <si>
    <t>5653 Jordan Keys, Timothybury, NE 47451</t>
  </si>
  <si>
    <t>Solomon-Cantu</t>
  </si>
  <si>
    <t>1978-03-10</t>
  </si>
  <si>
    <t>2021-11-22</t>
  </si>
  <si>
    <t>Derrick Chang</t>
  </si>
  <si>
    <t>gonzalezchristopher@gmail.com</t>
  </si>
  <si>
    <t>+1-614-190-4840x1801</t>
  </si>
  <si>
    <t>788 Anthony Spurs, Dixonport, DE 61178</t>
  </si>
  <si>
    <t>Sanders Inc</t>
  </si>
  <si>
    <t>2007-04-16</t>
  </si>
  <si>
    <t>Kayla Gonzales</t>
  </si>
  <si>
    <t>rebekahpatrick@hotmail.com</t>
  </si>
  <si>
    <t>981.492.8340x19676</t>
  </si>
  <si>
    <t>735 Rebekah Spur Apt. 126, Garyberg, FL 06531</t>
  </si>
  <si>
    <t>Carey Ltd</t>
  </si>
  <si>
    <t>1972-11-28</t>
  </si>
  <si>
    <t>2016-04-30</t>
  </si>
  <si>
    <t>Sara Walker</t>
  </si>
  <si>
    <t>chungaustin@miller-washington.biz</t>
  </si>
  <si>
    <t>748.075.5583</t>
  </si>
  <si>
    <t>07473 Hunt Streets Suite 439, Lewismouth, VA 22150</t>
  </si>
  <si>
    <t>Black and Sons</t>
  </si>
  <si>
    <t>1989-09-17</t>
  </si>
  <si>
    <t>2024-10-17</t>
  </si>
  <si>
    <t>Danny Hill</t>
  </si>
  <si>
    <t>bryan57@hotmail.com</t>
  </si>
  <si>
    <t>(344)305-8731</t>
  </si>
  <si>
    <t>Unit 6825 Box 1698, DPO AA 34196</t>
  </si>
  <si>
    <t>Kane, Holloway and Alexander</t>
  </si>
  <si>
    <t>1978-04-06</t>
  </si>
  <si>
    <t>Robert Brown</t>
  </si>
  <si>
    <t>sheri37@yahoo.com</t>
  </si>
  <si>
    <t>566-818-5957</t>
  </si>
  <si>
    <t>5442 Douglas Walks, New Lisa, NC 11695</t>
  </si>
  <si>
    <t>Owens-Byrd</t>
  </si>
  <si>
    <t>1960-12-20</t>
  </si>
  <si>
    <t>2022-02-04</t>
  </si>
  <si>
    <t>Jeffery Horne</t>
  </si>
  <si>
    <t>melissa46@adams.org</t>
  </si>
  <si>
    <t>001-559-719-3130x438</t>
  </si>
  <si>
    <t>58809 Stephanie Throughway Apt. 802, Lake Maryborough, VA 17456</t>
  </si>
  <si>
    <t>Winters, Peterson and Gomez</t>
  </si>
  <si>
    <t>1966-09-26</t>
  </si>
  <si>
    <t>2020-01-04</t>
  </si>
  <si>
    <t>Makayla Garcia</t>
  </si>
  <si>
    <t>dferrell@hotmail.com</t>
  </si>
  <si>
    <t>070-802-5109x5186</t>
  </si>
  <si>
    <t>15249 Reese Spurs, South Manuel, NJ 02258</t>
  </si>
  <si>
    <t>1977-09-17</t>
  </si>
  <si>
    <t>2021-08-03</t>
  </si>
  <si>
    <t>Ms. Molly Johnson Md</t>
  </si>
  <si>
    <t>hwalls@olsen.com</t>
  </si>
  <si>
    <t>+1-580-079-2018x02375</t>
  </si>
  <si>
    <t>62429 Gabriel Mountain, East Kevinberg, ME 37780</t>
  </si>
  <si>
    <t>Duran-Klein</t>
  </si>
  <si>
    <t>1996-07-28</t>
  </si>
  <si>
    <t>2018-01-09</t>
  </si>
  <si>
    <t>Nicole Flores</t>
  </si>
  <si>
    <t>robert07@navarro.com</t>
  </si>
  <si>
    <t>868.702.5619x1037</t>
  </si>
  <si>
    <t>7065 Brian Passage Suite 206, West Anne, ME 11717</t>
  </si>
  <si>
    <t>Keller, Spencer and Tate</t>
  </si>
  <si>
    <t>1992-11-27</t>
  </si>
  <si>
    <t>2019-06-02</t>
  </si>
  <si>
    <t>Yolanda Contreras</t>
  </si>
  <si>
    <t>longkatrina@gmail.com</t>
  </si>
  <si>
    <t>+1-300-463-4872x639</t>
  </si>
  <si>
    <t>82317 Wilson Canyon Suite 305, New Suzannebury, AK 95003</t>
  </si>
  <si>
    <t>Little LLC</t>
  </si>
  <si>
    <t>1961-01-10</t>
  </si>
  <si>
    <t>2024-08-25</t>
  </si>
  <si>
    <t>Michael Castillo</t>
  </si>
  <si>
    <t>vpadilla@decker.com</t>
  </si>
  <si>
    <t>793.516.3836x873</t>
  </si>
  <si>
    <t>00772 Kelsey Plains Suite 282, Sethfort, NC 95074</t>
  </si>
  <si>
    <t>Lee PLC</t>
  </si>
  <si>
    <t>2002-07-09</t>
  </si>
  <si>
    <t>2023-12-19</t>
  </si>
  <si>
    <t>Adam Campbell</t>
  </si>
  <si>
    <t>kmendoza@hotmail.com</t>
  </si>
  <si>
    <t>001-251-007-6998</t>
  </si>
  <si>
    <t>652 Gentry Mountain Apt. 108, Jillville, NC 76669</t>
  </si>
  <si>
    <t>Copy</t>
  </si>
  <si>
    <t>Powell and Sons</t>
  </si>
  <si>
    <t>1999-10-06</t>
  </si>
  <si>
    <t>2015-11-11</t>
  </si>
  <si>
    <t>Jeremy Morton</t>
  </si>
  <si>
    <t>khale@rubio.info</t>
  </si>
  <si>
    <t>011-577-7670x765</t>
  </si>
  <si>
    <t>183 Moore Haven, Jasmineborough, NM 43627</t>
  </si>
  <si>
    <t>Saunders Group</t>
  </si>
  <si>
    <t>2016-10-19</t>
  </si>
  <si>
    <t>Stephanie White</t>
  </si>
  <si>
    <t>gabrielclay@gmail.com</t>
  </si>
  <si>
    <t>(861)512-1164</t>
  </si>
  <si>
    <t>8007 Jones Roads Apt. 095, Foxport, IN 44096</t>
  </si>
  <si>
    <t>Morales, Ellis and Gomez</t>
  </si>
  <si>
    <t>1978-11-09</t>
  </si>
  <si>
    <t>2017-09-10</t>
  </si>
  <si>
    <t>Jessica Williamson</t>
  </si>
  <si>
    <t>deleonandrea@cox-turner.biz</t>
  </si>
  <si>
    <t>+1-742-488-5533x9133</t>
  </si>
  <si>
    <t>39073 Laura Dam Suite 449, West Alexander, MO 05161</t>
  </si>
  <si>
    <t>Lewis, Murray and Huber</t>
  </si>
  <si>
    <t>2006-04-28</t>
  </si>
  <si>
    <t>John Weiss</t>
  </si>
  <si>
    <t>mbartlett@yahoo.com</t>
  </si>
  <si>
    <t>(132)823-1425x4782</t>
  </si>
  <si>
    <t>Unit 5953 Box 0384, DPO AA 53002</t>
  </si>
  <si>
    <t>Graham-Smith</t>
  </si>
  <si>
    <t>1984-08-15</t>
  </si>
  <si>
    <t>Rebecca Navarro Dds</t>
  </si>
  <si>
    <t>nball@gmail.com</t>
  </si>
  <si>
    <t>085.207.1338</t>
  </si>
  <si>
    <t>63504 Bridget Valleys Suite 708, North Matthewfurt, CA 53158</t>
  </si>
  <si>
    <t>Lindsey Inc</t>
  </si>
  <si>
    <t>1982-08-05</t>
  </si>
  <si>
    <t>2024-12-13</t>
  </si>
  <si>
    <t>Raymond Padilla</t>
  </si>
  <si>
    <t>ediaz@hotmail.com</t>
  </si>
  <si>
    <t>191.705.0508</t>
  </si>
  <si>
    <t>7102 Peggy Lodge, New Jillianport, NC 79741</t>
  </si>
  <si>
    <t>Rivera, Snyder and Swanson</t>
  </si>
  <si>
    <t>1988-08-25</t>
  </si>
  <si>
    <t>2021-11-03</t>
  </si>
  <si>
    <t>Colton Wall</t>
  </si>
  <si>
    <t>sandraholmes@yahoo.com</t>
  </si>
  <si>
    <t>191.624.4066x29870</t>
  </si>
  <si>
    <t>5727 Williams Tunnel Suite 583, Lake Andres, NV 24193</t>
  </si>
  <si>
    <t>Tate Inc</t>
  </si>
  <si>
    <t>1965-11-17</t>
  </si>
  <si>
    <t>2019-12-24</t>
  </si>
  <si>
    <t>Shannon Lopez</t>
  </si>
  <si>
    <t>amandajohnson@barnes.biz</t>
  </si>
  <si>
    <t>(197)470-9856x5501</t>
  </si>
  <si>
    <t>453 Payne Divide, Mooreshire, CA 63482</t>
  </si>
  <si>
    <t>Shaw, Foster and Cooper</t>
  </si>
  <si>
    <t>1986-02-09</t>
  </si>
  <si>
    <t>2024-11-02</t>
  </si>
  <si>
    <t>Ashley Marshall</t>
  </si>
  <si>
    <t>charlottebarnes@gmail.com</t>
  </si>
  <si>
    <t>468.643.6826x9111</t>
  </si>
  <si>
    <t>11717 Brian Mission Apt. 377, Castilloton, SC 56540</t>
  </si>
  <si>
    <t>Glenn-Thompson</t>
  </si>
  <si>
    <t>1996-09-30</t>
  </si>
  <si>
    <t>2017-10-13</t>
  </si>
  <si>
    <t>William Fox</t>
  </si>
  <si>
    <t>caitlin95@contreras.com</t>
  </si>
  <si>
    <t>001-804-696-0768x48983</t>
  </si>
  <si>
    <t>69988 Wood Point, North Donaldborough, UT 30871</t>
  </si>
  <si>
    <t>Lyons Group</t>
  </si>
  <si>
    <t>1968-09-10</t>
  </si>
  <si>
    <t>2016-07-25</t>
  </si>
  <si>
    <t>Crystal Jackson</t>
  </si>
  <si>
    <t>tbarber@johnson.com</t>
  </si>
  <si>
    <t>591-531-6107x57345</t>
  </si>
  <si>
    <t>687 Sarah Plaza, North Christopher, HI 01940</t>
  </si>
  <si>
    <t>Fernandez, Simmons and Griffin</t>
  </si>
  <si>
    <t>1965-12-20</t>
  </si>
  <si>
    <t>2025-04-01</t>
  </si>
  <si>
    <t>Darlene Martinez</t>
  </si>
  <si>
    <t>goodmanjohn@yahoo.com</t>
  </si>
  <si>
    <t>001-957-479-4566x000</t>
  </si>
  <si>
    <t>02030 Martin Stravenue, Mooreborough, NM 55779</t>
  </si>
  <si>
    <t>Peterson and Sons</t>
  </si>
  <si>
    <t>2023-10-22</t>
  </si>
  <si>
    <t>Monica Parker</t>
  </si>
  <si>
    <t>ashleysmith@zhang.com</t>
  </si>
  <si>
    <t>447-505-9813</t>
  </si>
  <si>
    <t>USNV Smith, FPO AP 02538</t>
  </si>
  <si>
    <t>Watts, Flores and Carter</t>
  </si>
  <si>
    <t>1993-10-01</t>
  </si>
  <si>
    <t>Angela Johnson</t>
  </si>
  <si>
    <t>bergertanya@walker.net</t>
  </si>
  <si>
    <t>001-744-498-8541x690</t>
  </si>
  <si>
    <t>15850 Williams Run, Port Sandraview, GA 24013</t>
  </si>
  <si>
    <t>Blankenship-Meadows</t>
  </si>
  <si>
    <t>2001-03-28</t>
  </si>
  <si>
    <t>Joshua Jensen</t>
  </si>
  <si>
    <t>antonio25@hotmail.com</t>
  </si>
  <si>
    <t>(135)856-3648x26226</t>
  </si>
  <si>
    <t>PSC 2093, Box 6925, APO AE 78072</t>
  </si>
  <si>
    <t>Delgado-Hall</t>
  </si>
  <si>
    <t>1965-10-07</t>
  </si>
  <si>
    <t>Gerald Guerrero</t>
  </si>
  <si>
    <t>christopherdougherty@morales-jensen.info</t>
  </si>
  <si>
    <t>001-779-918-9662</t>
  </si>
  <si>
    <t>3348 Willie Hill Apt. 329, Currymouth, NJ 98830</t>
  </si>
  <si>
    <t>Barnett-Pennington</t>
  </si>
  <si>
    <t>1991-07-24</t>
  </si>
  <si>
    <t>2016-11-13</t>
  </si>
  <si>
    <t>Anne Clark</t>
  </si>
  <si>
    <t>qbarton@nelson.com</t>
  </si>
  <si>
    <t>(029)378-6068x1956</t>
  </si>
  <si>
    <t>84537 Michael Manor Apt. 304, Marcuston, ID 04889</t>
  </si>
  <si>
    <t>Hopkins, Moses and Reed</t>
  </si>
  <si>
    <t>1982-08-27</t>
  </si>
  <si>
    <t>Craig Stephenson</t>
  </si>
  <si>
    <t>cheryl11@hotmail.com</t>
  </si>
  <si>
    <t>001-530-637-8613x691</t>
  </si>
  <si>
    <t>4553 Richard Mall Suite 054, Marshallland, VA 14417</t>
  </si>
  <si>
    <t>Black-Miller</t>
  </si>
  <si>
    <t>2019-04-21</t>
  </si>
  <si>
    <t>Jessica White</t>
  </si>
  <si>
    <t>wbarber@gmail.com</t>
  </si>
  <si>
    <t>680-552-0004</t>
  </si>
  <si>
    <t>42452 Carolyn Forges Apt. 284, Jenniferport, MA 28513</t>
  </si>
  <si>
    <t>Munoz LLC</t>
  </si>
  <si>
    <t>2001-06-11</t>
  </si>
  <si>
    <t>2017-03-08</t>
  </si>
  <si>
    <t>Rachel Montoya</t>
  </si>
  <si>
    <t>zjones@hotmail.com</t>
  </si>
  <si>
    <t>8005470455</t>
  </si>
  <si>
    <t>714 Laura Ranch Apt. 945, New Eddie, CA 04179</t>
  </si>
  <si>
    <t>Williams Group</t>
  </si>
  <si>
    <t>1972-05-07</t>
  </si>
  <si>
    <t>2023-08-18</t>
  </si>
  <si>
    <t>Erin Thompson</t>
  </si>
  <si>
    <t>kim72@gmail.com</t>
  </si>
  <si>
    <t>743-727-1283x25427</t>
  </si>
  <si>
    <t>037 Bradley Ports Apt. 320, Davismouth, AK 11248</t>
  </si>
  <si>
    <t>Hancock, Brown and Knight</t>
  </si>
  <si>
    <t>1989-11-28</t>
  </si>
  <si>
    <t>David Jimenez</t>
  </si>
  <si>
    <t>martinezalexander@kelley.com</t>
  </si>
  <si>
    <t>001-221-738-4753x3293</t>
  </si>
  <si>
    <t>3686 Ronnie Plains Apt. 930, Port Lisa, MO 22189</t>
  </si>
  <si>
    <t>Nguyen Inc</t>
  </si>
  <si>
    <t>1975-05-14</t>
  </si>
  <si>
    <t>2020-11-19</t>
  </si>
  <si>
    <t>Justin Lozano</t>
  </si>
  <si>
    <t>garciadustin@molina-dyer.com</t>
  </si>
  <si>
    <t>(188)958-2704x1266</t>
  </si>
  <si>
    <t>820 Amy Lane, Port Keith, GA 66115</t>
  </si>
  <si>
    <t>Thompson, Jones and Lamb</t>
  </si>
  <si>
    <t>1960-05-25</t>
  </si>
  <si>
    <t>2017-12-13</t>
  </si>
  <si>
    <t>Benjamin Liu</t>
  </si>
  <si>
    <t>rojasrobert@wright.com</t>
  </si>
  <si>
    <t>001-071-704-1583</t>
  </si>
  <si>
    <t>Unit 9752 Box 0298, DPO AE 73108</t>
  </si>
  <si>
    <t>Vazquez Group</t>
  </si>
  <si>
    <t>1961-04-02</t>
  </si>
  <si>
    <t>2025-07-03</t>
  </si>
  <si>
    <t>Stephanie Stokes</t>
  </si>
  <si>
    <t>josephsimpson@hotmail.com</t>
  </si>
  <si>
    <t>473.806.1570x9670</t>
  </si>
  <si>
    <t>717 Day Flats Suite 619, Brittanyview, GA 80150</t>
  </si>
  <si>
    <t>Elliott, Tran and Smith</t>
  </si>
  <si>
    <t>1999-11-22</t>
  </si>
  <si>
    <t>Robert Santiago</t>
  </si>
  <si>
    <t>lopezbrittany@king.net</t>
  </si>
  <si>
    <t>175-257-0009x1885</t>
  </si>
  <si>
    <t>6950 David Creek, East Johnstad, VA 79806</t>
  </si>
  <si>
    <t>Gibson-Haynes</t>
  </si>
  <si>
    <t>2000-03-20</t>
  </si>
  <si>
    <t>2015-11-08</t>
  </si>
  <si>
    <t>Courtney Williams</t>
  </si>
  <si>
    <t>winterskatie@yahoo.com</t>
  </si>
  <si>
    <t>270.002.0723</t>
  </si>
  <si>
    <t>460 Pham Passage, Lake Jessica, HI 02224</t>
  </si>
  <si>
    <t>Hopkins LLC</t>
  </si>
  <si>
    <t>1987-01-10</t>
  </si>
  <si>
    <t>2018-03-01</t>
  </si>
  <si>
    <t>Michael Martin</t>
  </si>
  <si>
    <t>barnettlynn@gmail.com</t>
  </si>
  <si>
    <t>(603)785-5381x6972</t>
  </si>
  <si>
    <t>43914 Riddle Ways, Lake David, VA 37048</t>
  </si>
  <si>
    <t>Arnold-Bentley</t>
  </si>
  <si>
    <t>1978-07-24</t>
  </si>
  <si>
    <t>Steven Kim</t>
  </si>
  <si>
    <t>cheyennejones@gmail.com</t>
  </si>
  <si>
    <t>780-401-9635</t>
  </si>
  <si>
    <t>85149 Buck Manor Apt. 914, Jamesburgh, VT 13522</t>
  </si>
  <si>
    <t>Morrow, Pitts and Bridges</t>
  </si>
  <si>
    <t>1999-02-18</t>
  </si>
  <si>
    <t>Todd George</t>
  </si>
  <si>
    <t>ebarker@leblanc-holmes.biz</t>
  </si>
  <si>
    <t>+1-865-483-8401x64136</t>
  </si>
  <si>
    <t>474 Smith Shores Suite 781, Brownborough, CT 01169</t>
  </si>
  <si>
    <t>Benjamin, Wise and Roth</t>
  </si>
  <si>
    <t>1967-07-19</t>
  </si>
  <si>
    <t>Robert Davidson Dds</t>
  </si>
  <si>
    <t>mendezsarah@graham.org</t>
  </si>
  <si>
    <t>630.983.6959x158</t>
  </si>
  <si>
    <t>015 Brooks Fords Suite 168, Krauseshire, OK 67829</t>
  </si>
  <si>
    <t>Case PLC</t>
  </si>
  <si>
    <t>1968-05-14</t>
  </si>
  <si>
    <t>2020-04-25</t>
  </si>
  <si>
    <t>James Frost</t>
  </si>
  <si>
    <t>bcarter@gmail.com</t>
  </si>
  <si>
    <t>3739365277</t>
  </si>
  <si>
    <t>0174 Jessica Heights, New Bryceville, RI 46839</t>
  </si>
  <si>
    <t>Blair-Morrison</t>
  </si>
  <si>
    <t>2017-02-28</t>
  </si>
  <si>
    <t>Jamie Thompson</t>
  </si>
  <si>
    <t>sharonbarnett@gamble.com</t>
  </si>
  <si>
    <t>497-480-1303x918</t>
  </si>
  <si>
    <t>251 Elizabeth Landing Apt. 169, Hernandeztown, VT 32831</t>
  </si>
  <si>
    <t>Paul, Cole and Thornton</t>
  </si>
  <si>
    <t>1972-06-09</t>
  </si>
  <si>
    <t>2019-02-14</t>
  </si>
  <si>
    <t>Paula Townsend</t>
  </si>
  <si>
    <t>wbarr@gmail.com</t>
  </si>
  <si>
    <t>530-153-7319x8264</t>
  </si>
  <si>
    <t>695 Jimenez Bridge Apt. 553, East Nicole, KS 32902</t>
  </si>
  <si>
    <t>Rubio PLC</t>
  </si>
  <si>
    <t>1970-12-09</t>
  </si>
  <si>
    <t>Michael Barajas</t>
  </si>
  <si>
    <t>claytonchen@campbell.com</t>
  </si>
  <si>
    <t>(523)743-3850x173</t>
  </si>
  <si>
    <t>4630 Julie Gardens, North Michellestad, GA 77554</t>
  </si>
  <si>
    <t>Mercado-Williamson</t>
  </si>
  <si>
    <t>1980-10-04</t>
  </si>
  <si>
    <t>2021-02-21</t>
  </si>
  <si>
    <t>Jimmy Davis</t>
  </si>
  <si>
    <t>jnguyen@brown.com</t>
  </si>
  <si>
    <t>2721045099</t>
  </si>
  <si>
    <t>90485 Anderson Lane Apt. 851, Mooreland, UT 69329</t>
  </si>
  <si>
    <t>Carter-Oliver</t>
  </si>
  <si>
    <t>1998-06-23</t>
  </si>
  <si>
    <t>2023-05-30</t>
  </si>
  <si>
    <t>erica32@yahoo.com</t>
  </si>
  <si>
    <t>291-336-9536x4100</t>
  </si>
  <si>
    <t>677 Reed Rapid Suite 188, Port Ambertown, MS 68469</t>
  </si>
  <si>
    <t>Dunn, Turner and Colon</t>
  </si>
  <si>
    <t>1985-12-10</t>
  </si>
  <si>
    <t>2022-01-24</t>
  </si>
  <si>
    <t>James Miller</t>
  </si>
  <si>
    <t>dennisjones@hotmail.com</t>
  </si>
  <si>
    <t>(609)579-4573x26336</t>
  </si>
  <si>
    <t>07108 Walker View, New Andrew, AL 14901</t>
  </si>
  <si>
    <t>Ward LLC</t>
  </si>
  <si>
    <t>1999-03-29</t>
  </si>
  <si>
    <t>2019-07-09</t>
  </si>
  <si>
    <t>Patricia Griffin</t>
  </si>
  <si>
    <t>amber13@yahoo.com</t>
  </si>
  <si>
    <t>001-778-850-0539x9369</t>
  </si>
  <si>
    <t>046 Richard Mountains Apt. 561, Carlosville, MO 58984</t>
  </si>
  <si>
    <t>Gross-Washington</t>
  </si>
  <si>
    <t>1973-10-09</t>
  </si>
  <si>
    <t>2023-12-01</t>
  </si>
  <si>
    <t>Miss Deanna Clements Dds</t>
  </si>
  <si>
    <t>mooredawn@gmail.com</t>
  </si>
  <si>
    <t>3732477344</t>
  </si>
  <si>
    <t>067 Lyons Isle, South Curtisside, ME 74318</t>
  </si>
  <si>
    <t>Duncan-Robinson</t>
  </si>
  <si>
    <t>1980-01-12</t>
  </si>
  <si>
    <t>2025-03-29</t>
  </si>
  <si>
    <t>Kristin Hill</t>
  </si>
  <si>
    <t>smoore@ellis.com</t>
  </si>
  <si>
    <t>001-738-481-6574x22910</t>
  </si>
  <si>
    <t>3084 Amanda Center Suite 602, Webershire, HI 66938</t>
  </si>
  <si>
    <t>Cooper and Sons</t>
  </si>
  <si>
    <t>1975-08-11</t>
  </si>
  <si>
    <t>Daniel Miller</t>
  </si>
  <si>
    <t>williamjones@rodriguez.org</t>
  </si>
  <si>
    <t>(122)372-1104x50215</t>
  </si>
  <si>
    <t>35961 Martin Mills, Sanchezfurt, MA 07439</t>
  </si>
  <si>
    <t>Thompson, Perez and Hill</t>
  </si>
  <si>
    <t>1987-03-05</t>
  </si>
  <si>
    <t>Tiffany Valdez</t>
  </si>
  <si>
    <t>martinheather@yahoo.com</t>
  </si>
  <si>
    <t>408.321.6876x68453</t>
  </si>
  <si>
    <t>PSC 4386, Box 1995, APO AE 17459</t>
  </si>
  <si>
    <t>Watkins, Walker and Young</t>
  </si>
  <si>
    <t>1994-02-20</t>
  </si>
  <si>
    <t>2017-01-07</t>
  </si>
  <si>
    <t>Michael Pearson</t>
  </si>
  <si>
    <t>sabrina99@hotmail.com</t>
  </si>
  <si>
    <t>(846)506-4373</t>
  </si>
  <si>
    <t>5606 Jamie Manors, West Shawnside, NC 40988</t>
  </si>
  <si>
    <t>Lowe and Sons</t>
  </si>
  <si>
    <t>1967-12-28</t>
  </si>
  <si>
    <t>2022-05-25</t>
  </si>
  <si>
    <t>Diane Vargas</t>
  </si>
  <si>
    <t>joshua93@reynolds.com</t>
  </si>
  <si>
    <t>(031)843-5592x31519</t>
  </si>
  <si>
    <t>394 Hale Station Suite 667, Port Gailchester, OR 58023</t>
  </si>
  <si>
    <t>Salinas, Hall and Tran</t>
  </si>
  <si>
    <t>1977-10-09</t>
  </si>
  <si>
    <t>2016-09-10</t>
  </si>
  <si>
    <t>Julie Andrews</t>
  </si>
  <si>
    <t>lisa34@atkins.info</t>
  </si>
  <si>
    <t>001-062-316-4574x5935</t>
  </si>
  <si>
    <t>220 Johnson Pines Apt. 030, Lake Samanthabury, AR 15627</t>
  </si>
  <si>
    <t>1992-05-19</t>
  </si>
  <si>
    <t>2021-03-17</t>
  </si>
  <si>
    <t>Timothy Hood</t>
  </si>
  <si>
    <t>johnsonwendy@gmail.com</t>
  </si>
  <si>
    <t>754.538.6141x02495</t>
  </si>
  <si>
    <t>9784 Jessica Forks Suite 988, Fletcherton, NE 18398</t>
  </si>
  <si>
    <t>Haney PLC</t>
  </si>
  <si>
    <t>2024-04-25</t>
  </si>
  <si>
    <t>Madeline Garcia</t>
  </si>
  <si>
    <t>garciatami@yahoo.com</t>
  </si>
  <si>
    <t>(613)794-5239</t>
  </si>
  <si>
    <t>279 Anthony Cliffs Suite 798, North Benjamin, NV 81048</t>
  </si>
  <si>
    <t>Stephens-Kane</t>
  </si>
  <si>
    <t>1974-03-15</t>
  </si>
  <si>
    <t>2022-07-28</t>
  </si>
  <si>
    <t>Carla Weiss</t>
  </si>
  <si>
    <t>laurie48@barker.net</t>
  </si>
  <si>
    <t>943-969-4223x0344</t>
  </si>
  <si>
    <t>56911 Leon Falls Suite 152, New Johnton, AK 26025</t>
  </si>
  <si>
    <t>Donaldson Inc</t>
  </si>
  <si>
    <t>Edward Day</t>
  </si>
  <si>
    <t>michael07@yahoo.com</t>
  </si>
  <si>
    <t>017-501-1827x8525</t>
  </si>
  <si>
    <t>712 Leonard Estate Suite 134, West Lisa, RI 57917</t>
  </si>
  <si>
    <t>Scott-Solomon</t>
  </si>
  <si>
    <t>2002-02-11</t>
  </si>
  <si>
    <t>2021-10-23</t>
  </si>
  <si>
    <t>Tami Reyes</t>
  </si>
  <si>
    <t>msnow@edwards.com</t>
  </si>
  <si>
    <t>000.752.5284x61223</t>
  </si>
  <si>
    <t>6204 Tamara Rapid Suite 012, Barajasfort, WY 65048</t>
  </si>
  <si>
    <t>Hernandez-Carter</t>
  </si>
  <si>
    <t>1994-01-23</t>
  </si>
  <si>
    <t>Amy Thompson</t>
  </si>
  <si>
    <t>amberhenry@yahoo.com</t>
  </si>
  <si>
    <t>589.718.0579x110</t>
  </si>
  <si>
    <t>3395 Joseph Flats, Martinhaven, WI 87456</t>
  </si>
  <si>
    <t>1968-04-22</t>
  </si>
  <si>
    <t>2016-09-15</t>
  </si>
  <si>
    <t>Stacie Collins</t>
  </si>
  <si>
    <t>pesparza@cabrera.com</t>
  </si>
  <si>
    <t>531-617-8351x30954</t>
  </si>
  <si>
    <t>859 Steven Camp Suite 710, Thomasfurt, WY 91502</t>
  </si>
  <si>
    <t>Ware-Haynes</t>
  </si>
  <si>
    <t>1973-07-24</t>
  </si>
  <si>
    <t>Yvette Suarez</t>
  </si>
  <si>
    <t>sbartlett@martinez.com</t>
  </si>
  <si>
    <t>001-143-794-3822x08997</t>
  </si>
  <si>
    <t>2612 Christine Causeway Apt. 235, South John, NY 48827</t>
  </si>
  <si>
    <t>Bailey-Cannon</t>
  </si>
  <si>
    <t>2017-10-01</t>
  </si>
  <si>
    <t>Amanda Ortega</t>
  </si>
  <si>
    <t>burnstara@gmail.com</t>
  </si>
  <si>
    <t>665.601.5002</t>
  </si>
  <si>
    <t>177 Jennifer Freeway, Debrastad, UT 17666</t>
  </si>
  <si>
    <t>Kennedy-Christian</t>
  </si>
  <si>
    <t>2006-08-24</t>
  </si>
  <si>
    <t>2025-02-06</t>
  </si>
  <si>
    <t>Nathaniel Morales</t>
  </si>
  <si>
    <t>cphillips@yahoo.com</t>
  </si>
  <si>
    <t>+1-147-789-1913x6083</t>
  </si>
  <si>
    <t>1982 Alicia Via, East Stacy, NE 92540</t>
  </si>
  <si>
    <t>Howe-Valencia</t>
  </si>
  <si>
    <t>2017-11-06</t>
  </si>
  <si>
    <t>Jamie Cox</t>
  </si>
  <si>
    <t>garciaguy@powers.com</t>
  </si>
  <si>
    <t>001-579-260-6641x4248</t>
  </si>
  <si>
    <t>33336 Christina Terrace Suite 496, Lake Michael, VT 57196</t>
  </si>
  <si>
    <t>Jennifer Mills</t>
  </si>
  <si>
    <t>kathleen53@thompson.com</t>
  </si>
  <si>
    <t>537-475-2574</t>
  </si>
  <si>
    <t>755 Kevin Overpass, Rebeccaborough, NC 41562</t>
  </si>
  <si>
    <t>Flores, Mullins and Neal</t>
  </si>
  <si>
    <t>1965-08-06</t>
  </si>
  <si>
    <t>Michael Grant</t>
  </si>
  <si>
    <t>osmith@hotmail.com</t>
  </si>
  <si>
    <t>001-746-753-5685x356</t>
  </si>
  <si>
    <t>7976 Cynthia Shoals Apt. 313, Blakeberg, MT 11373</t>
  </si>
  <si>
    <t>Hill Ltd</t>
  </si>
  <si>
    <t>1975-09-12</t>
  </si>
  <si>
    <t>2018-12-18</t>
  </si>
  <si>
    <t>Robert Cunningham</t>
  </si>
  <si>
    <t>ericcollins@collins.info</t>
  </si>
  <si>
    <t>001-901-851-3921x0983</t>
  </si>
  <si>
    <t>968 Bryan Lodge, Markville, MO 30917</t>
  </si>
  <si>
    <t>Carr-Vasquez</t>
  </si>
  <si>
    <t>Angela Taylor</t>
  </si>
  <si>
    <t>michaelharris@gmail.com</t>
  </si>
  <si>
    <t>5768652163</t>
  </si>
  <si>
    <t>669 Berg Overpass Suite 024, Port Dianafurt, TX 60848</t>
  </si>
  <si>
    <t>Austin-Smith</t>
  </si>
  <si>
    <t>1970-05-19</t>
  </si>
  <si>
    <t>2023-06-17</t>
  </si>
  <si>
    <t>Patricia Christian</t>
  </si>
  <si>
    <t>kristi87@yahoo.com</t>
  </si>
  <si>
    <t>669-972-2509x5746</t>
  </si>
  <si>
    <t>0079 Carlos Village Suite 733, Lake Samantha, MI 73275</t>
  </si>
  <si>
    <t>Terry-Hudson</t>
  </si>
  <si>
    <t>1990-10-21</t>
  </si>
  <si>
    <t>2021-07-31</t>
  </si>
  <si>
    <t>Joseph Strickland</t>
  </si>
  <si>
    <t>anthony87@payne.com</t>
  </si>
  <si>
    <t>+1-370-844-3333x7340</t>
  </si>
  <si>
    <t>09165 Melissa Meadow Apt. 986, West Emmaville, TN 58670</t>
  </si>
  <si>
    <t>1982-08-20</t>
  </si>
  <si>
    <t>Shirley Brown</t>
  </si>
  <si>
    <t>amyconrad@lee.net</t>
  </si>
  <si>
    <t>139-812-5593x1363</t>
  </si>
  <si>
    <t>61162 Mary Fork Suite 836, Shannonmouth, NV 68927</t>
  </si>
  <si>
    <t>Campbell Inc</t>
  </si>
  <si>
    <t>2018-08-31</t>
  </si>
  <si>
    <t>Steven Davenport</t>
  </si>
  <si>
    <t>johnmiller@hotmail.com</t>
  </si>
  <si>
    <t>162.016.7898x3547</t>
  </si>
  <si>
    <t>0868 Rachael River, North Stephenshire, GA 83366</t>
  </si>
  <si>
    <t>Cook Ltd</t>
  </si>
  <si>
    <t>1998-07-25</t>
  </si>
  <si>
    <t>Sherry Noble</t>
  </si>
  <si>
    <t>brittneywright@roberts.com</t>
  </si>
  <si>
    <t>001-490-172-8027</t>
  </si>
  <si>
    <t>7445 Roy Green, Port Mariabury, AK 94996</t>
  </si>
  <si>
    <t>Hudson Ltd</t>
  </si>
  <si>
    <t>1976-12-21</t>
  </si>
  <si>
    <t>Teresa Freeman</t>
  </si>
  <si>
    <t>anne05@gmail.com</t>
  </si>
  <si>
    <t>495.980.0561x2442</t>
  </si>
  <si>
    <t>84449 Catherine Mount Apt. 048, Romerobury, NM 06669</t>
  </si>
  <si>
    <t>Lucero-Brown</t>
  </si>
  <si>
    <t>1962-10-22</t>
  </si>
  <si>
    <t>Donald Wilson</t>
  </si>
  <si>
    <t>alexisblack@gmail.com</t>
  </si>
  <si>
    <t>+1-264-677-7527x96529</t>
  </si>
  <si>
    <t>69770 Frazier Manor, Port Ashley, WI 60198</t>
  </si>
  <si>
    <t>Campbell-Parks</t>
  </si>
  <si>
    <t>2002-03-27</t>
  </si>
  <si>
    <t>John Ayala</t>
  </si>
  <si>
    <t>courtneyanderson@thompson.com</t>
  </si>
  <si>
    <t>+1-268-932-5218x326</t>
  </si>
  <si>
    <t>1227 Diaz Heights, Michaelfurt, KY 23425</t>
  </si>
  <si>
    <t>Peterson LLC</t>
  </si>
  <si>
    <t>1960-01-15</t>
  </si>
  <si>
    <t>Lindsey Martin</t>
  </si>
  <si>
    <t>efields@conner.com</t>
  </si>
  <si>
    <t>760-849-1581</t>
  </si>
  <si>
    <t>Unit 4038 Box 9386, DPO AE 01399</t>
  </si>
  <si>
    <t>Mitchell, Cline and Moore</t>
  </si>
  <si>
    <t>1974-02-11</t>
  </si>
  <si>
    <t>Alyssa Burke Dds</t>
  </si>
  <si>
    <t>qhuffman@gonzalez-ware.com</t>
  </si>
  <si>
    <t>001-439-360-3531x271</t>
  </si>
  <si>
    <t>87904 Jennifer Loop, Kimberlyport, MT 06564</t>
  </si>
  <si>
    <t>1967-01-24</t>
  </si>
  <si>
    <t>2022-07-08</t>
  </si>
  <si>
    <t>Walter Caldwell</t>
  </si>
  <si>
    <t>lopezaaron@adams.net</t>
  </si>
  <si>
    <t>001-862-729-9714x4175</t>
  </si>
  <si>
    <t>333 Anderson Fields Apt. 142, Jaredborough, LA 58259</t>
  </si>
  <si>
    <t>James and Sons</t>
  </si>
  <si>
    <t>1967-12-12</t>
  </si>
  <si>
    <t>Kim Miller</t>
  </si>
  <si>
    <t>albert69@gmail.com</t>
  </si>
  <si>
    <t>987.191.1630x769</t>
  </si>
  <si>
    <t>2936 George Springs Apt. 507, South Maryland, KY 14090</t>
  </si>
  <si>
    <t>Kelly-Johnson</t>
  </si>
  <si>
    <t>2025-03-05</t>
  </si>
  <si>
    <t>Gina Rodriguez</t>
  </si>
  <si>
    <t>tclarke@washington-mora.com</t>
  </si>
  <si>
    <t>435-619-0946x749</t>
  </si>
  <si>
    <t>96505 Richard Well, South Anamouth, MS 66287</t>
  </si>
  <si>
    <t>Strickland, Campbell and Parrish</t>
  </si>
  <si>
    <t>1984-03-11</t>
  </si>
  <si>
    <t>2018-11-22</t>
  </si>
  <si>
    <t>Rachel Hoffman</t>
  </si>
  <si>
    <t>lukethomas@armstrong.com</t>
  </si>
  <si>
    <t>001-629-620-1631x5956</t>
  </si>
  <si>
    <t>14902 Matthew Squares Suite 491, Lake Georgestad, PA 96744</t>
  </si>
  <si>
    <t>Morgan-Ramos</t>
  </si>
  <si>
    <t>1976-01-27</t>
  </si>
  <si>
    <t>2017-05-31</t>
  </si>
  <si>
    <t>Kristen Nunez</t>
  </si>
  <si>
    <t>manuel54@tran.com</t>
  </si>
  <si>
    <t>336.878.7005</t>
  </si>
  <si>
    <t>516 Brandon Tunnel Suite 665, East Melissa, WY 08387</t>
  </si>
  <si>
    <t>Johnson-Robertson</t>
  </si>
  <si>
    <t>2018-07-25</t>
  </si>
  <si>
    <t>Stephanie Clay</t>
  </si>
  <si>
    <t>rhondaallen@kane.com</t>
  </si>
  <si>
    <t>+1-443-336-5242</t>
  </si>
  <si>
    <t>47838 Jackson Passage Apt. 489, Kanefurt, AZ 23911</t>
  </si>
  <si>
    <t>Nelson and Sons</t>
  </si>
  <si>
    <t>1968-12-05</t>
  </si>
  <si>
    <t>2016-07-02</t>
  </si>
  <si>
    <t>Roy Salazar</t>
  </si>
  <si>
    <t>hardingbeth@herrera.biz</t>
  </si>
  <si>
    <t>001-176-888-7832</t>
  </si>
  <si>
    <t>501 Blankenship Estate, West Davidmouth, SD 87856</t>
  </si>
  <si>
    <t>Smith Ltd</t>
  </si>
  <si>
    <t>1979-08-29</t>
  </si>
  <si>
    <t>Christopher Donovan</t>
  </si>
  <si>
    <t>velazquezsamantha@collier.com</t>
  </si>
  <si>
    <t>(046)114-1676x157</t>
  </si>
  <si>
    <t>22674 Johnson Curve Apt. 170, Laurentown, ME 55545</t>
  </si>
  <si>
    <t>Phillips-Smith</t>
  </si>
  <si>
    <t>2003-06-05</t>
  </si>
  <si>
    <t>Marcus Curtis</t>
  </si>
  <si>
    <t>katherine12@hotmail.com</t>
  </si>
  <si>
    <t>473-066-3416</t>
  </si>
  <si>
    <t>51483 Peter Course, Tiffanyland, MN 86081</t>
  </si>
  <si>
    <t>Wilcox-Elliott</t>
  </si>
  <si>
    <t>1968-04-29</t>
  </si>
  <si>
    <t>2016-01-21</t>
  </si>
  <si>
    <t>Joshua Weber</t>
  </si>
  <si>
    <t>michaelconner@gmail.com</t>
  </si>
  <si>
    <t>678.508.9295x3500</t>
  </si>
  <si>
    <t>42185 Bright Row Apt. 302, Jacksonland, CT 88081</t>
  </si>
  <si>
    <t>Rogers, Palmer and Ortiz</t>
  </si>
  <si>
    <t>1996-04-30</t>
  </si>
  <si>
    <t>2016-06-19</t>
  </si>
  <si>
    <t>Kelly Zuniga</t>
  </si>
  <si>
    <t>petersenwilliam@hotmail.com</t>
  </si>
  <si>
    <t>846-068-5857</t>
  </si>
  <si>
    <t>001 Garcia Islands Apt. 070, Goldenfort, AL 59593</t>
  </si>
  <si>
    <t>Kennedy-Mclaughlin</t>
  </si>
  <si>
    <t>1973-06-17</t>
  </si>
  <si>
    <t>2018-01-01</t>
  </si>
  <si>
    <t>William Savage</t>
  </si>
  <si>
    <t>alexander30@yahoo.com</t>
  </si>
  <si>
    <t>(912)775-1183</t>
  </si>
  <si>
    <t>426 Smith Creek Suite 186, New Ashleychester, FL 65974</t>
  </si>
  <si>
    <t>Gonzalez Group</t>
  </si>
  <si>
    <t>1990-08-12</t>
  </si>
  <si>
    <t>2017-12-18</t>
  </si>
  <si>
    <t>Sabrina King</t>
  </si>
  <si>
    <t>valeriechoi@compton.com</t>
  </si>
  <si>
    <t>633.103.1187</t>
  </si>
  <si>
    <t>4783 Kimberly Radial, Taylorburgh, DE 47988</t>
  </si>
  <si>
    <t>Coleman-Lee</t>
  </si>
  <si>
    <t>2006-10-27</t>
  </si>
  <si>
    <t>Anthony Gardner</t>
  </si>
  <si>
    <t>staffordscott@yahoo.com</t>
  </si>
  <si>
    <t>784.412.0580</t>
  </si>
  <si>
    <t>PSC 8508, Box 0958, APO AE 28113</t>
  </si>
  <si>
    <t>Landry-Crawford</t>
  </si>
  <si>
    <t>1969-08-27</t>
  </si>
  <si>
    <t>2025-07-01</t>
  </si>
  <si>
    <t>Shelby White</t>
  </si>
  <si>
    <t>hilljason@davis-gray.com</t>
  </si>
  <si>
    <t>3196328455</t>
  </si>
  <si>
    <t>04565 Williams Port Suite 628, Jasonhaven, SC 09901</t>
  </si>
  <si>
    <t>Holland, Thornton and Whitaker</t>
  </si>
  <si>
    <t>1962-11-21</t>
  </si>
  <si>
    <t>2017-02-17</t>
  </si>
  <si>
    <t>fhernandez@durham-chavez.com</t>
  </si>
  <si>
    <t>+1-537-524-1894x921</t>
  </si>
  <si>
    <t>19563 Brandon Brook Suite 747, South Hannah, MS 79945</t>
  </si>
  <si>
    <t>Lawson-Lara</t>
  </si>
  <si>
    <t>1981-01-22</t>
  </si>
  <si>
    <t>2015-09-10</t>
  </si>
  <si>
    <t>Steven Combs</t>
  </si>
  <si>
    <t>satkinson@yahoo.com</t>
  </si>
  <si>
    <t>829-024-6137x259</t>
  </si>
  <si>
    <t>PSC 6343, Box 0904, APO AP 29303</t>
  </si>
  <si>
    <t>Wallace PLC</t>
  </si>
  <si>
    <t>Bryan Munoz</t>
  </si>
  <si>
    <t>rguerrero@dixon-hester.net</t>
  </si>
  <si>
    <t>039-273-8412x9354</t>
  </si>
  <si>
    <t>Unit 1914 Box 7013, DPO AA 14742</t>
  </si>
  <si>
    <t>Ortiz, Nichols and Horn</t>
  </si>
  <si>
    <t>1995-05-23</t>
  </si>
  <si>
    <t>matthewsjared@walls-martinez.org</t>
  </si>
  <si>
    <t>995.401.7196x22030</t>
  </si>
  <si>
    <t>1844 Evans Union, North Juanberg, MS 87122</t>
  </si>
  <si>
    <t>Bell LLC</t>
  </si>
  <si>
    <t>1983-07-31</t>
  </si>
  <si>
    <t>2019-04-22</t>
  </si>
  <si>
    <t>Holly Mcintosh Md</t>
  </si>
  <si>
    <t>vdurham@yahoo.com</t>
  </si>
  <si>
    <t>170-418-1172</t>
  </si>
  <si>
    <t>76156 Sellers Trail Suite 488, North Sarahchester, NH 49483</t>
  </si>
  <si>
    <t>1988-11-20</t>
  </si>
  <si>
    <t>2017-09-09</t>
  </si>
  <si>
    <t>Cassidy Miles</t>
  </si>
  <si>
    <t>oswanson@hall.com</t>
  </si>
  <si>
    <t>+1-502-067-9743x7271</t>
  </si>
  <si>
    <t>079 Craig Knolls Suite 991, New David, AK 42919</t>
  </si>
  <si>
    <t>Richardson Ltd</t>
  </si>
  <si>
    <t>1996-06-10</t>
  </si>
  <si>
    <t>David Hernandez</t>
  </si>
  <si>
    <t>allen71@hogan.biz</t>
  </si>
  <si>
    <t>001-022-784-0679x01495</t>
  </si>
  <si>
    <t>877 Tran Gardens, East Codyland, AZ 68632</t>
  </si>
  <si>
    <t>Hickman Ltd</t>
  </si>
  <si>
    <t>1995-01-07</t>
  </si>
  <si>
    <t>2022-04-22</t>
  </si>
  <si>
    <t>Miranda Gonzalez</t>
  </si>
  <si>
    <t>patrick16@yahoo.com</t>
  </si>
  <si>
    <t>594.907.1575x47740</t>
  </si>
  <si>
    <t>3679 Turner Terrace, Clarkside, OR 86338</t>
  </si>
  <si>
    <t>Finley-Rivas</t>
  </si>
  <si>
    <t>1976-09-24</t>
  </si>
  <si>
    <t>2023-02-18</t>
  </si>
  <si>
    <t>Danielle Wong Md</t>
  </si>
  <si>
    <t>ltorres@yahoo.com</t>
  </si>
  <si>
    <t>+1-774-502-3638x0726</t>
  </si>
  <si>
    <t>5624 Victor Walks, Port Marcbury, WA 91143</t>
  </si>
  <si>
    <t>Davis LLC</t>
  </si>
  <si>
    <t>1959-08-21</t>
  </si>
  <si>
    <t>2021-08-30</t>
  </si>
  <si>
    <t>Tammy Bass</t>
  </si>
  <si>
    <t>jwallace@gmail.com</t>
  </si>
  <si>
    <t>362.986.5219x611</t>
  </si>
  <si>
    <t>1300 David Drives Apt. 151, North Tiffanyborough, NM 85783</t>
  </si>
  <si>
    <t>1986-10-20</t>
  </si>
  <si>
    <t>2016-09-26</t>
  </si>
  <si>
    <t>Bryan Torres</t>
  </si>
  <si>
    <t>michaelblair@gmail.com</t>
  </si>
  <si>
    <t>(459)705-5547</t>
  </si>
  <si>
    <t>073 Alyssa Dale, Port Theresa, CA 40125</t>
  </si>
  <si>
    <t>Curator</t>
  </si>
  <si>
    <t>1971-08-27</t>
  </si>
  <si>
    <t>2016-06-11</t>
  </si>
  <si>
    <t>Marcus Rodriguez</t>
  </si>
  <si>
    <t>jacksonmichele@yahoo.com</t>
  </si>
  <si>
    <t>(881)035-8007</t>
  </si>
  <si>
    <t>9654 Welch Avenue Suite 278, Port Eric, MD 34253</t>
  </si>
  <si>
    <t>Dunn PLC</t>
  </si>
  <si>
    <t>1975-03-02</t>
  </si>
  <si>
    <t>Jeffrey Curtis</t>
  </si>
  <si>
    <t>jhendricks@hotmail.com</t>
  </si>
  <si>
    <t>+1-165-165-6580x3563</t>
  </si>
  <si>
    <t>72256 Smith Shores, Amberside, NC 78358</t>
  </si>
  <si>
    <t>Hamilton, Jones and Woods</t>
  </si>
  <si>
    <t>1982-09-06</t>
  </si>
  <si>
    <t>2016-10-14</t>
  </si>
  <si>
    <t>Mr. Andrew James</t>
  </si>
  <si>
    <t>uberg@owens.com</t>
  </si>
  <si>
    <t>821-424-1825x214</t>
  </si>
  <si>
    <t>93463 Phillip Streets Apt. 368, Sherrishire, OR 98365</t>
  </si>
  <si>
    <t>Rivas, Mccarthy and Gibson</t>
  </si>
  <si>
    <t>1991-03-30</t>
  </si>
  <si>
    <t>Rachel Dorsey</t>
  </si>
  <si>
    <t>fhunt@yahoo.com</t>
  </si>
  <si>
    <t>001-181-605-4436x131</t>
  </si>
  <si>
    <t>3947 Andrea Center, Woodsview, NC 11185</t>
  </si>
  <si>
    <t>Simon Ltd</t>
  </si>
  <si>
    <t>1973-02-07</t>
  </si>
  <si>
    <t>Matthew Shah</t>
  </si>
  <si>
    <t>tspence@hotmail.com</t>
  </si>
  <si>
    <t>030-602-1337x4641</t>
  </si>
  <si>
    <t>1659 Castaneda Extensions, Batesview, CT 59715</t>
  </si>
  <si>
    <t>Nichols, Alvarado and Thomas</t>
  </si>
  <si>
    <t>1966-12-10</t>
  </si>
  <si>
    <t>Sara Shelton Dds</t>
  </si>
  <si>
    <t>candicewolfe@gmail.com</t>
  </si>
  <si>
    <t>+1-377-584-9176</t>
  </si>
  <si>
    <t>332 Dennis Drives, East Trevorhaven, WI 04067</t>
  </si>
  <si>
    <t>Curry PLC</t>
  </si>
  <si>
    <t>1961-12-02</t>
  </si>
  <si>
    <t>Gabriel Lane</t>
  </si>
  <si>
    <t>jennifer24@gmail.com</t>
  </si>
  <si>
    <t>479-976-3477x3267</t>
  </si>
  <si>
    <t>043 Kelly Circle, East Lauraland, MS 27803</t>
  </si>
  <si>
    <t>Collins, Tran and Harris</t>
  </si>
  <si>
    <t>2001-11-20</t>
  </si>
  <si>
    <t>2023-02-11</t>
  </si>
  <si>
    <t>Lori Hoffman</t>
  </si>
  <si>
    <t>fsanders@yahoo.com</t>
  </si>
  <si>
    <t>4193676131</t>
  </si>
  <si>
    <t>814 Stephanie Corner, Port Dustin, MD 47701</t>
  </si>
  <si>
    <t>Willis-Martin</t>
  </si>
  <si>
    <t>1975-08-25</t>
  </si>
  <si>
    <t>2020-04-03</t>
  </si>
  <si>
    <t>Andrew Goodman</t>
  </si>
  <si>
    <t>dnorton@french-cooper.com</t>
  </si>
  <si>
    <t>965.488.6339</t>
  </si>
  <si>
    <t>040 Perez Valley Apt. 206, West Normanstad, WI 45329</t>
  </si>
  <si>
    <t>Williams-Johnson</t>
  </si>
  <si>
    <t>1990-12-10</t>
  </si>
  <si>
    <t>2017-01-28</t>
  </si>
  <si>
    <t>Darrell Henry</t>
  </si>
  <si>
    <t>onelson@yahoo.com</t>
  </si>
  <si>
    <t>4006456744</t>
  </si>
  <si>
    <t>79248 Hall Avenue Apt. 510, Jasminebury, PA 69982</t>
  </si>
  <si>
    <t>Calhoun LLC</t>
  </si>
  <si>
    <t>1972-03-21</t>
  </si>
  <si>
    <t>Eric Dougherty</t>
  </si>
  <si>
    <t>eringonzales@thompson.com</t>
  </si>
  <si>
    <t>+1-758-047-1026x03061</t>
  </si>
  <si>
    <t>9857 Rich Run, North Josephmouth, WI 27397</t>
  </si>
  <si>
    <t>Robinson PLC</t>
  </si>
  <si>
    <t>2007-03-07</t>
  </si>
  <si>
    <t>2020-04-19</t>
  </si>
  <si>
    <t>Matthew Wright</t>
  </si>
  <si>
    <t>hodgesmichael@yahoo.com</t>
  </si>
  <si>
    <t>0121102643</t>
  </si>
  <si>
    <t>87457 Brian Lodge, West Staceyborough, CT 01577</t>
  </si>
  <si>
    <t>Mendoza PLC</t>
  </si>
  <si>
    <t>1981-03-28</t>
  </si>
  <si>
    <t>2017-05-25</t>
  </si>
  <si>
    <t>Susan Hester</t>
  </si>
  <si>
    <t>piercejanice@hayes.com</t>
  </si>
  <si>
    <t>060-300-9432</t>
  </si>
  <si>
    <t>653 David Summit, Jaytown, WV 55409</t>
  </si>
  <si>
    <t>Moore-Hess</t>
  </si>
  <si>
    <t>1979-06-30</t>
  </si>
  <si>
    <t>2024-04-26</t>
  </si>
  <si>
    <t>Holly Russell</t>
  </si>
  <si>
    <t>anthonypatrick@gmail.com</t>
  </si>
  <si>
    <t>(959)630-7912</t>
  </si>
  <si>
    <t>689 Andrea Flat, Alvinmouth, KS 86403</t>
  </si>
  <si>
    <t>Scientist, research (maths)</t>
  </si>
  <si>
    <t>Benson-Wilson</t>
  </si>
  <si>
    <t>1983-06-30</t>
  </si>
  <si>
    <t>2017-06-04</t>
  </si>
  <si>
    <t>James Schwartz</t>
  </si>
  <si>
    <t>smathews@yahoo.com</t>
  </si>
  <si>
    <t>+1-701-988-9093x9095</t>
  </si>
  <si>
    <t>330 Andrew Harbor Suite 480, West Jonathanhaven, AZ 81597</t>
  </si>
  <si>
    <t>Ortiz, Heath and Neal</t>
  </si>
  <si>
    <t>1967-12-13</t>
  </si>
  <si>
    <t>2018-01-27</t>
  </si>
  <si>
    <t>Cameron Frederick</t>
  </si>
  <si>
    <t>nealrobert@hotmail.com</t>
  </si>
  <si>
    <t>948.569.8666</t>
  </si>
  <si>
    <t>73889 Rojas Estate, New Christyville, CO 70820</t>
  </si>
  <si>
    <t>Johnson-Silva</t>
  </si>
  <si>
    <t>1972-11-15</t>
  </si>
  <si>
    <t>2021-12-08</t>
  </si>
  <si>
    <t>Joshua Hernandez</t>
  </si>
  <si>
    <t>taylor31@cox.com</t>
  </si>
  <si>
    <t>001-515-679-4931x5792</t>
  </si>
  <si>
    <t>0349 Meghan Forest, North Johnside, WI 06880</t>
  </si>
  <si>
    <t>2001-06-08</t>
  </si>
  <si>
    <t>2021-07-04</t>
  </si>
  <si>
    <t>Peter Vincent</t>
  </si>
  <si>
    <t>michaelsmith@tucker.com</t>
  </si>
  <si>
    <t>1484237097</t>
  </si>
  <si>
    <t>974 Bond Tunnel, Tylershire, WA 98764</t>
  </si>
  <si>
    <t>Herring-Sutton</t>
  </si>
  <si>
    <t>1970-12-20</t>
  </si>
  <si>
    <t>2016-08-27</t>
  </si>
  <si>
    <t>Susan Gomez</t>
  </si>
  <si>
    <t>lindaweber@perez.net</t>
  </si>
  <si>
    <t>592.791.5524x26019</t>
  </si>
  <si>
    <t>1171 Billy Cliffs Suite 444, West Lancemouth, MS 65205</t>
  </si>
  <si>
    <t>Sutton PLC</t>
  </si>
  <si>
    <t>1966-09-02</t>
  </si>
  <si>
    <t>2016-10-07</t>
  </si>
  <si>
    <t>Austin Jones</t>
  </si>
  <si>
    <t>anthonyjackson@yahoo.com</t>
  </si>
  <si>
    <t>+1-585-531-5286x2029</t>
  </si>
  <si>
    <t>148 Williams Shoals, Aaronton, OH 07641</t>
  </si>
  <si>
    <t>Perez, Gutierrez and Brooks</t>
  </si>
  <si>
    <t>1982-03-14</t>
  </si>
  <si>
    <t>Sharon Murphy</t>
  </si>
  <si>
    <t>jennifer63@perez.com</t>
  </si>
  <si>
    <t>001-227-803-1409x39980</t>
  </si>
  <si>
    <t>527 Jones Green Suite 115, Armstrongbury, IN 85915</t>
  </si>
  <si>
    <t>Morgan, Contreras and Khan</t>
  </si>
  <si>
    <t>1967-10-30</t>
  </si>
  <si>
    <t>2021-08-28</t>
  </si>
  <si>
    <t>Timothy Harris</t>
  </si>
  <si>
    <t>chenallison@hotmail.com</t>
  </si>
  <si>
    <t>269-889-9620x5057</t>
  </si>
  <si>
    <t>USCGC Zamora, FPO AE 30023</t>
  </si>
  <si>
    <t>Elliott-Jacobs</t>
  </si>
  <si>
    <t>1992-09-24</t>
  </si>
  <si>
    <t>2023-06-20</t>
  </si>
  <si>
    <t>Micheal Ramirez</t>
  </si>
  <si>
    <t>tylerbennett@hotmail.com</t>
  </si>
  <si>
    <t>702-393-7565x13406</t>
  </si>
  <si>
    <t>136 Robin Garden Suite 551, Kathyport, WI 42948</t>
  </si>
  <si>
    <t>Howard LLC</t>
  </si>
  <si>
    <t>1972-07-04</t>
  </si>
  <si>
    <t>2023-11-17</t>
  </si>
  <si>
    <t>Brandon Jimenez</t>
  </si>
  <si>
    <t>wendyperkins@hotmail.com</t>
  </si>
  <si>
    <t>125.339.6536</t>
  </si>
  <si>
    <t>5611 Nicholas Orchard Apt. 262, Daniellefort, ME 67754</t>
  </si>
  <si>
    <t>Rivera, Keith and Pope</t>
  </si>
  <si>
    <t>1983-01-04</t>
  </si>
  <si>
    <t>Brandon Cantrell</t>
  </si>
  <si>
    <t>spatterson@yahoo.com</t>
  </si>
  <si>
    <t>(204)000-8485x8856</t>
  </si>
  <si>
    <t>1183 Owens Village, Port Gabriellemouth, CA 78216</t>
  </si>
  <si>
    <t>1990-02-09</t>
  </si>
  <si>
    <t>2021-09-12</t>
  </si>
  <si>
    <t>Stacey Williams</t>
  </si>
  <si>
    <t>nicole17@reed.com</t>
  </si>
  <si>
    <t>001-721-972-8231x1853</t>
  </si>
  <si>
    <t>272 Beth Forges Suite 437, North Alec, CT 24085</t>
  </si>
  <si>
    <t>Butler Ltd</t>
  </si>
  <si>
    <t>2016-08-03</t>
  </si>
  <si>
    <t>Chelsea Christian Md</t>
  </si>
  <si>
    <t>xvelasquez@smith.net</t>
  </si>
  <si>
    <t>+1-607-435-8976x60737</t>
  </si>
  <si>
    <t>86816 Blake Cliffs, Dylanchester, LA 62106</t>
  </si>
  <si>
    <t>Brown, Hall and Hernandez</t>
  </si>
  <si>
    <t>1961-04-07</t>
  </si>
  <si>
    <t>Karen Black</t>
  </si>
  <si>
    <t>preston46@yahoo.com</t>
  </si>
  <si>
    <t>519.894.0961</t>
  </si>
  <si>
    <t>60102 Rogers Harbors, Fergusonland, MO 77863</t>
  </si>
  <si>
    <t>Christian, Nelson and Hamilton</t>
  </si>
  <si>
    <t>1979-09-02</t>
  </si>
  <si>
    <t>Lori Reed</t>
  </si>
  <si>
    <t>ann03@gmail.com</t>
  </si>
  <si>
    <t>001-177-453-5054x534</t>
  </si>
  <si>
    <t>562 Crystal Glens Suite 966, North Caitlin, DC 72589</t>
  </si>
  <si>
    <t>Watson, Flores and Reyes</t>
  </si>
  <si>
    <t>1992-07-18</t>
  </si>
  <si>
    <t>2024-10-21</t>
  </si>
  <si>
    <t>Debra Sims</t>
  </si>
  <si>
    <t>daniel47@gmail.com</t>
  </si>
  <si>
    <t>001-796-381-1806x3600</t>
  </si>
  <si>
    <t>53250 Pamela Parkways, New Melissafurt, SD 70747</t>
  </si>
  <si>
    <t>Poole, Lawrence and Jackson</t>
  </si>
  <si>
    <t>Rachel Brooks</t>
  </si>
  <si>
    <t>valerieavila@gmail.com</t>
  </si>
  <si>
    <t>001-400-947-8447x4602</t>
  </si>
  <si>
    <t>97114 Roger Trace Apt. 326, Jacobfurt, CA 61167</t>
  </si>
  <si>
    <t>Scott, Copeland and Pham</t>
  </si>
  <si>
    <t>1986-06-26</t>
  </si>
  <si>
    <t>2023-08-08</t>
  </si>
  <si>
    <t>Kaitlyn Carlson</t>
  </si>
  <si>
    <t>johnnylarson@gmail.com</t>
  </si>
  <si>
    <t>(646)611-2568x22423</t>
  </si>
  <si>
    <t>88889 Karen Village, Stevenmouth, AL 64324</t>
  </si>
  <si>
    <t>Mills-Ho</t>
  </si>
  <si>
    <t>2000-10-14</t>
  </si>
  <si>
    <t>Nancy Wall</t>
  </si>
  <si>
    <t>beth25@gmail.com</t>
  </si>
  <si>
    <t>002-873-8144x9056</t>
  </si>
  <si>
    <t>937 Peter Heights, South Antonioland, NY 86971</t>
  </si>
  <si>
    <t>1997-08-16</t>
  </si>
  <si>
    <t>2020-05-22</t>
  </si>
  <si>
    <t>Breanna Howell</t>
  </si>
  <si>
    <t>ngordon@yahoo.com</t>
  </si>
  <si>
    <t>(201)580-8536x85785</t>
  </si>
  <si>
    <t>3087 Suzanne Trafficway, Vegafort, NE 06919</t>
  </si>
  <si>
    <t>Anderson-Cochran</t>
  </si>
  <si>
    <t>1979-02-06</t>
  </si>
  <si>
    <t>2019-07-03</t>
  </si>
  <si>
    <t>Kathryn Vasquez</t>
  </si>
  <si>
    <t>allenbonnie@simpson.net</t>
  </si>
  <si>
    <t>578-341-5700</t>
  </si>
  <si>
    <t>78200 Sparks Oval, Delacruzton, AZ 97643</t>
  </si>
  <si>
    <t>Gray-Avila</t>
  </si>
  <si>
    <t>1981-01-04</t>
  </si>
  <si>
    <t>Diana Ramirez</t>
  </si>
  <si>
    <t>heatherterry@gmail.com</t>
  </si>
  <si>
    <t>(922)806-9096x30117</t>
  </si>
  <si>
    <t>974 Christopher Drives, West Steventown, SD 93512</t>
  </si>
  <si>
    <t>Mcdonald, Malone and Phillips</t>
  </si>
  <si>
    <t>1974-04-09</t>
  </si>
  <si>
    <t>2019-07-22</t>
  </si>
  <si>
    <t>Tiffany Jones</t>
  </si>
  <si>
    <t>james97@osborne.com</t>
  </si>
  <si>
    <t>743.199.6560</t>
  </si>
  <si>
    <t>494 Spence Crescent, Port Hectorchester, IA 14284</t>
  </si>
  <si>
    <t>Energy engineer</t>
  </si>
  <si>
    <t>1980-10-05</t>
  </si>
  <si>
    <t>2020-10-20</t>
  </si>
  <si>
    <t>Shannon Hall</t>
  </si>
  <si>
    <t>barbara43@montoya-ponce.com</t>
  </si>
  <si>
    <t>179-849-6446</t>
  </si>
  <si>
    <t>213 Jimmy Squares Apt. 208, Michaelfurt, UT 96577</t>
  </si>
  <si>
    <t>Wong, Taylor and Stafford</t>
  </si>
  <si>
    <t>1987-12-29</t>
  </si>
  <si>
    <t>2024-07-29</t>
  </si>
  <si>
    <t>Matthew Jones</t>
  </si>
  <si>
    <t>deborahweber@kennedy.com</t>
  </si>
  <si>
    <t>+1-749-491-3961x1577</t>
  </si>
  <si>
    <t>38020 Frye Curve Apt. 892, Kristenfurt, TX 20722</t>
  </si>
  <si>
    <t>George Group</t>
  </si>
  <si>
    <t>1992-08-24</t>
  </si>
  <si>
    <t>2025-01-16</t>
  </si>
  <si>
    <t>Kristen Johnson</t>
  </si>
  <si>
    <t>shepardwilliam@yahoo.com</t>
  </si>
  <si>
    <t>001-239-589-8846x824</t>
  </si>
  <si>
    <t>009 Benson Throughway Suite 620, Thomasberg, ND 55860</t>
  </si>
  <si>
    <t>1974-07-01</t>
  </si>
  <si>
    <t>2025-02-02</t>
  </si>
  <si>
    <t>Marie Mills</t>
  </si>
  <si>
    <t>bburton@jordan.com</t>
  </si>
  <si>
    <t>+1-274-979-8808x8893</t>
  </si>
  <si>
    <t>22887 Natasha Field Suite 017, Walkerberg, OH 15736</t>
  </si>
  <si>
    <t>Ellis-Graham</t>
  </si>
  <si>
    <t>1974-06-01</t>
  </si>
  <si>
    <t>2016-09-04</t>
  </si>
  <si>
    <t>Dylan Rasmussen</t>
  </si>
  <si>
    <t>darrell81@hotmail.com</t>
  </si>
  <si>
    <t>5916495346</t>
  </si>
  <si>
    <t>613 Vazquez Crest, Zacharyfort, MN 10079</t>
  </si>
  <si>
    <t>Terrell-Strong</t>
  </si>
  <si>
    <t>1993-02-15</t>
  </si>
  <si>
    <t>2017-01-18</t>
  </si>
  <si>
    <t>Margaret Garcia</t>
  </si>
  <si>
    <t>uhall@hopkins-stewart.biz</t>
  </si>
  <si>
    <t>+1-369-204-2910x5400</t>
  </si>
  <si>
    <t>31719 Brandon Manor, East Debraborough, GA 89442</t>
  </si>
  <si>
    <t>Bennett, Baird and Todd</t>
  </si>
  <si>
    <t>Ryan Meyer</t>
  </si>
  <si>
    <t>amymiller@hotmail.com</t>
  </si>
  <si>
    <t>058.137.0089</t>
  </si>
  <si>
    <t>7373 Jacqueline Fords, Harrisberg, OR 10120</t>
  </si>
  <si>
    <t>1978-10-03</t>
  </si>
  <si>
    <t>Andrew Wiggins</t>
  </si>
  <si>
    <t>april36@hotmail.com</t>
  </si>
  <si>
    <t>176.492.2118</t>
  </si>
  <si>
    <t>9632 Deborah Expressway Apt. 124, Websterton, MN 40183</t>
  </si>
  <si>
    <t>2005-09-19</t>
  </si>
  <si>
    <t>2023-08-06</t>
  </si>
  <si>
    <t>Wesley Guzman</t>
  </si>
  <si>
    <t>colleen44@gmail.com</t>
  </si>
  <si>
    <t>001-831-049-2225x0161</t>
  </si>
  <si>
    <t>2832 Brown Lodge Suite 950, Dunnland, AL 22817</t>
  </si>
  <si>
    <t>Waller, Estrada and Nguyen</t>
  </si>
  <si>
    <t>1961-05-24</t>
  </si>
  <si>
    <t>2022-12-26</t>
  </si>
  <si>
    <t>Terry Parker</t>
  </si>
  <si>
    <t>yorkstephen@ruiz.com</t>
  </si>
  <si>
    <t>(080)396-6066</t>
  </si>
  <si>
    <t>7002 Schmitt Rest Apt. 994, South Stephenberg, FL 47861</t>
  </si>
  <si>
    <t>1988-11-05</t>
  </si>
  <si>
    <t>2018-01-14</t>
  </si>
  <si>
    <t>Margaret Dickerson</t>
  </si>
  <si>
    <t>nancyjames@hunt-sanchez.com</t>
  </si>
  <si>
    <t>001-218-389-0428</t>
  </si>
  <si>
    <t>20400 Christopher Coves, Burnsborough, UT 40994</t>
  </si>
  <si>
    <t>Howell, Fox and James</t>
  </si>
  <si>
    <t>1970-03-07</t>
  </si>
  <si>
    <t>2023-01-30</t>
  </si>
  <si>
    <t>Jacob Diaz</t>
  </si>
  <si>
    <t>brownmary@howard.com</t>
  </si>
  <si>
    <t>9974278740</t>
  </si>
  <si>
    <t>537 Taylor Crest, Port David, NV 24028</t>
  </si>
  <si>
    <t>Strickland-Smith</t>
  </si>
  <si>
    <t>1981-03-20</t>
  </si>
  <si>
    <t>2019-01-28</t>
  </si>
  <si>
    <t>Jacob Rodriguez</t>
  </si>
  <si>
    <t>dmartin@gmail.com</t>
  </si>
  <si>
    <t>(986)336-9173</t>
  </si>
  <si>
    <t>06425 Nancy Cliffs Apt. 636, South Michelle, WA 22014</t>
  </si>
  <si>
    <t>Thomas Group</t>
  </si>
  <si>
    <t>1990-10-19</t>
  </si>
  <si>
    <t>Vanessa Mack</t>
  </si>
  <si>
    <t>ccharles@hughes.com</t>
  </si>
  <si>
    <t>001-294-913-6971x458</t>
  </si>
  <si>
    <t>4773 Michael Valleys, Edwardsstad, TX 86090</t>
  </si>
  <si>
    <t>Garrison Inc</t>
  </si>
  <si>
    <t>1985-03-04</t>
  </si>
  <si>
    <t>2024-02-01</t>
  </si>
  <si>
    <t>Rhonda Sexton</t>
  </si>
  <si>
    <t>howelljared@ramsey.com</t>
  </si>
  <si>
    <t>001-485-259-7973x2909</t>
  </si>
  <si>
    <t>48022 Vincent Common, Danielstad, UT 88249</t>
  </si>
  <si>
    <t>Barber, Calhoun and Wilson</t>
  </si>
  <si>
    <t>Rebecca Webb</t>
  </si>
  <si>
    <t>asimon@hogan.net</t>
  </si>
  <si>
    <t>001-490-105-5087x8156</t>
  </si>
  <si>
    <t>352 Richard Row Suite 879, Meganmouth, DE 00735</t>
  </si>
  <si>
    <t>Perkins, Peterson and Frey</t>
  </si>
  <si>
    <t>2000-10-24</t>
  </si>
  <si>
    <t>2021-06-13</t>
  </si>
  <si>
    <t>Sarah Garcia</t>
  </si>
  <si>
    <t>guerreromatthew@hotmail.com</t>
  </si>
  <si>
    <t>+1-463-727-0504</t>
  </si>
  <si>
    <t>150 Kidd Court Apt. 243, Thomasville, SD 71154</t>
  </si>
  <si>
    <t>Gregory Group</t>
  </si>
  <si>
    <t>1992-10-06</t>
  </si>
  <si>
    <t>Justin Eaton</t>
  </si>
  <si>
    <t>bonniewagner@holmes.com</t>
  </si>
  <si>
    <t>(112)362-5854</t>
  </si>
  <si>
    <t>3359 Jennifer Trail Apt. 424, Cynthiahaven, TN 93540</t>
  </si>
  <si>
    <t>Harper-Welch</t>
  </si>
  <si>
    <t>1989-03-07</t>
  </si>
  <si>
    <t>Alison Howe</t>
  </si>
  <si>
    <t>jesus58@williams-young.biz</t>
  </si>
  <si>
    <t>3557418135</t>
  </si>
  <si>
    <t>92423 Hernandez Turnpike Suite 582, Raymondfurt, AK 59389</t>
  </si>
  <si>
    <t>Geoscientist</t>
  </si>
  <si>
    <t>Williams-Shaw</t>
  </si>
  <si>
    <t>1979-04-30</t>
  </si>
  <si>
    <t>2019-04-23</t>
  </si>
  <si>
    <t>Allison Taylor</t>
  </si>
  <si>
    <t>nscott@hotmail.com</t>
  </si>
  <si>
    <t>+1-245-629-5192x47982</t>
  </si>
  <si>
    <t>4325 Salazar Crescent Suite 217, West Benjamin, NJ 65125</t>
  </si>
  <si>
    <t>Miller-Burch</t>
  </si>
  <si>
    <t>1998-02-28</t>
  </si>
  <si>
    <t>2021-01-14</t>
  </si>
  <si>
    <t>Willie Schwartz</t>
  </si>
  <si>
    <t>thomas46@yahoo.com</t>
  </si>
  <si>
    <t>4386434439</t>
  </si>
  <si>
    <t>111 Sarah Valleys Apt. 708, Lake Anthonyville, PA 65415</t>
  </si>
  <si>
    <t>Smith-Cabrera</t>
  </si>
  <si>
    <t>1966-06-20</t>
  </si>
  <si>
    <t>Richard Dixon</t>
  </si>
  <si>
    <t>coopercynthia@yahoo.com</t>
  </si>
  <si>
    <t>353.286.5834x3426</t>
  </si>
  <si>
    <t>5396 Terri Gateway, Joshuatown, NJ 91518</t>
  </si>
  <si>
    <t>Martinez and Sons</t>
  </si>
  <si>
    <t>1987-10-02</t>
  </si>
  <si>
    <t>2016-09-13</t>
  </si>
  <si>
    <t>Calvin Benson</t>
  </si>
  <si>
    <t>sarah77@johnson.com</t>
  </si>
  <si>
    <t>(939)621-2184x615</t>
  </si>
  <si>
    <t>14710 Jessica Wells, Davidport, IL 14643</t>
  </si>
  <si>
    <t>Duran LLC</t>
  </si>
  <si>
    <t>1965-09-02</t>
  </si>
  <si>
    <t>2022-02-25</t>
  </si>
  <si>
    <t>John Lewis</t>
  </si>
  <si>
    <t>cortezjacob@hotmail.com</t>
  </si>
  <si>
    <t>+1-206-373-8367</t>
  </si>
  <si>
    <t>8506 Garcia Bypass, Erichaven, NY 60814</t>
  </si>
  <si>
    <t>Lynn, Morris and Jones</t>
  </si>
  <si>
    <t>1985-03-25</t>
  </si>
  <si>
    <t>2021-11-30</t>
  </si>
  <si>
    <t>Cheryl Solis</t>
  </si>
  <si>
    <t>andrea83@hotmail.com</t>
  </si>
  <si>
    <t>3504615782</t>
  </si>
  <si>
    <t>54911 Taylor Gateway Suite 576, Johnsonchester, RI 65390</t>
  </si>
  <si>
    <t>Harris PLC</t>
  </si>
  <si>
    <t>1975-05-08</t>
  </si>
  <si>
    <t>Alexander Rocha</t>
  </si>
  <si>
    <t>tracyclayton@hotmail.com</t>
  </si>
  <si>
    <t>(331)386-7518x4055</t>
  </si>
  <si>
    <t>81530 Boyd Ferry Suite 885, North Shannon, TN 43017</t>
  </si>
  <si>
    <t>Moore PLC</t>
  </si>
  <si>
    <t>1988-02-04</t>
  </si>
  <si>
    <t>2025-05-02</t>
  </si>
  <si>
    <t>Daniel King</t>
  </si>
  <si>
    <t>rhondaford@brown.org</t>
  </si>
  <si>
    <t>+1-799-542-6025x605</t>
  </si>
  <si>
    <t>PSC 2862, Box 7905, APO AA 69228</t>
  </si>
  <si>
    <t>Elliott PLC</t>
  </si>
  <si>
    <t>2006-12-01</t>
  </si>
  <si>
    <t>2023-11-07</t>
  </si>
  <si>
    <t>Alicia Huang</t>
  </si>
  <si>
    <t>warrensteven@yahoo.com</t>
  </si>
  <si>
    <t>899.738.4935x0807</t>
  </si>
  <si>
    <t>261 Shields Wells, West Alexandra, WY 96103</t>
  </si>
  <si>
    <t>Jacobs Group</t>
  </si>
  <si>
    <t>1996-12-28</t>
  </si>
  <si>
    <t>James Baxter</t>
  </si>
  <si>
    <t>tkline@moore.com</t>
  </si>
  <si>
    <t>+1-768-296-0690x69702</t>
  </si>
  <si>
    <t>206 Hayes Plains Apt. 828, Pennyville, NH 35487</t>
  </si>
  <si>
    <t>Ali LLC</t>
  </si>
  <si>
    <t>1965-09-27</t>
  </si>
  <si>
    <t>2020-06-02</t>
  </si>
  <si>
    <t>John Waters</t>
  </si>
  <si>
    <t>craig27@smith.com</t>
  </si>
  <si>
    <t>013.932.4801</t>
  </si>
  <si>
    <t>1724 Dennis Trail, Chungview, TN 55108</t>
  </si>
  <si>
    <t>Miller-Larson</t>
  </si>
  <si>
    <t>1964-08-29</t>
  </si>
  <si>
    <t>2021-09-04</t>
  </si>
  <si>
    <t>Cole Watson</t>
  </si>
  <si>
    <t>cunninghammichael@hotmail.com</t>
  </si>
  <si>
    <t>(830)184-7473</t>
  </si>
  <si>
    <t>32830 Miller Radial Suite 163, Port Nicholaston, IA 52179</t>
  </si>
  <si>
    <t>Jimenez-Martinez</t>
  </si>
  <si>
    <t>2005-12-10</t>
  </si>
  <si>
    <t>Kenneth Johnson</t>
  </si>
  <si>
    <t>jody95@hotmail.com</t>
  </si>
  <si>
    <t>+1-801-311-2148</t>
  </si>
  <si>
    <t>939 Susan Centers, Port Nicoleburgh, NV 99028</t>
  </si>
  <si>
    <t>Gibson, Gonzalez and Cook</t>
  </si>
  <si>
    <t>1960-04-27</t>
  </si>
  <si>
    <t>Jeffrey Sullivan</t>
  </si>
  <si>
    <t>fharrison@gray.info</t>
  </si>
  <si>
    <t>1833808214</t>
  </si>
  <si>
    <t>7598 Jennifer Loop, Kevinchester, IA 98465</t>
  </si>
  <si>
    <t>Vasquez, Taylor and Morgan</t>
  </si>
  <si>
    <t>1988-05-04</t>
  </si>
  <si>
    <t>2019-04-02</t>
  </si>
  <si>
    <t>Shane Davis</t>
  </si>
  <si>
    <t>thomas39@dawson.net</t>
  </si>
  <si>
    <t>+1-253-440-9977x302</t>
  </si>
  <si>
    <t>045 Alexander Port Apt. 196, West Shaneview, OH 23307</t>
  </si>
  <si>
    <t>Rosales-Mcdaniel</t>
  </si>
  <si>
    <t>1978-04-23</t>
  </si>
  <si>
    <t>2022-09-29</t>
  </si>
  <si>
    <t>Lori Fisher</t>
  </si>
  <si>
    <t>wwoods@williams.info</t>
  </si>
  <si>
    <t>892-504-5106x7728</t>
  </si>
  <si>
    <t>80616 Joseph Terrace Apt. 973, New Thomas, NH 94048</t>
  </si>
  <si>
    <t>Veronica Munoz</t>
  </si>
  <si>
    <t>wdominguez@hotmail.com</t>
  </si>
  <si>
    <t>7987990858</t>
  </si>
  <si>
    <t>36613 Nicholas Village, South Jessicashire, ME 97496</t>
  </si>
  <si>
    <t>1968-08-11</t>
  </si>
  <si>
    <t>Christine Jensen</t>
  </si>
  <si>
    <t>hunterelizabeth@yahoo.com</t>
  </si>
  <si>
    <t>+1-892-711-4904x417</t>
  </si>
  <si>
    <t>725 Joseph Squares, Wendymouth, GA 95886</t>
  </si>
  <si>
    <t>Collins-Williams</t>
  </si>
  <si>
    <t>1986-12-03</t>
  </si>
  <si>
    <t>2017-10-27</t>
  </si>
  <si>
    <t>Jody Glover</t>
  </si>
  <si>
    <t>shannon91@sanchez.com</t>
  </si>
  <si>
    <t>001-235-932-2970x14520</t>
  </si>
  <si>
    <t>7384 Raymond Creek, New Codyberg, VT 26702</t>
  </si>
  <si>
    <t>Massey-Cooper</t>
  </si>
  <si>
    <t>1974-03-07</t>
  </si>
  <si>
    <t>John Levine</t>
  </si>
  <si>
    <t>osbornjeremy@yahoo.com</t>
  </si>
  <si>
    <t>+1-548-507-9773x4637</t>
  </si>
  <si>
    <t>9844 Jenna Ramp Suite 143, New Eileen, GA 47584</t>
  </si>
  <si>
    <t>Scott-Gutierrez</t>
  </si>
  <si>
    <t>1991-05-15</t>
  </si>
  <si>
    <t>2024-03-28</t>
  </si>
  <si>
    <t>Christopher Castaneda</t>
  </si>
  <si>
    <t>leonardnatalie@hotmail.com</t>
  </si>
  <si>
    <t>(189)589-0948x5221</t>
  </si>
  <si>
    <t>USS Johns, FPO AE 08723</t>
  </si>
  <si>
    <t>Henry-Smith</t>
  </si>
  <si>
    <t>2001-04-09</t>
  </si>
  <si>
    <t>Tracy Brown</t>
  </si>
  <si>
    <t>russellgeorge@hotmail.com</t>
  </si>
  <si>
    <t>+1-645-761-2607</t>
  </si>
  <si>
    <t>85363 Albert Hill, Kelseyburgh, OR 34568</t>
  </si>
  <si>
    <t>Wall, Graham and Burns</t>
  </si>
  <si>
    <t>Gregory Willis</t>
  </si>
  <si>
    <t>kingsuzanne@berg-collins.com</t>
  </si>
  <si>
    <t>771-350-6825x5442</t>
  </si>
  <si>
    <t>47321 Oconnor Path, New Glenn, VA 41427</t>
  </si>
  <si>
    <t>Flores, Miller and Jenkins</t>
  </si>
  <si>
    <t>1967-09-02</t>
  </si>
  <si>
    <t>2021-02-24</t>
  </si>
  <si>
    <t>Douglas Melton</t>
  </si>
  <si>
    <t>ywalker@hotmail.com</t>
  </si>
  <si>
    <t>(305)245-7523x80060</t>
  </si>
  <si>
    <t>250 Heather Forest Suite 173, East Danielfurt, NC 66023</t>
  </si>
  <si>
    <t>1998-10-15</t>
  </si>
  <si>
    <t>Karen Koch</t>
  </si>
  <si>
    <t>rodriguezryan@garcia.com</t>
  </si>
  <si>
    <t>254-650-8102x43019</t>
  </si>
  <si>
    <t>767 Rachel Radial Suite 816, New Megan, MA 43796</t>
  </si>
  <si>
    <t>Stevenson, Duran and Peterson</t>
  </si>
  <si>
    <t>2006-04-08</t>
  </si>
  <si>
    <t>2020-05-18</t>
  </si>
  <si>
    <t>Krystal Beck</t>
  </si>
  <si>
    <t>seth85@yahoo.com</t>
  </si>
  <si>
    <t>(895)066-5086x988</t>
  </si>
  <si>
    <t>102 Jaime Court, Lindseybury, WV 37199</t>
  </si>
  <si>
    <t>Morris, Alvarado and Clark</t>
  </si>
  <si>
    <t>2003-05-02</t>
  </si>
  <si>
    <t>2021-06-04</t>
  </si>
  <si>
    <t>Joel Rogers</t>
  </si>
  <si>
    <t>perry28@schultz.info</t>
  </si>
  <si>
    <t>+1-528-790-0179x6764</t>
  </si>
  <si>
    <t>393 White Court Apt. 232, Lake Teresabury, DC 64653</t>
  </si>
  <si>
    <t>Dennis, Flynn and Dixon</t>
  </si>
  <si>
    <t>2020-08-04</t>
  </si>
  <si>
    <t>John Allen</t>
  </si>
  <si>
    <t>butlercalvin@hotmail.com</t>
  </si>
  <si>
    <t>(569)493-4669x93921</t>
  </si>
  <si>
    <t>36135 Smith Overpass Apt. 694, West Jamesberg, MA 81110</t>
  </si>
  <si>
    <t>Frank-Barajas</t>
  </si>
  <si>
    <t>1996-03-14</t>
  </si>
  <si>
    <t>2019-10-15</t>
  </si>
  <si>
    <t>Melody Smith</t>
  </si>
  <si>
    <t>alison68@holden.com</t>
  </si>
  <si>
    <t>0176400752</t>
  </si>
  <si>
    <t>05571 Amy Lake, New Nicholasside, AR 92557</t>
  </si>
  <si>
    <t>Sherman-Coleman</t>
  </si>
  <si>
    <t>1993-12-14</t>
  </si>
  <si>
    <t>2017-07-19</t>
  </si>
  <si>
    <t>Joseph Monroe</t>
  </si>
  <si>
    <t>xlopez@hotmail.com</t>
  </si>
  <si>
    <t>+1-364-556-4711</t>
  </si>
  <si>
    <t>194 Mark Field Suite 833, South Jeffrey, AK 46476</t>
  </si>
  <si>
    <t>Clarke Inc</t>
  </si>
  <si>
    <t>1974-09-19</t>
  </si>
  <si>
    <t>Megan Santiago</t>
  </si>
  <si>
    <t>wharrison@hotmail.com</t>
  </si>
  <si>
    <t>(860)439-9080</t>
  </si>
  <si>
    <t>593 Jennifer Points, Cookchester, TX 25037</t>
  </si>
  <si>
    <t>1961-05-23</t>
  </si>
  <si>
    <t>Raymond Newton Dvm</t>
  </si>
  <si>
    <t>cpope@campos.biz</t>
  </si>
  <si>
    <t>290-119-6906x8394</t>
  </si>
  <si>
    <t>21108 Michelle Forge Apt. 705, West Lisamouth, AK 93774</t>
  </si>
  <si>
    <t>1960-12-05</t>
  </si>
  <si>
    <t>2016-11-20</t>
  </si>
  <si>
    <t>Ashley Harrison</t>
  </si>
  <si>
    <t>stewartaimee@hotmail.com</t>
  </si>
  <si>
    <t>(471)167-1854</t>
  </si>
  <si>
    <t>335 Elizabeth Streets Suite 186, Port Chelsea, IA 54193</t>
  </si>
  <si>
    <t>Guzman Inc</t>
  </si>
  <si>
    <t>2001-11-16</t>
  </si>
  <si>
    <t>2024-09-09</t>
  </si>
  <si>
    <t>Steven Clark</t>
  </si>
  <si>
    <t>danielle14@gmail.com</t>
  </si>
  <si>
    <t>001-615-612-7508x6780</t>
  </si>
  <si>
    <t>3722 Hendricks Circles, Anneburgh, WI 16214</t>
  </si>
  <si>
    <t>Ferguson LLC</t>
  </si>
  <si>
    <t>1976-07-04</t>
  </si>
  <si>
    <t>2017-11-30</t>
  </si>
  <si>
    <t>Dana Chandler</t>
  </si>
  <si>
    <t>oacevedo@bell.net</t>
  </si>
  <si>
    <t>(533)922-6787</t>
  </si>
  <si>
    <t>015 Hunt Coves Suite 007, Zimmermanmouth, OH 65523</t>
  </si>
  <si>
    <t>Field seismologist</t>
  </si>
  <si>
    <t>Salinas-Thompson</t>
  </si>
  <si>
    <t>1964-09-27</t>
  </si>
  <si>
    <t>2018-07-07</t>
  </si>
  <si>
    <t>Sandra Martin</t>
  </si>
  <si>
    <t>rachel78@hotmail.com</t>
  </si>
  <si>
    <t>(123)655-3198</t>
  </si>
  <si>
    <t>133 Amber Plain, South Brittney, NE 50288</t>
  </si>
  <si>
    <t>Owens-Price</t>
  </si>
  <si>
    <t>1962-01-25</t>
  </si>
  <si>
    <t>2018-10-02</t>
  </si>
  <si>
    <t>Reginald Brown</t>
  </si>
  <si>
    <t>swhite@allen-prince.com</t>
  </si>
  <si>
    <t>(549)406-7125</t>
  </si>
  <si>
    <t>84230 Debra Locks, Port Samanthaside, LA 22143</t>
  </si>
  <si>
    <t>Washington Group</t>
  </si>
  <si>
    <t>2007-07-06</t>
  </si>
  <si>
    <t>Lauren Baker</t>
  </si>
  <si>
    <t>zcain@patel.info</t>
  </si>
  <si>
    <t>(537)470-6527</t>
  </si>
  <si>
    <t>32727 Bolton Forks Apt. 487, East Robinbury, LA 24900</t>
  </si>
  <si>
    <t>Mendoza, Richard and Ortiz</t>
  </si>
  <si>
    <t>1996-09-14</t>
  </si>
  <si>
    <t>2017-07-14</t>
  </si>
  <si>
    <t>Angelica Lopez</t>
  </si>
  <si>
    <t>zchandler@white.com</t>
  </si>
  <si>
    <t>(910)928-7031</t>
  </si>
  <si>
    <t>USS Gates, FPO AA 64002</t>
  </si>
  <si>
    <t>Secondary school teacher</t>
  </si>
  <si>
    <t>Perez PLC</t>
  </si>
  <si>
    <t>2005-11-01</t>
  </si>
  <si>
    <t>2019-06-17</t>
  </si>
  <si>
    <t>Kelly Allen</t>
  </si>
  <si>
    <t>kayla49@hotmail.com</t>
  </si>
  <si>
    <t>(964)129-8206</t>
  </si>
  <si>
    <t>33877 Collins Ways Suite 221, Antoniomouth, KS 34178</t>
  </si>
  <si>
    <t>Bradshaw Ltd</t>
  </si>
  <si>
    <t>1997-09-06</t>
  </si>
  <si>
    <t>2025-06-16</t>
  </si>
  <si>
    <t>Jeffrey Johnson</t>
  </si>
  <si>
    <t>victoria75@chung-lopez.com</t>
  </si>
  <si>
    <t>379.738.7569x39981</t>
  </si>
  <si>
    <t>5956 Eric Loaf Apt. 642, Garrettstad, IA 19500</t>
  </si>
  <si>
    <t>Gill, Bautista and Peterson</t>
  </si>
  <si>
    <t>2005-06-06</t>
  </si>
  <si>
    <t>Zachary Andrews</t>
  </si>
  <si>
    <t>michaellin@yahoo.com</t>
  </si>
  <si>
    <t>001-922-398-3397x926</t>
  </si>
  <si>
    <t>79709 Joseph Port, Romeroland, NE 87563</t>
  </si>
  <si>
    <t>Brady, Brown and Barnes</t>
  </si>
  <si>
    <t>1987-04-27</t>
  </si>
  <si>
    <t>Lori White</t>
  </si>
  <si>
    <t>james35@pacheco.com</t>
  </si>
  <si>
    <t>+1-052-562-7465x9033</t>
  </si>
  <si>
    <t>1189 Christina Road Suite 277, Perryville, OR 17754</t>
  </si>
  <si>
    <t>Washington, Lopez and Jones</t>
  </si>
  <si>
    <t>1966-10-14</t>
  </si>
  <si>
    <t>2018-01-16</t>
  </si>
  <si>
    <t>Dawn Stephens</t>
  </si>
  <si>
    <t>rrubio@santos.com</t>
  </si>
  <si>
    <t>+1-648-071-2468x0552</t>
  </si>
  <si>
    <t>925 Yvonne Hollow, East Jocelyn, IA 42193</t>
  </si>
  <si>
    <t>Calderon Inc</t>
  </si>
  <si>
    <t>1987-01-24</t>
  </si>
  <si>
    <t>2016-06-26</t>
  </si>
  <si>
    <t>Justin Gilmore</t>
  </si>
  <si>
    <t>traceypeters@gmail.com</t>
  </si>
  <si>
    <t>+1-374-147-1521x2108</t>
  </si>
  <si>
    <t>7796 Clark Lodge, Martinezview, OH 79836</t>
  </si>
  <si>
    <t>Brooks, Alexander and Gutierrez</t>
  </si>
  <si>
    <t>1973-11-04</t>
  </si>
  <si>
    <t>2023-04-21</t>
  </si>
  <si>
    <t>Tara Clark</t>
  </si>
  <si>
    <t>ograham@sanders.com</t>
  </si>
  <si>
    <t>+1-267-689-2112x031</t>
  </si>
  <si>
    <t>USNV Mclaughlin, FPO AA 40328</t>
  </si>
  <si>
    <t>Moran Ltd</t>
  </si>
  <si>
    <t>1972-07-26</t>
  </si>
  <si>
    <t>2021-10-12</t>
  </si>
  <si>
    <t>Angel Gilbert</t>
  </si>
  <si>
    <t>kevinstuart@schmidt.org</t>
  </si>
  <si>
    <t>+1-875-771-5519</t>
  </si>
  <si>
    <t>328 Wilkinson Via Suite 741, Bauerland, DC 90183</t>
  </si>
  <si>
    <t>Hicks-Martinez</t>
  </si>
  <si>
    <t>2002-02-24</t>
  </si>
  <si>
    <t>2024-04-29</t>
  </si>
  <si>
    <t>Jerry Rose</t>
  </si>
  <si>
    <t>qkennedy@gmail.com</t>
  </si>
  <si>
    <t>(585)868-6727x253</t>
  </si>
  <si>
    <t>3001 David Stravenue, East Jennifer, MI 24023</t>
  </si>
  <si>
    <t>Peterson-Reeves</t>
  </si>
  <si>
    <t>1990-02-20</t>
  </si>
  <si>
    <t>2017-05-18</t>
  </si>
  <si>
    <t>Danielle Good</t>
  </si>
  <si>
    <t>amberrivera@yahoo.com</t>
  </si>
  <si>
    <t>001-559-262-5128</t>
  </si>
  <si>
    <t>48667 Crystal Place Suite 642, South Jeremyfurt, SD 56773</t>
  </si>
  <si>
    <t>Diaz-Jones</t>
  </si>
  <si>
    <t>2022-03-09</t>
  </si>
  <si>
    <t>Colin Walker</t>
  </si>
  <si>
    <t>kristin17@gmail.com</t>
  </si>
  <si>
    <t>1119143107</t>
  </si>
  <si>
    <t>5115 Rebecca Lock, Reyesville, ME 44095</t>
  </si>
  <si>
    <t>1970-04-13</t>
  </si>
  <si>
    <t>Dr. Mario Carrillo</t>
  </si>
  <si>
    <t>karen11@yahoo.com</t>
  </si>
  <si>
    <t>001-152-641-3108</t>
  </si>
  <si>
    <t>2542 Jones Wall Apt. 765, Lake Kaitlynview, CT 13121</t>
  </si>
  <si>
    <t>Chase, Jones and Meyer</t>
  </si>
  <si>
    <t>2001-03-11</t>
  </si>
  <si>
    <t>2015-10-20</t>
  </si>
  <si>
    <t>Ashley Richardson</t>
  </si>
  <si>
    <t>anthonysanchez@schneider-smith.com</t>
  </si>
  <si>
    <t>225-298-4768x918</t>
  </si>
  <si>
    <t>PSC 2038, Box 9737, APO AA 62769</t>
  </si>
  <si>
    <t>Williams, Greene and Williams</t>
  </si>
  <si>
    <t>1966-08-23</t>
  </si>
  <si>
    <t>Lisa Foley</t>
  </si>
  <si>
    <t>stevencole@gmail.com</t>
  </si>
  <si>
    <t>690-371-6707x5730</t>
  </si>
  <si>
    <t>277 Donald Mall, Jacobmouth, IL 27114</t>
  </si>
  <si>
    <t>Roman, Stewart and Lane</t>
  </si>
  <si>
    <t>1993-07-21</t>
  </si>
  <si>
    <t>2019-11-09</t>
  </si>
  <si>
    <t>Keith Sosa</t>
  </si>
  <si>
    <t>williamskevin@gmail.com</t>
  </si>
  <si>
    <t>(218)063-0843x320</t>
  </si>
  <si>
    <t>744 Daniel Drive Suite 326, Amandamouth, MD 58775</t>
  </si>
  <si>
    <t>Oneal-Warren</t>
  </si>
  <si>
    <t>1985-01-25</t>
  </si>
  <si>
    <t>2023-03-31</t>
  </si>
  <si>
    <t>Jacob Martin</t>
  </si>
  <si>
    <t>lawrencediaz@holloway.biz</t>
  </si>
  <si>
    <t>003-148-8278</t>
  </si>
  <si>
    <t>7922 William Pike, Stephensville, IL 14882</t>
  </si>
  <si>
    <t>Gordon, Nicholson and Cooley</t>
  </si>
  <si>
    <t>1981-02-09</t>
  </si>
  <si>
    <t>2021-05-09</t>
  </si>
  <si>
    <t>Marissa Adams</t>
  </si>
  <si>
    <t>dcuevas@yahoo.com</t>
  </si>
  <si>
    <t>101-863-5516</t>
  </si>
  <si>
    <t>7908 Dennis Centers, Griffinberg, NJ 69228</t>
  </si>
  <si>
    <t>Garrett LLC</t>
  </si>
  <si>
    <t>2025-05-20</t>
  </si>
  <si>
    <t>Cassandra Greene</t>
  </si>
  <si>
    <t>eric79@gmail.com</t>
  </si>
  <si>
    <t>872.731.3977</t>
  </si>
  <si>
    <t>13141 Eric View, Williamburgh, OK 96093</t>
  </si>
  <si>
    <t>Phillips Group</t>
  </si>
  <si>
    <t>1993-12-10</t>
  </si>
  <si>
    <t>2025-04-18</t>
  </si>
  <si>
    <t>Robert Mullins</t>
  </si>
  <si>
    <t>anthony86@hotmail.com</t>
  </si>
  <si>
    <t>787-056-9545x478</t>
  </si>
  <si>
    <t>7738 Donovan Mountains Apt. 037, Robertside, OK 68946</t>
  </si>
  <si>
    <t>Hernandez-Wilson</t>
  </si>
  <si>
    <t>1965-06-18</t>
  </si>
  <si>
    <t>2023-06-21</t>
  </si>
  <si>
    <t>Melissa Bennett</t>
  </si>
  <si>
    <t>cmartin@martinez-ford.net</t>
  </si>
  <si>
    <t>7295081157</t>
  </si>
  <si>
    <t>265 Edward Terrace, Craigborough, IA 36845</t>
  </si>
  <si>
    <t>Hendrix, Flowers and Carey</t>
  </si>
  <si>
    <t>2000-12-31</t>
  </si>
  <si>
    <t>2016-12-20</t>
  </si>
  <si>
    <t>Adam Mccarthy</t>
  </si>
  <si>
    <t>jessicachapman@waller.net</t>
  </si>
  <si>
    <t>855-876-8127x905</t>
  </si>
  <si>
    <t>87304 Williams Garden, Martinberg, NH 43035</t>
  </si>
  <si>
    <t>Carpenter-Koch</t>
  </si>
  <si>
    <t>1998-12-28</t>
  </si>
  <si>
    <t>2021-02-18</t>
  </si>
  <si>
    <t>Courtney Thomas</t>
  </si>
  <si>
    <t>lyonsmichael@hotmail.com</t>
  </si>
  <si>
    <t>210-790-1847</t>
  </si>
  <si>
    <t>955 King Forks, Hayesview, TX 24352</t>
  </si>
  <si>
    <t>Miranda-Walton</t>
  </si>
  <si>
    <t>1982-02-24</t>
  </si>
  <si>
    <t>Timothy Jones</t>
  </si>
  <si>
    <t>navarroamanda@mcmillan-wilson.net</t>
  </si>
  <si>
    <t>7238565076</t>
  </si>
  <si>
    <t>361 Rush Isle, South Laura, MO 35725</t>
  </si>
  <si>
    <t>Green, Sanders and Weaver</t>
  </si>
  <si>
    <t>1978-08-08</t>
  </si>
  <si>
    <t>Teresa Bowman</t>
  </si>
  <si>
    <t>michael07@stuart.com</t>
  </si>
  <si>
    <t>215-172-3480x035</t>
  </si>
  <si>
    <t>58641 Kimberly Well Suite 243, Farmerstad, OH 51574</t>
  </si>
  <si>
    <t>Olson-Mccall</t>
  </si>
  <si>
    <t>1961-02-02</t>
  </si>
  <si>
    <t>Christopher Flores</t>
  </si>
  <si>
    <t>emma31@gmail.com</t>
  </si>
  <si>
    <t>8299199324</t>
  </si>
  <si>
    <t>USCGC Ramirez, FPO AA 94699</t>
  </si>
  <si>
    <t>Trevino-Atkinson</t>
  </si>
  <si>
    <t>2024-04-10</t>
  </si>
  <si>
    <t>tlong@zimmerman.com</t>
  </si>
  <si>
    <t>6892507939</t>
  </si>
  <si>
    <t>61244 Callahan Row Suite 545, Port Sandraberg, CT 37886</t>
  </si>
  <si>
    <t>Brown, Juarez and Moore</t>
  </si>
  <si>
    <t>1980-09-22</t>
  </si>
  <si>
    <t>Michael Carr</t>
  </si>
  <si>
    <t>morgankellie@smith-moore.com</t>
  </si>
  <si>
    <t>+1-163-091-6685x9364</t>
  </si>
  <si>
    <t>92541 Brian Orchard Suite 282, Port Laurieside, NM 87248</t>
  </si>
  <si>
    <t>Gomez, Francis and Brown</t>
  </si>
  <si>
    <t>1991-02-10</t>
  </si>
  <si>
    <t>2020-09-24</t>
  </si>
  <si>
    <t>Susan Pierce</t>
  </si>
  <si>
    <t>hunterjesse@yahoo.com</t>
  </si>
  <si>
    <t>+1-350-784-7861x91618</t>
  </si>
  <si>
    <t>3641 Owens Locks Apt. 126, Port Shane, LA 71857</t>
  </si>
  <si>
    <t>Roberts-Myers</t>
  </si>
  <si>
    <t>1987-03-21</t>
  </si>
  <si>
    <t>2024-10-01</t>
  </si>
  <si>
    <t>Todd Abbott</t>
  </si>
  <si>
    <t>johnsonalbert@gmail.com</t>
  </si>
  <si>
    <t>(459)103-3492</t>
  </si>
  <si>
    <t>633 Nelson Extensions Apt. 726, Salazarburgh, MI 52309</t>
  </si>
  <si>
    <t>Miller, Schmidt and Cervantes</t>
  </si>
  <si>
    <t>1996-07-23</t>
  </si>
  <si>
    <t>Timothy Bowen</t>
  </si>
  <si>
    <t>joel81@lopez-guerra.com</t>
  </si>
  <si>
    <t>177.411.5538</t>
  </si>
  <si>
    <t>6529 Joshua Course, New Linda, NC 82405</t>
  </si>
  <si>
    <t>Webster PLC</t>
  </si>
  <si>
    <t>1962-11-19</t>
  </si>
  <si>
    <t>2015-08-03</t>
  </si>
  <si>
    <t>Carrie Floyd</t>
  </si>
  <si>
    <t>ydavis@yahoo.com</t>
  </si>
  <si>
    <t>001-331-717-8297</t>
  </si>
  <si>
    <t>3555 Robin View Apt. 363, Suzannefort, GA 96104</t>
  </si>
  <si>
    <t>Evans-Wolfe</t>
  </si>
  <si>
    <t>1999-01-15</t>
  </si>
  <si>
    <t>2023-07-10</t>
  </si>
  <si>
    <t>Laura Sandoval</t>
  </si>
  <si>
    <t>ashley77@harrell.com</t>
  </si>
  <si>
    <t>150.107.3459x724</t>
  </si>
  <si>
    <t>3544 Rodney Locks Suite 619, New Shellyville, NC 54819</t>
  </si>
  <si>
    <t>Davis, Roberts and Hernandez</t>
  </si>
  <si>
    <t>1967-04-13</t>
  </si>
  <si>
    <t>2018-04-30</t>
  </si>
  <si>
    <t>Paul Harris</t>
  </si>
  <si>
    <t>yberry@gmail.com</t>
  </si>
  <si>
    <t>454-304-1021</t>
  </si>
  <si>
    <t>694 Connie View, Aguilarfort, PA 57964</t>
  </si>
  <si>
    <t>Smith-Mccoy</t>
  </si>
  <si>
    <t>1960-01-28</t>
  </si>
  <si>
    <t>2016-07-11</t>
  </si>
  <si>
    <t>Anthony Alvarez</t>
  </si>
  <si>
    <t>cshepard@tapia-alexander.org</t>
  </si>
  <si>
    <t>089.593.8446x80731</t>
  </si>
  <si>
    <t>882 Boyd Park, New Virginia, NM 46793</t>
  </si>
  <si>
    <t>Mclean and Sons</t>
  </si>
  <si>
    <t>1993-01-17</t>
  </si>
  <si>
    <t>Kristen Ruiz</t>
  </si>
  <si>
    <t>ryan86@hotmail.com</t>
  </si>
  <si>
    <t>001-953-483-9152x270</t>
  </si>
  <si>
    <t>504 David Mountains Suite 510, Michelleborough, KY 60392</t>
  </si>
  <si>
    <t>Simmons, Rubio and Hood</t>
  </si>
  <si>
    <t>1969-08-23</t>
  </si>
  <si>
    <t>2023-06-14</t>
  </si>
  <si>
    <t>Jody Johnson</t>
  </si>
  <si>
    <t>bobby41@hotmail.com</t>
  </si>
  <si>
    <t>(746)398-6302x59837</t>
  </si>
  <si>
    <t>5400 Deborah Ranch Suite 359, Millerfurt, WY 82228</t>
  </si>
  <si>
    <t>1968-03-27</t>
  </si>
  <si>
    <t>2018-04-07</t>
  </si>
  <si>
    <t>Willie Baker</t>
  </si>
  <si>
    <t>qfrye@russo.com</t>
  </si>
  <si>
    <t>+1-493-071-6785</t>
  </si>
  <si>
    <t>2302 Armstrong Hill, Olsonchester, NH 96839</t>
  </si>
  <si>
    <t>1978-01-30</t>
  </si>
  <si>
    <t>2025-03-21</t>
  </si>
  <si>
    <t>Jaclyn Ward</t>
  </si>
  <si>
    <t>richardsmith@yahoo.com</t>
  </si>
  <si>
    <t>001-966-034-6201</t>
  </si>
  <si>
    <t>PSC 5579, Box 4879, APO AA 36141</t>
  </si>
  <si>
    <t>Miller-Lee</t>
  </si>
  <si>
    <t>1960-10-25</t>
  </si>
  <si>
    <t>2016-01-24</t>
  </si>
  <si>
    <t>Angela Williams</t>
  </si>
  <si>
    <t>malik59@hotmail.com</t>
  </si>
  <si>
    <t>001-994-478-5303x880</t>
  </si>
  <si>
    <t>95401 Wilson Road, Weaverland, MS 64268</t>
  </si>
  <si>
    <t>2005-03-06</t>
  </si>
  <si>
    <t>Samantha Munoz Dds</t>
  </si>
  <si>
    <t>wendyblankenship@gmail.com</t>
  </si>
  <si>
    <t>952.465.4573x9510</t>
  </si>
  <si>
    <t>2059 Kim Causeway Apt. 994, Kendrahaven, IN 61668</t>
  </si>
  <si>
    <t>Martinez Ltd</t>
  </si>
  <si>
    <t>2023-02-14</t>
  </si>
  <si>
    <t>rebecca58@villegas.com</t>
  </si>
  <si>
    <t>181.693.1437x746</t>
  </si>
  <si>
    <t>0123 Hamilton Spring Apt. 446, Port Christophertown, AK 30875</t>
  </si>
  <si>
    <t>Munoz-Doyle</t>
  </si>
  <si>
    <t>1986-09-03</t>
  </si>
  <si>
    <t>2020-05-23</t>
  </si>
  <si>
    <t>Ashley Mccarthy</t>
  </si>
  <si>
    <t>tony21@hotmail.com</t>
  </si>
  <si>
    <t>(471)273-7119x979</t>
  </si>
  <si>
    <t>41948 Kara Fork, Port Aaronport, WA 02027</t>
  </si>
  <si>
    <t>1971-11-10</t>
  </si>
  <si>
    <t>Mary Stafford</t>
  </si>
  <si>
    <t>yphillips@harper-miller.biz</t>
  </si>
  <si>
    <t>971-382-1620x8199</t>
  </si>
  <si>
    <t>85750 Emily Burg, Port Janetchester, MD 05039</t>
  </si>
  <si>
    <t>Sandoval Group</t>
  </si>
  <si>
    <t>1960-07-06</t>
  </si>
  <si>
    <t>2016-12-28</t>
  </si>
  <si>
    <t>Devin Moreno</t>
  </si>
  <si>
    <t>ygarcia@cobb.com</t>
  </si>
  <si>
    <t>001-081-473-5144x360</t>
  </si>
  <si>
    <t>6558 Alexis Station Apt. 230, Wilsonfurt, TN 47262</t>
  </si>
  <si>
    <t>Frederick, Bridges and Mitchell</t>
  </si>
  <si>
    <t>2001-10-18</t>
  </si>
  <si>
    <t>John Hatfield</t>
  </si>
  <si>
    <t>normawhite@yahoo.com</t>
  </si>
  <si>
    <t>115-135-0118</t>
  </si>
  <si>
    <t>6689 Scott Tunnel Apt. 291, South Thomasstad, WY 53886</t>
  </si>
  <si>
    <t>Lozano-Lopez</t>
  </si>
  <si>
    <t>1961-04-13</t>
  </si>
  <si>
    <t>bowenkatrina@hotmail.com</t>
  </si>
  <si>
    <t>+1-489-609-6285x07790</t>
  </si>
  <si>
    <t>08594 Crawford Plain Apt. 297, West Joseph, LA 35269</t>
  </si>
  <si>
    <t>Cruz Group</t>
  </si>
  <si>
    <t>1989-10-22</t>
  </si>
  <si>
    <t>2019-01-15</t>
  </si>
  <si>
    <t>Casey Reed</t>
  </si>
  <si>
    <t>courtneycollins@yahoo.com</t>
  </si>
  <si>
    <t>(299)128-8024</t>
  </si>
  <si>
    <t>179 Courtney Station Apt. 230, Harrisfort, ND 79643</t>
  </si>
  <si>
    <t>Long, Reed and Hart</t>
  </si>
  <si>
    <t>1982-11-10</t>
  </si>
  <si>
    <t>2018-08-22</t>
  </si>
  <si>
    <t>Michaela Turner</t>
  </si>
  <si>
    <t>shahandrea@gmail.com</t>
  </si>
  <si>
    <t>(596)394-6191x87219</t>
  </si>
  <si>
    <t>85803 Shannon Bypass, West Drew, VA 18586</t>
  </si>
  <si>
    <t>Kim-Lee</t>
  </si>
  <si>
    <t>1963-01-14</t>
  </si>
  <si>
    <t>2016-01-10</t>
  </si>
  <si>
    <t>Michelle Sandoval</t>
  </si>
  <si>
    <t>julie12@petty.com</t>
  </si>
  <si>
    <t>+1-456-155-1852x83034</t>
  </si>
  <si>
    <t>64554 Jared Plaza, North Veronica, AK 35858</t>
  </si>
  <si>
    <t>Clark, Jordan and Riggs</t>
  </si>
  <si>
    <t>2000-12-27</t>
  </si>
  <si>
    <t>Ariana Davis</t>
  </si>
  <si>
    <t>mcastillo@gmail.com</t>
  </si>
  <si>
    <t>+1-482-073-3683</t>
  </si>
  <si>
    <t>6139 Diane Knoll, Shepardtown, MS 39212</t>
  </si>
  <si>
    <t>Ford-Richmond</t>
  </si>
  <si>
    <t>1985-02-23</t>
  </si>
  <si>
    <t>2019-04-20</t>
  </si>
  <si>
    <t>Calvin Harper</t>
  </si>
  <si>
    <t>deckerbenjamin@hotmail.com</t>
  </si>
  <si>
    <t>562-385-8692x15872</t>
  </si>
  <si>
    <t>138 Lopez River, Erinview, KY 30204</t>
  </si>
  <si>
    <t>Hill PLC</t>
  </si>
  <si>
    <t>1988-04-22</t>
  </si>
  <si>
    <t>2020-05-30</t>
  </si>
  <si>
    <t>Jennifer Holt</t>
  </si>
  <si>
    <t>brownmaria@cowan-jones.com</t>
  </si>
  <si>
    <t>+1-652-297-8815x6385</t>
  </si>
  <si>
    <t>8702 Nicholas Course Suite 894, Katherineview, AL 22214</t>
  </si>
  <si>
    <t>Lee-Finley</t>
  </si>
  <si>
    <t>1990-04-17</t>
  </si>
  <si>
    <t>James Pierce</t>
  </si>
  <si>
    <t>gkelly@davis.info</t>
  </si>
  <si>
    <t>702-216-1978x58841</t>
  </si>
  <si>
    <t>4551 Timothy Cliff, Katieport, IA 80074</t>
  </si>
  <si>
    <t>1981-06-18</t>
  </si>
  <si>
    <t>Kaylee Diaz</t>
  </si>
  <si>
    <t>amandablackwell@craig.biz</t>
  </si>
  <si>
    <t>161.784.1044</t>
  </si>
  <si>
    <t>5200 Brandon Forge, Bushfurt, TX 29051</t>
  </si>
  <si>
    <t>1968-03-24</t>
  </si>
  <si>
    <t>2021-06-22</t>
  </si>
  <si>
    <t>Nicole Spencer</t>
  </si>
  <si>
    <t>mooretara@gmail.com</t>
  </si>
  <si>
    <t>180.585.4898x14303</t>
  </si>
  <si>
    <t>Unit 5385 Box 6187, DPO AA 37297</t>
  </si>
  <si>
    <t>Johnson-Lutz</t>
  </si>
  <si>
    <t>1988-04-12</t>
  </si>
  <si>
    <t>2025-04-11</t>
  </si>
  <si>
    <t>Mrs. Jessica Vasquez Md</t>
  </si>
  <si>
    <t>brittanyrussell@yahoo.com</t>
  </si>
  <si>
    <t>113.130.1609x134</t>
  </si>
  <si>
    <t>6430 John Mountain, Smithville, SC 77855</t>
  </si>
  <si>
    <t>Padilla, Davis and Reyes</t>
  </si>
  <si>
    <t>1967-05-17</t>
  </si>
  <si>
    <t>Gregory Woods</t>
  </si>
  <si>
    <t>kristenbrown@gmail.com</t>
  </si>
  <si>
    <t>117-604-8077</t>
  </si>
  <si>
    <t>92021 Johnson Loop Apt. 291, North Sharon, UT 83177</t>
  </si>
  <si>
    <t>Becker, Munoz and Prince</t>
  </si>
  <si>
    <t>1998-05-04</t>
  </si>
  <si>
    <t>Christopher Burke</t>
  </si>
  <si>
    <t>allen70@gomez-howard.com</t>
  </si>
  <si>
    <t>(141)133-6898x4809</t>
  </si>
  <si>
    <t>2796 Katelyn Viaduct, Johnsonville, MI 32627</t>
  </si>
  <si>
    <t>Weaver, Ramsey and Bailey</t>
  </si>
  <si>
    <t>1960-08-21</t>
  </si>
  <si>
    <t>2020-11-11</t>
  </si>
  <si>
    <t>Samantha Diaz</t>
  </si>
  <si>
    <t>jontyler@walker.org</t>
  </si>
  <si>
    <t>(271)838-0527</t>
  </si>
  <si>
    <t>1121 Parker Oval, Lake Charles, TX 05763</t>
  </si>
  <si>
    <t>Hampton-King</t>
  </si>
  <si>
    <t>1984-11-18</t>
  </si>
  <si>
    <t>Tina Logan</t>
  </si>
  <si>
    <t>mirandahenry@gmail.com</t>
  </si>
  <si>
    <t>171.176.1825</t>
  </si>
  <si>
    <t>86268 Richards Road Apt. 949, West Jessicaport, ND 88137</t>
  </si>
  <si>
    <t>Jones-Ellison</t>
  </si>
  <si>
    <t>1969-07-27</t>
  </si>
  <si>
    <t>Cynthia Torres</t>
  </si>
  <si>
    <t>kristinawilliams@ford.com</t>
  </si>
  <si>
    <t>+1-621-953-6991x223</t>
  </si>
  <si>
    <t>364 Cameron Heights, Hudsonhaven, MO 43392</t>
  </si>
  <si>
    <t>Wilson, Preston and Vega</t>
  </si>
  <si>
    <t>1991-05-16</t>
  </si>
  <si>
    <t>Brian Gonzalez</t>
  </si>
  <si>
    <t>proth@hotmail.com</t>
  </si>
  <si>
    <t>(799)941-6125x6117</t>
  </si>
  <si>
    <t>813 Hunter Rapid, Connorfort, CO 32719</t>
  </si>
  <si>
    <t>Baxter LLC</t>
  </si>
  <si>
    <t>Leslie Mcmahon</t>
  </si>
  <si>
    <t>brianhoffman@hotmail.com</t>
  </si>
  <si>
    <t>018-417-1515</t>
  </si>
  <si>
    <t>1389 Porter Drives, Port Sierraberg, CA 58932</t>
  </si>
  <si>
    <t>Knight, Porter and Lopez</t>
  </si>
  <si>
    <t>1995-02-24</t>
  </si>
  <si>
    <t>2016-03-04</t>
  </si>
  <si>
    <t>Teresa Kirby</t>
  </si>
  <si>
    <t>gpowers@lowe.com</t>
  </si>
  <si>
    <t>436-747-3632</t>
  </si>
  <si>
    <t>84824 Heather Estates Suite 472, Ponceview, SC 07318</t>
  </si>
  <si>
    <t>Burke-King</t>
  </si>
  <si>
    <t>1966-07-10</t>
  </si>
  <si>
    <t>2016-12-31</t>
  </si>
  <si>
    <t>Todd Herrera</t>
  </si>
  <si>
    <t>singhvanessa@robinson.com</t>
  </si>
  <si>
    <t>410.535.5044</t>
  </si>
  <si>
    <t>08434 Smith Inlet Apt. 054, Matthewton, SC 05397</t>
  </si>
  <si>
    <t>Engineer, automotive</t>
  </si>
  <si>
    <t>Arnold, Tyler and Wong</t>
  </si>
  <si>
    <t>1977-07-13</t>
  </si>
  <si>
    <t>Melissa Garrett</t>
  </si>
  <si>
    <t>andrew46@stevens.com</t>
  </si>
  <si>
    <t>001-769-230-3839x3384</t>
  </si>
  <si>
    <t>875 Dawn Prairie, East Jerry, MD 27111</t>
  </si>
  <si>
    <t>1975-11-28</t>
  </si>
  <si>
    <t>Ashley Wells</t>
  </si>
  <si>
    <t>michellewest@gmail.com</t>
  </si>
  <si>
    <t>+1-844-948-2916x4540</t>
  </si>
  <si>
    <t>240 Rachel Islands, Taraberg, MI 32945</t>
  </si>
  <si>
    <t>Schneider and Sons</t>
  </si>
  <si>
    <t>Victor French</t>
  </si>
  <si>
    <t>smyers@donaldson.com</t>
  </si>
  <si>
    <t>(224)905-1879x9589</t>
  </si>
  <si>
    <t>441 Kyle Expressway, Zamorachester, AR 70061</t>
  </si>
  <si>
    <t>2004-06-27</t>
  </si>
  <si>
    <t>2022-02-18</t>
  </si>
  <si>
    <t>Brenda Evans</t>
  </si>
  <si>
    <t>youngedward@hotmail.com</t>
  </si>
  <si>
    <t>827-687-4452x792</t>
  </si>
  <si>
    <t>5413 Hernandez Harbors Suite 702, Mcconnellchester, AK 59806</t>
  </si>
  <si>
    <t>Hanna, Edwards and Floyd</t>
  </si>
  <si>
    <t>1990-05-11</t>
  </si>
  <si>
    <t>qadams@gmail.com</t>
  </si>
  <si>
    <t>789.739.2850x51305</t>
  </si>
  <si>
    <t>4781 Collins Pine Suite 629, East Bethany, TN 66656</t>
  </si>
  <si>
    <t>Jimenez, Moore and Estes</t>
  </si>
  <si>
    <t>1978-04-11</t>
  </si>
  <si>
    <t>2022-08-07</t>
  </si>
  <si>
    <t>Melissa Rodriguez</t>
  </si>
  <si>
    <t>julia46@yahoo.com</t>
  </si>
  <si>
    <t>(386)889-2643x887</t>
  </si>
  <si>
    <t>064 Wells Valley Apt. 613, South Bobby, OR 90454</t>
  </si>
  <si>
    <t>Malone Ltd</t>
  </si>
  <si>
    <t>1986-09-26</t>
  </si>
  <si>
    <t>2018-01-02</t>
  </si>
  <si>
    <t>Tyrone Miller</t>
  </si>
  <si>
    <t>joseph76@yahoo.com</t>
  </si>
  <si>
    <t>901-785-9889x0570</t>
  </si>
  <si>
    <t>Unit 1415 Box 7796, DPO AA 05129</t>
  </si>
  <si>
    <t>Obrien-Chavez</t>
  </si>
  <si>
    <t>1975-07-11</t>
  </si>
  <si>
    <t>2024-06-17</t>
  </si>
  <si>
    <t>Adam Hall</t>
  </si>
  <si>
    <t>kellyherrera@hotmail.com</t>
  </si>
  <si>
    <t>008-613-1036x187</t>
  </si>
  <si>
    <t>613 Rodney Summit Suite 013, Edwardsshire, AL 15338</t>
  </si>
  <si>
    <t>Deleon-Barber</t>
  </si>
  <si>
    <t>2005-03-16</t>
  </si>
  <si>
    <t>Monica Sanchez</t>
  </si>
  <si>
    <t>butleralexis@brown.com</t>
  </si>
  <si>
    <t>874.823.3805x515</t>
  </si>
  <si>
    <t>73121 Jack Stream Suite 609, Lake Tara, UT 59952</t>
  </si>
  <si>
    <t>Learning mentor</t>
  </si>
  <si>
    <t>Waters Inc</t>
  </si>
  <si>
    <t>1960-09-30</t>
  </si>
  <si>
    <t>2021-07-28</t>
  </si>
  <si>
    <t>Max Thompson</t>
  </si>
  <si>
    <t>novakerica@gmail.com</t>
  </si>
  <si>
    <t>(651)102-6845x059</t>
  </si>
  <si>
    <t>Unit 2926 Box 1111, DPO AE 31179</t>
  </si>
  <si>
    <t>Garcia, Butler and Allen</t>
  </si>
  <si>
    <t>2001-01-12</t>
  </si>
  <si>
    <t>Lindsay Meyers</t>
  </si>
  <si>
    <t>kenneth73@soto-myers.net</t>
  </si>
  <si>
    <t>001-848-280-8352</t>
  </si>
  <si>
    <t>7706 Lucas Ferry Suite 448, Hansonland, NM 44622</t>
  </si>
  <si>
    <t>Juarez, Lawrence and Suarez</t>
  </si>
  <si>
    <t>1987-07-24</t>
  </si>
  <si>
    <t>2017-10-23</t>
  </si>
  <si>
    <t>Mr. Daniel Kirby</t>
  </si>
  <si>
    <t>othomas@hotmail.com</t>
  </si>
  <si>
    <t>001-680-777-2291</t>
  </si>
  <si>
    <t>22884 Henry Knolls, Taraside, IA 42098</t>
  </si>
  <si>
    <t>Wheeler-Henry</t>
  </si>
  <si>
    <t>2025-02-05</t>
  </si>
  <si>
    <t>Kiara Jenkins</t>
  </si>
  <si>
    <t>mirandarojas@hotmail.com</t>
  </si>
  <si>
    <t>001-608-265-5444x928</t>
  </si>
  <si>
    <t>923 Jay Prairie, New Faith, ND 49461</t>
  </si>
  <si>
    <t>Baker Inc</t>
  </si>
  <si>
    <t>1960-11-22</t>
  </si>
  <si>
    <t>2021-06-09</t>
  </si>
  <si>
    <t>Anthony Daniel</t>
  </si>
  <si>
    <t>jwalsh@walsh.net</t>
  </si>
  <si>
    <t>+1-782-338-9322</t>
  </si>
  <si>
    <t>Unit 7606 Box 7870, DPO AE 22706</t>
  </si>
  <si>
    <t>Diplomatic Services operational officer</t>
  </si>
  <si>
    <t>Smith-Brewer</t>
  </si>
  <si>
    <t>1967-11-28</t>
  </si>
  <si>
    <t>Walter Dominguez</t>
  </si>
  <si>
    <t>stewartgrace@sanders-perez.com</t>
  </si>
  <si>
    <t>001-381-058-7900x09501</t>
  </si>
  <si>
    <t>1341 Rose Valley Apt. 042, West Casey, IL 93586</t>
  </si>
  <si>
    <t>2006-06-21</t>
  </si>
  <si>
    <t>2020-09-04</t>
  </si>
  <si>
    <t>Lori Ward</t>
  </si>
  <si>
    <t>kristen89@brown.org</t>
  </si>
  <si>
    <t>(207)928-9696</t>
  </si>
  <si>
    <t>40239 Johnston Stravenue Apt. 118, Schwartzstad, DE 11391</t>
  </si>
  <si>
    <t>Briggs, Myers and Shaw</t>
  </si>
  <si>
    <t>1992-10-18</t>
  </si>
  <si>
    <t>2018-02-10</t>
  </si>
  <si>
    <t>Jane Shaw</t>
  </si>
  <si>
    <t>billyhuff@martin.com</t>
  </si>
  <si>
    <t>001-971-512-5160</t>
  </si>
  <si>
    <t>5695 Melissa Plain, Williamton, IL 63041</t>
  </si>
  <si>
    <t>Kane, Carson and Phillips</t>
  </si>
  <si>
    <t>1966-07-12</t>
  </si>
  <si>
    <t>2023-02-16</t>
  </si>
  <si>
    <t>Brandi Wilkinson</t>
  </si>
  <si>
    <t>njordan@hotmail.com</t>
  </si>
  <si>
    <t>9993281206</t>
  </si>
  <si>
    <t>Unit 3873 Box 0176, DPO AA 46066</t>
  </si>
  <si>
    <t>Byrd-Serrano</t>
  </si>
  <si>
    <t>1985-04-07</t>
  </si>
  <si>
    <t>2019-11-03</t>
  </si>
  <si>
    <t>Robert Allison</t>
  </si>
  <si>
    <t>russellrhonda@gmail.com</t>
  </si>
  <si>
    <t>4253758042</t>
  </si>
  <si>
    <t>PSC 2378, Box 8215, APO AE 04366</t>
  </si>
  <si>
    <t>Aguirre, Wagner and Shannon</t>
  </si>
  <si>
    <t>1989-12-22</t>
  </si>
  <si>
    <t>Amber Saunders</t>
  </si>
  <si>
    <t>normanelizabeth@hotmail.com</t>
  </si>
  <si>
    <t>(203)695-5149x2821</t>
  </si>
  <si>
    <t>765 Kenneth Estate, Michaelville, NM 77646</t>
  </si>
  <si>
    <t>Underwood LLC</t>
  </si>
  <si>
    <t>1986-12-11</t>
  </si>
  <si>
    <t>2017-09-05</t>
  </si>
  <si>
    <t>Lori Turner</t>
  </si>
  <si>
    <t>mnichols@hotmail.com</t>
  </si>
  <si>
    <t>783-516-1312x3816</t>
  </si>
  <si>
    <t>6429 Scott Crossing Apt. 762, North Allen, NM 78408</t>
  </si>
  <si>
    <t>Knapp Inc</t>
  </si>
  <si>
    <t>Kevin Schultz</t>
  </si>
  <si>
    <t>frollins@hotmail.com</t>
  </si>
  <si>
    <t>(852)814-4139x922</t>
  </si>
  <si>
    <t>097 Christine Bypass, Martinezville, GA 19345</t>
  </si>
  <si>
    <t>Miller, Lang and Jones</t>
  </si>
  <si>
    <t>2005-02-28</t>
  </si>
  <si>
    <t>2018-03-19</t>
  </si>
  <si>
    <t>Jacqueline Lara</t>
  </si>
  <si>
    <t>gmurphy@castro.org</t>
  </si>
  <si>
    <t>001-245-427-3384</t>
  </si>
  <si>
    <t>8531 Leonard Bypass Apt. 447, North Aliciaview, SC 58126</t>
  </si>
  <si>
    <t>Richardson, Jensen and Middleton</t>
  </si>
  <si>
    <t>2015-12-15</t>
  </si>
  <si>
    <t>Peter Martin</t>
  </si>
  <si>
    <t>jessicahenderson@santiago.com</t>
  </si>
  <si>
    <t>+1-387-182-3934x411</t>
  </si>
  <si>
    <t>1511 Shea Point, New Veronica, NH 20303</t>
  </si>
  <si>
    <t>Carter, Gray and Hughes</t>
  </si>
  <si>
    <t>Michael Bell</t>
  </si>
  <si>
    <t>nicole75@white.com</t>
  </si>
  <si>
    <t>+1-651-506-5721x9776</t>
  </si>
  <si>
    <t>6459 Brian Overpass Apt. 407, Cunninghamchester, WA 26023</t>
  </si>
  <si>
    <t>Engineer, agricultural</t>
  </si>
  <si>
    <t>Nelson, Boyd and Ellis</t>
  </si>
  <si>
    <t>1968-05-06</t>
  </si>
  <si>
    <t>2024-08-08</t>
  </si>
  <si>
    <t>Anna Garcia</t>
  </si>
  <si>
    <t>allen15@yahoo.com</t>
  </si>
  <si>
    <t>480.290.3375</t>
  </si>
  <si>
    <t>USS Adams, FPO AA 86351</t>
  </si>
  <si>
    <t>Cole-Guzman</t>
  </si>
  <si>
    <t>1992-06-20</t>
  </si>
  <si>
    <t>Ebony Fisher</t>
  </si>
  <si>
    <t>glenn82@gonzalez.com</t>
  </si>
  <si>
    <t>(384)529-2526x954</t>
  </si>
  <si>
    <t>895 Gabriel Branch, East Laura, TX 52767</t>
  </si>
  <si>
    <t>Elliott, Robertson and Butler</t>
  </si>
  <si>
    <t>2004-03-26</t>
  </si>
  <si>
    <t>2024-11-15</t>
  </si>
  <si>
    <t>Mark Rodriguez</t>
  </si>
  <si>
    <t>elizabethschneider@roberson.com</t>
  </si>
  <si>
    <t>464-906-9301x8777</t>
  </si>
  <si>
    <t>1457 Ferguson Spring, Floresborough, WV 09437</t>
  </si>
  <si>
    <t>Wade-Perry</t>
  </si>
  <si>
    <t>2000-04-07</t>
  </si>
  <si>
    <t>Nicole Brown</t>
  </si>
  <si>
    <t>stephenjackson@cooper.com</t>
  </si>
  <si>
    <t>625.146.0826x33251</t>
  </si>
  <si>
    <t>2954 White Corners, Kellymouth, NY 81950</t>
  </si>
  <si>
    <t>Thompson, Barnes and Cordova</t>
  </si>
  <si>
    <t>1970-03-09</t>
  </si>
  <si>
    <t>2019-11-28</t>
  </si>
  <si>
    <t>Peter Brown</t>
  </si>
  <si>
    <t>roberthurley@reid-dominguez.info</t>
  </si>
  <si>
    <t>(829)727-7563x6152</t>
  </si>
  <si>
    <t>46044 Matthew Dam, Larashire, ME 54657</t>
  </si>
  <si>
    <t>Young-Horne</t>
  </si>
  <si>
    <t>Thomas Cardenas</t>
  </si>
  <si>
    <t>garciagregory@gmail.com</t>
  </si>
  <si>
    <t>8360270751</t>
  </si>
  <si>
    <t>681 John Mill Suite 314, Eileenville, IN 03193</t>
  </si>
  <si>
    <t>Hancock, Bailey and Hancock</t>
  </si>
  <si>
    <t>1969-11-13</t>
  </si>
  <si>
    <t>2024-07-16</t>
  </si>
  <si>
    <t>Timothy Brady</t>
  </si>
  <si>
    <t>andersondavid@gmail.com</t>
  </si>
  <si>
    <t>+1-013-048-4210x898</t>
  </si>
  <si>
    <t>928 Bishop Corner Apt. 700, West Meghanview, AL 51492</t>
  </si>
  <si>
    <t>Pierce-Cunningham</t>
  </si>
  <si>
    <t>2006-02-17</t>
  </si>
  <si>
    <t>Gina Thompson</t>
  </si>
  <si>
    <t>canderson@roberts-wilson.com</t>
  </si>
  <si>
    <t>001-453-988-2958x75636</t>
  </si>
  <si>
    <t>5231 Samuel Passage Suite 603, West Kimberly, KS 88597</t>
  </si>
  <si>
    <t>Data processing manager</t>
  </si>
  <si>
    <t>Bell-Lee</t>
  </si>
  <si>
    <t>1978-09-30</t>
  </si>
  <si>
    <t>2016-03-13</t>
  </si>
  <si>
    <t>Michael Weaver</t>
  </si>
  <si>
    <t>dtorres@yahoo.com</t>
  </si>
  <si>
    <t>0546941984</t>
  </si>
  <si>
    <t>3969 Bradley Ridge, Schaeferchester, NJ 59825</t>
  </si>
  <si>
    <t>Clayton-Lewis</t>
  </si>
  <si>
    <t>1985-06-16</t>
  </si>
  <si>
    <t>2018-02-12</t>
  </si>
  <si>
    <t>Donna Chung</t>
  </si>
  <si>
    <t>larry07@adkins-clark.net</t>
  </si>
  <si>
    <t>482-666-6291</t>
  </si>
  <si>
    <t>42245 Amy Drives, Alisonshire, SC 23527</t>
  </si>
  <si>
    <t>Evans-Beard</t>
  </si>
  <si>
    <t>1972-10-13</t>
  </si>
  <si>
    <t>Mary Sosa</t>
  </si>
  <si>
    <t>ricardo64@yahoo.com</t>
  </si>
  <si>
    <t>+1-786-139-9941</t>
  </si>
  <si>
    <t>59889 Sarah Field Apt. 627, Davisborough, AL 36671</t>
  </si>
  <si>
    <t>Alvarez and Sons</t>
  </si>
  <si>
    <t>1989-10-04</t>
  </si>
  <si>
    <t>2022-02-27</t>
  </si>
  <si>
    <t>David Beck</t>
  </si>
  <si>
    <t>ryan28@koch.net</t>
  </si>
  <si>
    <t>(596)023-8129x4318</t>
  </si>
  <si>
    <t>05545 Andrew Shoal Suite 531, Jonesside, TN 08800</t>
  </si>
  <si>
    <t>Norman-Joseph</t>
  </si>
  <si>
    <t>1996-09-26</t>
  </si>
  <si>
    <t>2017-07-15</t>
  </si>
  <si>
    <t>Jackie Johnson</t>
  </si>
  <si>
    <t>richard89@long.org</t>
  </si>
  <si>
    <t>+1-771-358-3516x404</t>
  </si>
  <si>
    <t>2495 Philip Viaduct, Powellfurt, ID 29167</t>
  </si>
  <si>
    <t>Shea Group</t>
  </si>
  <si>
    <t>1965-05-29</t>
  </si>
  <si>
    <t>deanna43@kerr-james.info</t>
  </si>
  <si>
    <t>206.518.5392x8137</t>
  </si>
  <si>
    <t>02451 Javier Forks Apt. 974, Virginiabury, OK 69585</t>
  </si>
  <si>
    <t>1991-11-03</t>
  </si>
  <si>
    <t>2022-03-28</t>
  </si>
  <si>
    <t>freemanmelissa@yahoo.com</t>
  </si>
  <si>
    <t>041-296-5911</t>
  </si>
  <si>
    <t>USNS Wheeler, FPO AA 50195</t>
  </si>
  <si>
    <t>Beck-Bryant</t>
  </si>
  <si>
    <t>1990-12-25</t>
  </si>
  <si>
    <t>2017-09-03</t>
  </si>
  <si>
    <t>Christopher Simpson</t>
  </si>
  <si>
    <t>thuff@johnson.com</t>
  </si>
  <si>
    <t>+1-998-887-6331</t>
  </si>
  <si>
    <t>PSC 1814, Box 8595, APO AA 22535</t>
  </si>
  <si>
    <t>Munoz Group</t>
  </si>
  <si>
    <t>2000-08-10</t>
  </si>
  <si>
    <t>2025-07-11</t>
  </si>
  <si>
    <t>Ernest Barrett</t>
  </si>
  <si>
    <t>uking@lloyd.com</t>
  </si>
  <si>
    <t>8487158263</t>
  </si>
  <si>
    <t>USNS Delacruz, FPO AA 26754</t>
  </si>
  <si>
    <t>1985-02-08</t>
  </si>
  <si>
    <t>Aimee Williams</t>
  </si>
  <si>
    <t>ylindsey@gmail.com</t>
  </si>
  <si>
    <t>774.588.6306x450</t>
  </si>
  <si>
    <t>52284 Osborn Plaza Apt. 613, Danielstad, IN 25094</t>
  </si>
  <si>
    <t>Macias Ltd</t>
  </si>
  <si>
    <t>2004-06-22</t>
  </si>
  <si>
    <t>Rebecca Lopez</t>
  </si>
  <si>
    <t>connor56@yahoo.com</t>
  </si>
  <si>
    <t>001-101-000-2544x052</t>
  </si>
  <si>
    <t>16996 Cuevas Extension, Williamsland, TN 13411</t>
  </si>
  <si>
    <t>Beck and Sons</t>
  </si>
  <si>
    <t>1999-02-15</t>
  </si>
  <si>
    <t>Kendra Snyder</t>
  </si>
  <si>
    <t>todddaniels@yahoo.com</t>
  </si>
  <si>
    <t>444-535-1642</t>
  </si>
  <si>
    <t>5455 Bradley Extensions, Millerport, RI 54699</t>
  </si>
  <si>
    <t>Neal-Henry</t>
  </si>
  <si>
    <t>1980-01-06</t>
  </si>
  <si>
    <t>Richard Wilson</t>
  </si>
  <si>
    <t>triddle@myers.com</t>
  </si>
  <si>
    <t>960-655-7327x922</t>
  </si>
  <si>
    <t>PSC 7950, Box 9756, APO AA 06253</t>
  </si>
  <si>
    <t>Johnston, Davenport and Wheeler</t>
  </si>
  <si>
    <t>1975-09-19</t>
  </si>
  <si>
    <t>2018-08-26</t>
  </si>
  <si>
    <t>Gerald Rodriguez</t>
  </si>
  <si>
    <t>spearselizabeth@cordova.com</t>
  </si>
  <si>
    <t>(339)482-5342</t>
  </si>
  <si>
    <t>08679 Castro Lane, North Kara, FL 65372</t>
  </si>
  <si>
    <t>Mcgee, Perry and Anderson</t>
  </si>
  <si>
    <t>1991-01-20</t>
  </si>
  <si>
    <t>2022-12-16</t>
  </si>
  <si>
    <t>Meredith Lucero</t>
  </si>
  <si>
    <t>garciareginald@yahoo.com</t>
  </si>
  <si>
    <t>(055)235-8477x269</t>
  </si>
  <si>
    <t>6692 Anne Stream Apt. 220, Charlesburgh, ID 67342</t>
  </si>
  <si>
    <t>Coleman-Solis</t>
  </si>
  <si>
    <t>2007-04-06</t>
  </si>
  <si>
    <t>2020-10-01</t>
  </si>
  <si>
    <t>Amber Kelley</t>
  </si>
  <si>
    <t>angelsmith@nelson.com</t>
  </si>
  <si>
    <t>066-811-3885</t>
  </si>
  <si>
    <t>9534 Toni Parks Suite 627, Shahside, CA 12398</t>
  </si>
  <si>
    <t>Lester Inc</t>
  </si>
  <si>
    <t>2003-11-04</t>
  </si>
  <si>
    <t>2023-02-04</t>
  </si>
  <si>
    <t>Anna Robles</t>
  </si>
  <si>
    <t>usawyer@hotmail.com</t>
  </si>
  <si>
    <t>(621)202-7190x698</t>
  </si>
  <si>
    <t>PSC 1377, Box 4568, APO AA 80003</t>
  </si>
  <si>
    <t>Ward, Hoover and Ortiz</t>
  </si>
  <si>
    <t>1968-06-09</t>
  </si>
  <si>
    <t>2023-12-27</t>
  </si>
  <si>
    <t>Charles Marks</t>
  </si>
  <si>
    <t>melinda13@gilbert.org</t>
  </si>
  <si>
    <t>894.942.1880x26409</t>
  </si>
  <si>
    <t>PSC 6328, Box 2008, APO AE 90144</t>
  </si>
  <si>
    <t>Jones PLC</t>
  </si>
  <si>
    <t>1961-09-11</t>
  </si>
  <si>
    <t>2016-10-30</t>
  </si>
  <si>
    <t>Brian Rose</t>
  </si>
  <si>
    <t>bullockstephanie@scott.com</t>
  </si>
  <si>
    <t>(662)829-1490</t>
  </si>
  <si>
    <t>94994 Mark Ramp, East Annettetown, WY 67748</t>
  </si>
  <si>
    <t>Washington Ltd</t>
  </si>
  <si>
    <t>2004-12-04</t>
  </si>
  <si>
    <t>2019-09-17</t>
  </si>
  <si>
    <t>Laura Eaton</t>
  </si>
  <si>
    <t>wellis@hotmail.com</t>
  </si>
  <si>
    <t>001-582-822-6428x7470</t>
  </si>
  <si>
    <t>997 Terrell Pines, Lake Erika, IA 92496</t>
  </si>
  <si>
    <t>Nichols, Thomas and Tran</t>
  </si>
  <si>
    <t>1989-04-03</t>
  </si>
  <si>
    <t>2024-10-22</t>
  </si>
  <si>
    <t>Elizabeth Brown</t>
  </si>
  <si>
    <t>jonathan69@nguyen.com</t>
  </si>
  <si>
    <t>643-089-9851x55530</t>
  </si>
  <si>
    <t>399 Schaefer Trace, Jameschester, UT 71174</t>
  </si>
  <si>
    <t>Galvan Inc</t>
  </si>
  <si>
    <t>1963-06-16</t>
  </si>
  <si>
    <t>Dr. Mandy Fox Md</t>
  </si>
  <si>
    <t>hfrancis@schmidt.com</t>
  </si>
  <si>
    <t>131.611.6518x4971</t>
  </si>
  <si>
    <t>6136 Rose Plains Suite 575, West Kimberlychester, GA 80488</t>
  </si>
  <si>
    <t>Reyes-Mckenzie</t>
  </si>
  <si>
    <t>1968-05-12</t>
  </si>
  <si>
    <t>2019-10-03</t>
  </si>
  <si>
    <t>Logan Krueger</t>
  </si>
  <si>
    <t>vparker@adams-hebert.com</t>
  </si>
  <si>
    <t>257.945.6583x66306</t>
  </si>
  <si>
    <t>54936 Joseph Hills Suite 078, South Jacob, ND 97656</t>
  </si>
  <si>
    <t>Mccoy Group</t>
  </si>
  <si>
    <t>1995-11-24</t>
  </si>
  <si>
    <t>2017-07-07</t>
  </si>
  <si>
    <t>Monique Hamilton</t>
  </si>
  <si>
    <t>sabrina35@yahoo.com</t>
  </si>
  <si>
    <t>(254)002-0087</t>
  </si>
  <si>
    <t>050 Smith Mountain Suite 020, Port Victoriaport, TX 48520</t>
  </si>
  <si>
    <t>Reid-Smith</t>
  </si>
  <si>
    <t>1978-09-15</t>
  </si>
  <si>
    <t>Jessica Dominguez</t>
  </si>
  <si>
    <t>codysanchez@elliott.com</t>
  </si>
  <si>
    <t>001-146-480-6293x45925</t>
  </si>
  <si>
    <t>24423 Velazquez Point, South Andrewview, WI 47376</t>
  </si>
  <si>
    <t>Gallegos PLC</t>
  </si>
  <si>
    <t>1990-02-22</t>
  </si>
  <si>
    <t>Katie Davis</t>
  </si>
  <si>
    <t>mark20@johnson.biz</t>
  </si>
  <si>
    <t>+1-046-258-2797x7178</t>
  </si>
  <si>
    <t>46977 Jennifer Lake, North Paulberg, AL 10566</t>
  </si>
  <si>
    <t>Fuller LLC</t>
  </si>
  <si>
    <t>1960-12-27</t>
  </si>
  <si>
    <t>2021-07-08</t>
  </si>
  <si>
    <t>Diana Aguirre Dds</t>
  </si>
  <si>
    <t>brenda67@hotmail.com</t>
  </si>
  <si>
    <t>001-760-177-3751x401</t>
  </si>
  <si>
    <t>7835 Brendan Ports, Port Brian, VT 64801</t>
  </si>
  <si>
    <t>Shaw Inc</t>
  </si>
  <si>
    <t>1993-11-16</t>
  </si>
  <si>
    <t>Kelly Newton</t>
  </si>
  <si>
    <t>lauraanderson@yahoo.com</t>
  </si>
  <si>
    <t>(123)335-3231x467</t>
  </si>
  <si>
    <t>79472 Charles Crescent Apt. 825, North Dawnchester, MN 68172</t>
  </si>
  <si>
    <t>Lang Ltd</t>
  </si>
  <si>
    <t>1971-09-09</t>
  </si>
  <si>
    <t>2019-02-04</t>
  </si>
  <si>
    <t>Tara Simpson</t>
  </si>
  <si>
    <t>jessicapham@gmail.com</t>
  </si>
  <si>
    <t>610.676.5383x48598</t>
  </si>
  <si>
    <t>6613 Connie Extensions Apt. 055, West Kevinchester, VA 32830</t>
  </si>
  <si>
    <t>Stafford-Hahn</t>
  </si>
  <si>
    <t>1992-04-03</t>
  </si>
  <si>
    <t>William Shea</t>
  </si>
  <si>
    <t>brittanyweaver@yahoo.com</t>
  </si>
  <si>
    <t>001-805-427-1067x274</t>
  </si>
  <si>
    <t>113 Morris Mountain, Lake Bethmouth, WY 19048</t>
  </si>
  <si>
    <t>Barrister</t>
  </si>
  <si>
    <t>Robinson-Vasquez</t>
  </si>
  <si>
    <t>1991-01-17</t>
  </si>
  <si>
    <t>2022-12-25</t>
  </si>
  <si>
    <t>Kimberly Ruiz</t>
  </si>
  <si>
    <t>qwallace@lucas.com</t>
  </si>
  <si>
    <t>001-582-621-0625x6939</t>
  </si>
  <si>
    <t>962 Garcia Roads Apt. 763, Alexanderton, CA 45579</t>
  </si>
  <si>
    <t>Tanner and Sons</t>
  </si>
  <si>
    <t>1991-02-28</t>
  </si>
  <si>
    <t>Gregory Lawson</t>
  </si>
  <si>
    <t>craigmartin@hotmail.com</t>
  </si>
  <si>
    <t>700-955-3153x9063</t>
  </si>
  <si>
    <t>52385 Martin Loaf Suite 093, Wrightton, AZ 18627</t>
  </si>
  <si>
    <t>Schmidt-Singh</t>
  </si>
  <si>
    <t>1986-11-06</t>
  </si>
  <si>
    <t>2019-08-22</t>
  </si>
  <si>
    <t>Tara Ramirez</t>
  </si>
  <si>
    <t>luisaguilar@hotmail.com</t>
  </si>
  <si>
    <t>001-886-108-2058</t>
  </si>
  <si>
    <t>1428 Russell Springs Suite 575, New Susanfort, NC 90522</t>
  </si>
  <si>
    <t>Ashley Hayes</t>
  </si>
  <si>
    <t>michael26@sutton.com</t>
  </si>
  <si>
    <t>621-579-3103x092</t>
  </si>
  <si>
    <t>3187 Laura Tunnel, North Margaretborough, MI 20019</t>
  </si>
  <si>
    <t>Murray, Robinson and Stewart</t>
  </si>
  <si>
    <t>1995-05-21</t>
  </si>
  <si>
    <t>2015-09-02</t>
  </si>
  <si>
    <t>Jennifer Cooper</t>
  </si>
  <si>
    <t>rebecca99@gmail.com</t>
  </si>
  <si>
    <t>+1-527-590-9392x0545</t>
  </si>
  <si>
    <t>31896 Cody Camp Suite 003, Gregorymouth, IL 38515</t>
  </si>
  <si>
    <t>Jackson Ltd</t>
  </si>
  <si>
    <t>2007-04-20</t>
  </si>
  <si>
    <t>Crystal Berry</t>
  </si>
  <si>
    <t>qanderson@hotmail.com</t>
  </si>
  <si>
    <t>(222)800-6761x3996</t>
  </si>
  <si>
    <t>8491 Todd Burgs Suite 689, Riveraview, RI 01237</t>
  </si>
  <si>
    <t>Gonzalez Inc</t>
  </si>
  <si>
    <t>1962-04-14</t>
  </si>
  <si>
    <t>2024-08-09</t>
  </si>
  <si>
    <t>kennethhall@duarte-skinner.net</t>
  </si>
  <si>
    <t>(965)966-2094</t>
  </si>
  <si>
    <t>348 Rebecca Forest Apt. 199, South Jamestown, OH 42749</t>
  </si>
  <si>
    <t>Psychotherapist, dance movement</t>
  </si>
  <si>
    <t>1969-07-29</t>
  </si>
  <si>
    <t>Terri Tyler</t>
  </si>
  <si>
    <t>bmiller@gmail.com</t>
  </si>
  <si>
    <t>000-904-0063</t>
  </si>
  <si>
    <t>PSC 0937, Box 3273, APO AP 89149</t>
  </si>
  <si>
    <t>Harper, Meyer and Lane</t>
  </si>
  <si>
    <t>1974-01-31</t>
  </si>
  <si>
    <t>2019-03-05</t>
  </si>
  <si>
    <t>Julie Diaz</t>
  </si>
  <si>
    <t>shahshaun@gmail.com</t>
  </si>
  <si>
    <t>8718445200</t>
  </si>
  <si>
    <t>5250 Cardenas Green Suite 778, Lake Marymouth, IA 09942</t>
  </si>
  <si>
    <t>Silva, Rhodes and Brown</t>
  </si>
  <si>
    <t>1965-11-21</t>
  </si>
  <si>
    <t>2025-05-22</t>
  </si>
  <si>
    <t>Daniel Pierce</t>
  </si>
  <si>
    <t>ocurtis@mccormick.com</t>
  </si>
  <si>
    <t>(898)859-9016</t>
  </si>
  <si>
    <t>377 Clark Meadow, North Larryfurt, WA 90547</t>
  </si>
  <si>
    <t>Thomas, Juarez and Jackson</t>
  </si>
  <si>
    <t>1979-08-30</t>
  </si>
  <si>
    <t>2019-12-26</t>
  </si>
  <si>
    <t>jordanrobert@martinez-lewis.info</t>
  </si>
  <si>
    <t>(157)860-7439x508</t>
  </si>
  <si>
    <t>790 Saunders Ranch, North Kelly, LA 46853</t>
  </si>
  <si>
    <t>Wheeler PLC</t>
  </si>
  <si>
    <t>2002-10-17</t>
  </si>
  <si>
    <t>2024-07-26</t>
  </si>
  <si>
    <t>Gregory Perez</t>
  </si>
  <si>
    <t>jasonjohnston@yahoo.com</t>
  </si>
  <si>
    <t>(234)627-0779x1589</t>
  </si>
  <si>
    <t>1569 Cox Light Suite 823, Meganton, DC 17624</t>
  </si>
  <si>
    <t>Holmes, Smith and Harrington</t>
  </si>
  <si>
    <t>1997-05-07</t>
  </si>
  <si>
    <t>2022-01-01</t>
  </si>
  <si>
    <t>Joanna Jimenez</t>
  </si>
  <si>
    <t>ypowell@christian.com</t>
  </si>
  <si>
    <t>+1-542-982-6816x317</t>
  </si>
  <si>
    <t>344 Melinda Cliffs, East Jeffrey, ND 50797</t>
  </si>
  <si>
    <t>Wallace, Lee and Watts</t>
  </si>
  <si>
    <t>1970-01-23</t>
  </si>
  <si>
    <t>2021-04-13</t>
  </si>
  <si>
    <t>Jerry Wilson</t>
  </si>
  <si>
    <t>nicholasnorris@rodriguez-sellers.org</t>
  </si>
  <si>
    <t>2318658479</t>
  </si>
  <si>
    <t>USNS James, FPO AE 75759</t>
  </si>
  <si>
    <t>Curtis Ltd</t>
  </si>
  <si>
    <t>2001-12-04</t>
  </si>
  <si>
    <t>2020-08-10</t>
  </si>
  <si>
    <t>Kristi Boone</t>
  </si>
  <si>
    <t>christophermaynard@yahoo.com</t>
  </si>
  <si>
    <t>+1-626-991-7203</t>
  </si>
  <si>
    <t>46453 Glenn Point, West Andrew, DC 53767</t>
  </si>
  <si>
    <t>Woods-Woodard</t>
  </si>
  <si>
    <t>1974-07-22</t>
  </si>
  <si>
    <t>2024-02-07</t>
  </si>
  <si>
    <t>Mrs. Samantha Gutierrez</t>
  </si>
  <si>
    <t>jacobsonrobert@gmail.com</t>
  </si>
  <si>
    <t>001-897-994-5370x43551</t>
  </si>
  <si>
    <t>905 Martinez Inlet Apt. 125, Dylanfort, OH 51394</t>
  </si>
  <si>
    <t>Webb and Sons</t>
  </si>
  <si>
    <t>1966-06-21</t>
  </si>
  <si>
    <t>Julie Sanford</t>
  </si>
  <si>
    <t>restrada@yahoo.com</t>
  </si>
  <si>
    <t>782-102-7502</t>
  </si>
  <si>
    <t>301 Matthew Via Apt. 778, West Stevenview, AL 12598</t>
  </si>
  <si>
    <t>Translator</t>
  </si>
  <si>
    <t>Bishop-Simon</t>
  </si>
  <si>
    <t>1986-07-08</t>
  </si>
  <si>
    <t>2022-07-11</t>
  </si>
  <si>
    <t>Miss Amanda Lynch</t>
  </si>
  <si>
    <t>tanner54@casey.info</t>
  </si>
  <si>
    <t>001-748-605-9813</t>
  </si>
  <si>
    <t>44198 Smith Glens Suite 782, Alfredview, IN 02712</t>
  </si>
  <si>
    <t>Nurse, learning disability</t>
  </si>
  <si>
    <t>Taylor, Maxwell and Lopez</t>
  </si>
  <si>
    <t>Rachel Thornton</t>
  </si>
  <si>
    <t>ymayer@boyd.com</t>
  </si>
  <si>
    <t>001-839-247-5936x335</t>
  </si>
  <si>
    <t>7344 Zachary Terrace Apt. 892, Melissaburgh, OR 97525</t>
  </si>
  <si>
    <t>Miller-Coleman</t>
  </si>
  <si>
    <t>1976-11-20</t>
  </si>
  <si>
    <t>Angela Mitchell</t>
  </si>
  <si>
    <t>kimberlyrios@gmail.com</t>
  </si>
  <si>
    <t>(288)048-1521</t>
  </si>
  <si>
    <t>PSC 8737, Box 5107, APO AP 57388</t>
  </si>
  <si>
    <t>Gomez PLC</t>
  </si>
  <si>
    <t>1985-10-17</t>
  </si>
  <si>
    <t>Elizabeth Flowers</t>
  </si>
  <si>
    <t>william71@hotmail.com</t>
  </si>
  <si>
    <t>+1-540-535-0538x31148</t>
  </si>
  <si>
    <t>7977 Wesley Loop Apt. 867, Port Tyler, SD 02182</t>
  </si>
  <si>
    <t>Lewis, Reynolds and Anderson</t>
  </si>
  <si>
    <t>1981-05-21</t>
  </si>
  <si>
    <t>Nicole Hart</t>
  </si>
  <si>
    <t>jacob91@hotmail.com</t>
  </si>
  <si>
    <t>001-205-669-3009</t>
  </si>
  <si>
    <t>346 Ortiz Street, Robinsonport, TN 83815</t>
  </si>
  <si>
    <t>Hall, Jackson and Patterson</t>
  </si>
  <si>
    <t>1999-10-22</t>
  </si>
  <si>
    <t>Justin Kim</t>
  </si>
  <si>
    <t>xrobinson@gmail.com</t>
  </si>
  <si>
    <t>001-082-795-2125x9249</t>
  </si>
  <si>
    <t>879 Kathryn Court Suite 368, Sarahmouth, TN 44255</t>
  </si>
  <si>
    <t>Davis-Wood</t>
  </si>
  <si>
    <t>1996-01-12</t>
  </si>
  <si>
    <t>2022-04-30</t>
  </si>
  <si>
    <t>Connor Lee</t>
  </si>
  <si>
    <t>pturner@barton.com</t>
  </si>
  <si>
    <t>(901)983-2886x1981</t>
  </si>
  <si>
    <t>7570 Yolanda Stravenue, Johnsonfurt, RI 59628</t>
  </si>
  <si>
    <t>Oneal-York</t>
  </si>
  <si>
    <t>1966-01-27</t>
  </si>
  <si>
    <t>2023-05-31</t>
  </si>
  <si>
    <t>Carla Wagner</t>
  </si>
  <si>
    <t>byoung@gmail.com</t>
  </si>
  <si>
    <t>006.527.1306x318</t>
  </si>
  <si>
    <t>981 Ellis Lodge Apt. 020, Chandlerville, GA 73995</t>
  </si>
  <si>
    <t>Williams-Little</t>
  </si>
  <si>
    <t>1974-08-03</t>
  </si>
  <si>
    <t>David Rubio</t>
  </si>
  <si>
    <t>jtaylor@barrett.com</t>
  </si>
  <si>
    <t>6266012485</t>
  </si>
  <si>
    <t>105 Bryan Coves Apt. 836, South Nancy, MS 10500</t>
  </si>
  <si>
    <t>1967-07-04</t>
  </si>
  <si>
    <t>Patrick Hunter</t>
  </si>
  <si>
    <t>stephaniegardner@hotmail.com</t>
  </si>
  <si>
    <t>+1-868-257-0616x11511</t>
  </si>
  <si>
    <t>504 Christina Knolls, Bryantborough, OR 08307</t>
  </si>
  <si>
    <t>Weaver Inc</t>
  </si>
  <si>
    <t>1998-04-22</t>
  </si>
  <si>
    <t>2020-01-30</t>
  </si>
  <si>
    <t>Steven Salazar</t>
  </si>
  <si>
    <t>probinson@thompson-nash.com</t>
  </si>
  <si>
    <t>(036)239-9178</t>
  </si>
  <si>
    <t>USS Whitaker, FPO AP 85491</t>
  </si>
  <si>
    <t>Mckinney-Aguirre</t>
  </si>
  <si>
    <t>2024-01-12</t>
  </si>
  <si>
    <t>Emily Phillips</t>
  </si>
  <si>
    <t>ebrown@fowler.info</t>
  </si>
  <si>
    <t>493-310-2106x21892</t>
  </si>
  <si>
    <t>0032 Roberson Rue, Joebury, NC 62248</t>
  </si>
  <si>
    <t>Williams LLC</t>
  </si>
  <si>
    <t>1987-09-11</t>
  </si>
  <si>
    <t>2024-10-14</t>
  </si>
  <si>
    <t>Andrea Chavez</t>
  </si>
  <si>
    <t>misty94@hanson-flores.org</t>
  </si>
  <si>
    <t>001-891-449-1912x89994</t>
  </si>
  <si>
    <t>477 Santos Mount Apt. 851, Williamstad, MT 65193</t>
  </si>
  <si>
    <t>Woods, Hughes and Smith</t>
  </si>
  <si>
    <t>1984-11-04</t>
  </si>
  <si>
    <t>Mr. Kyle Sullivan</t>
  </si>
  <si>
    <t>matthew57@miranda.net</t>
  </si>
  <si>
    <t>+1-984-703-0549x75350</t>
  </si>
  <si>
    <t>69023 Julie Expressway, Vincenttown, UT 52426</t>
  </si>
  <si>
    <t>Garcia-Collins</t>
  </si>
  <si>
    <t>2002-06-28</t>
  </si>
  <si>
    <t>2019-01-04</t>
  </si>
  <si>
    <t>Karen Williams</t>
  </si>
  <si>
    <t>johnlittle@gmail.com</t>
  </si>
  <si>
    <t>828-985-6449</t>
  </si>
  <si>
    <t>077 Ashley Trail Apt. 199, Vincentview, OK 16666</t>
  </si>
  <si>
    <t>Beck Ltd</t>
  </si>
  <si>
    <t>1972-05-06</t>
  </si>
  <si>
    <t>Andrea Rogers</t>
  </si>
  <si>
    <t>richardjones@hotmail.com</t>
  </si>
  <si>
    <t>141.224.9782x720</t>
  </si>
  <si>
    <t>14157 William Glens Apt. 768, Port Shannon, WV 41270</t>
  </si>
  <si>
    <t>Horton, Brooks and Humphrey</t>
  </si>
  <si>
    <t>1972-12-21</t>
  </si>
  <si>
    <t>2016-05-11</t>
  </si>
  <si>
    <t>Gregory Anderson</t>
  </si>
  <si>
    <t>littlebeth@hotmail.com</t>
  </si>
  <si>
    <t>001-882-486-4097x2729</t>
  </si>
  <si>
    <t>USNV Taylor, FPO AA 08380</t>
  </si>
  <si>
    <t>1972-07-16</t>
  </si>
  <si>
    <t>2020-11-22</t>
  </si>
  <si>
    <t>Bryan Decker</t>
  </si>
  <si>
    <t>larryewing@torres.com</t>
  </si>
  <si>
    <t>(369)827-0818</t>
  </si>
  <si>
    <t>9336 Villa Valleys Apt. 903, Jennyshire, LA 43671</t>
  </si>
  <si>
    <t>Perkins PLC</t>
  </si>
  <si>
    <t>2021-02-22</t>
  </si>
  <si>
    <t>Tracy Nicholson</t>
  </si>
  <si>
    <t>blairgeorge@yahoo.com</t>
  </si>
  <si>
    <t>(742)697-2791x916</t>
  </si>
  <si>
    <t>3179 Kathleen Stravenue Apt. 280, West Diane, SC 71942</t>
  </si>
  <si>
    <t>White, Dixon and Riley</t>
  </si>
  <si>
    <t>2000-12-18</t>
  </si>
  <si>
    <t>2016-04-16</t>
  </si>
  <si>
    <t>Keith Ayers</t>
  </si>
  <si>
    <t>vcollins@lopez.com</t>
  </si>
  <si>
    <t>0910954042</t>
  </si>
  <si>
    <t>76831 Watkins Plaza Apt. 170, New Phillipfurt, MD 20450</t>
  </si>
  <si>
    <t>Ward-Lewis</t>
  </si>
  <si>
    <t>1988-06-06</t>
  </si>
  <si>
    <t>Natasha Booth</t>
  </si>
  <si>
    <t>baldwinlisa@pena-osborn.org</t>
  </si>
  <si>
    <t>860-369-3079x34075</t>
  </si>
  <si>
    <t>330 Johnson Cove Suite 633, Steventon, NC 69568</t>
  </si>
  <si>
    <t>Wolf, Parker and Chambers</t>
  </si>
  <si>
    <t>1963-09-05</t>
  </si>
  <si>
    <t>2016-01-27</t>
  </si>
  <si>
    <t>Jerry Griffin</t>
  </si>
  <si>
    <t>smithheidi@mullins.biz</t>
  </si>
  <si>
    <t>954-425-7363x7755</t>
  </si>
  <si>
    <t>763 Joshua Place Suite 059, West Bruce, OK 40922</t>
  </si>
  <si>
    <t>Jackson-Baker</t>
  </si>
  <si>
    <t>2000-04-14</t>
  </si>
  <si>
    <t>2019-11-14</t>
  </si>
  <si>
    <t>Shannon Clark</t>
  </si>
  <si>
    <t>william89@johnson.org</t>
  </si>
  <si>
    <t>001-806-249-8114x7744</t>
  </si>
  <si>
    <t>361 Bray Island Suite 059, Kennethborough, UT 39446</t>
  </si>
  <si>
    <t>Davis, Davis and Spencer</t>
  </si>
  <si>
    <t>1974-12-27</t>
  </si>
  <si>
    <t>2021-03-18</t>
  </si>
  <si>
    <t>Jennifer Butler</t>
  </si>
  <si>
    <t>gonzalezjose@yahoo.com</t>
  </si>
  <si>
    <t>+1-291-684-9084x8714</t>
  </si>
  <si>
    <t>69298 Ray Springs, West Marissa, LA 84505</t>
  </si>
  <si>
    <t>2004-09-26</t>
  </si>
  <si>
    <t>2018-07-05</t>
  </si>
  <si>
    <t>Matthew Rocha</t>
  </si>
  <si>
    <t>jonesjamie@alexander.com</t>
  </si>
  <si>
    <t>(817)184-0976x578</t>
  </si>
  <si>
    <t>5461 Heather Points, Susanport, NY 18323</t>
  </si>
  <si>
    <t>Munoz, Hardin and Montgomery</t>
  </si>
  <si>
    <t>1984-12-05</t>
  </si>
  <si>
    <t>2022-12-20</t>
  </si>
  <si>
    <t>Thomas Powell</t>
  </si>
  <si>
    <t>sharonrogers@gmail.com</t>
  </si>
  <si>
    <t>(488)197-2473</t>
  </si>
  <si>
    <t>307 Carrillo Rest Suite 748, Jonborough, NY 25397</t>
  </si>
  <si>
    <t>Garcia, Rogers and Collins</t>
  </si>
  <si>
    <t>1981-04-08</t>
  </si>
  <si>
    <t>Jacob Watson</t>
  </si>
  <si>
    <t>wellslydia@smith.com</t>
  </si>
  <si>
    <t>+1-831-241-0935x07035</t>
  </si>
  <si>
    <t>408 Daniel Well, New Tamara, SD 90381</t>
  </si>
  <si>
    <t>Smith-Rogers</t>
  </si>
  <si>
    <t>1986-01-15</t>
  </si>
  <si>
    <t>Allen Nolan</t>
  </si>
  <si>
    <t>justin37@montgomery-reynolds.com</t>
  </si>
  <si>
    <t>+1-672-132-6563x85353</t>
  </si>
  <si>
    <t>59746 Conley Summit, Johnsonmouth, AL 25703</t>
  </si>
  <si>
    <t>Quarry manager</t>
  </si>
  <si>
    <t>Underwood-Wilson</t>
  </si>
  <si>
    <t>1975-06-21</t>
  </si>
  <si>
    <t>Annette Reyes</t>
  </si>
  <si>
    <t>bradshawtanya@bentley-logan.com</t>
  </si>
  <si>
    <t>001-830-596-8282x975</t>
  </si>
  <si>
    <t>59184 Meagan Streets Apt. 324, Riceside, GA 24855</t>
  </si>
  <si>
    <t>West-Wilson</t>
  </si>
  <si>
    <t>1965-08-25</t>
  </si>
  <si>
    <t>Whitney Evans</t>
  </si>
  <si>
    <t>james85@hotmail.com</t>
  </si>
  <si>
    <t>017.476.4228x765</t>
  </si>
  <si>
    <t>289 Ann Forge Apt. 658, Bryantport, NH 99009</t>
  </si>
  <si>
    <t>Oconnor, Pearson and Gallegos</t>
  </si>
  <si>
    <t>1999-12-08</t>
  </si>
  <si>
    <t>Holly West</t>
  </si>
  <si>
    <t>ucruz@hotmail.com</t>
  </si>
  <si>
    <t>722.212.3883</t>
  </si>
  <si>
    <t>075 Baldwin Knoll Suite 894, Johnsonville, WV 47320</t>
  </si>
  <si>
    <t>Duncan-Evans</t>
  </si>
  <si>
    <t>1992-07-13</t>
  </si>
  <si>
    <t>2020-10-03</t>
  </si>
  <si>
    <t>Ricky Moss</t>
  </si>
  <si>
    <t>lauren50@hotmail.com</t>
  </si>
  <si>
    <t>+1-387-294-7539x5451</t>
  </si>
  <si>
    <t>6700 Cynthia Knolls Suite 325, North Richard, FL 42317</t>
  </si>
  <si>
    <t>Oliver and Sons</t>
  </si>
  <si>
    <t>1971-01-21</t>
  </si>
  <si>
    <t>2022-12-09</t>
  </si>
  <si>
    <t>Teresa Bradley</t>
  </si>
  <si>
    <t>dwhite@gentry.com</t>
  </si>
  <si>
    <t>132.299.2325x21718</t>
  </si>
  <si>
    <t>15147 Neal Spurs, Carlosport, IL 00566</t>
  </si>
  <si>
    <t>Cooper-Klein</t>
  </si>
  <si>
    <t>2007-05-17</t>
  </si>
  <si>
    <t>2020-12-07</t>
  </si>
  <si>
    <t>Nancy Clarke Phd</t>
  </si>
  <si>
    <t>zmorales@gmail.com</t>
  </si>
  <si>
    <t>599-939-6276x7563</t>
  </si>
  <si>
    <t>9512 Victoria Common, Port Amanda, WI 71716</t>
  </si>
  <si>
    <t>Burns Inc</t>
  </si>
  <si>
    <t>1965-11-09</t>
  </si>
  <si>
    <t>Diamond Juarez</t>
  </si>
  <si>
    <t>stephaniesmith@yahoo.com</t>
  </si>
  <si>
    <t>200-336-1001x531</t>
  </si>
  <si>
    <t>490 Hernandez Ridges Suite 890, West Angelabury, AL 60727</t>
  </si>
  <si>
    <t>Singh Group</t>
  </si>
  <si>
    <t>2003-03-06</t>
  </si>
  <si>
    <t>Jonathan Gordon</t>
  </si>
  <si>
    <t>elizabethkane@yahoo.com</t>
  </si>
  <si>
    <t>886.237.6524</t>
  </si>
  <si>
    <t>65425 Wolfe Junction, Hernandezville, OK 70299</t>
  </si>
  <si>
    <t>Fletcher Inc</t>
  </si>
  <si>
    <t>1981-02-10</t>
  </si>
  <si>
    <t>2015-11-10</t>
  </si>
  <si>
    <t>Timothy Clark</t>
  </si>
  <si>
    <t>kenneth84@bullock.org</t>
  </si>
  <si>
    <t>456-573-8023x75925</t>
  </si>
  <si>
    <t>13314 Moore Bridge Suite 236, North Austin, WV 85142</t>
  </si>
  <si>
    <t>Sales promotion account executive</t>
  </si>
  <si>
    <t>Montgomery Ltd</t>
  </si>
  <si>
    <t>1967-12-14</t>
  </si>
  <si>
    <t>Jasmine Jenkins</t>
  </si>
  <si>
    <t>marcusshepard@lawson.com</t>
  </si>
  <si>
    <t>+1-399-748-2488x578</t>
  </si>
  <si>
    <t>15758 James Course, East Eric, NY 95958</t>
  </si>
  <si>
    <t>Ford, Pearson and Wright</t>
  </si>
  <si>
    <t>2003-01-15</t>
  </si>
  <si>
    <t>2021-10-31</t>
  </si>
  <si>
    <t>Kevin Silva Phd</t>
  </si>
  <si>
    <t>awatts@yahoo.com</t>
  </si>
  <si>
    <t>001-346-843-6089</t>
  </si>
  <si>
    <t>8256 Chavez Hills, Nicolefort, LA 86529</t>
  </si>
  <si>
    <t>Bailey-Harris</t>
  </si>
  <si>
    <t>1989-08-21</t>
  </si>
  <si>
    <t>2019-04-30</t>
  </si>
  <si>
    <t>Christopher Green</t>
  </si>
  <si>
    <t>william87@huff.com</t>
  </si>
  <si>
    <t>7956265808</t>
  </si>
  <si>
    <t>3835 Jenna Mountain Apt. 512, East Vanessafurt, MT 80032</t>
  </si>
  <si>
    <t>Moore Ltd</t>
  </si>
  <si>
    <t>1969-06-30</t>
  </si>
  <si>
    <t>James Cook</t>
  </si>
  <si>
    <t>paulluna@yahoo.com</t>
  </si>
  <si>
    <t>+1-419-748-5005x186</t>
  </si>
  <si>
    <t>2344 Morris Parks, Marciatown, LA 24437</t>
  </si>
  <si>
    <t>Carpenter Ltd</t>
  </si>
  <si>
    <t>1964-08-11</t>
  </si>
  <si>
    <t>2020-12-05</t>
  </si>
  <si>
    <t>Bryan Lewis</t>
  </si>
  <si>
    <t>elizabeth85@robinson-richards.com</t>
  </si>
  <si>
    <t>(875)874-5535x486</t>
  </si>
  <si>
    <t>07222 Ayers Knoll, Lewisside, IA 37701</t>
  </si>
  <si>
    <t>Bishop-Miller</t>
  </si>
  <si>
    <t>1960-10-30</t>
  </si>
  <si>
    <t>2024-07-25</t>
  </si>
  <si>
    <t>Thomas Moran</t>
  </si>
  <si>
    <t>veronicaholloway@gmail.com</t>
  </si>
  <si>
    <t>+1-377-599-7527x18547</t>
  </si>
  <si>
    <t>8717 John Mount, Torresmouth, OR 18383</t>
  </si>
  <si>
    <t>Mckee, Williams and Ray</t>
  </si>
  <si>
    <t>2006-11-21</t>
  </si>
  <si>
    <t>2021-01-30</t>
  </si>
  <si>
    <t>Kevin Sanchez</t>
  </si>
  <si>
    <t>mindyclements@bennett.net</t>
  </si>
  <si>
    <t>(058)926-2061x374</t>
  </si>
  <si>
    <t>20154 Clark Street Suite 724, Coxmouth, WV 76427</t>
  </si>
  <si>
    <t>Watkins-Porter</t>
  </si>
  <si>
    <t>1974-05-14</t>
  </si>
  <si>
    <t>2015-08-13</t>
  </si>
  <si>
    <t>Brian Herrera</t>
  </si>
  <si>
    <t>gregoryhowell@raymond.org</t>
  </si>
  <si>
    <t>(318)775-6642x69779</t>
  </si>
  <si>
    <t>97657 Mary River, Susanshire, CO 98861</t>
  </si>
  <si>
    <t>King-Allen</t>
  </si>
  <si>
    <t>1979-01-16</t>
  </si>
  <si>
    <t>2021-04-30</t>
  </si>
  <si>
    <t>Jennifer Park</t>
  </si>
  <si>
    <t>lauren39@hotmail.com</t>
  </si>
  <si>
    <t>(507)968-6267x6919</t>
  </si>
  <si>
    <t>6379 Mary Field, Lake Lorimouth, ME 74606</t>
  </si>
  <si>
    <t>Stewart, Simmons and Hernandez</t>
  </si>
  <si>
    <t>1968-07-29</t>
  </si>
  <si>
    <t>2017-10-14</t>
  </si>
  <si>
    <t>Jessica Fuller</t>
  </si>
  <si>
    <t>meganlawson@hotmail.com</t>
  </si>
  <si>
    <t>(876)663-2521</t>
  </si>
  <si>
    <t>78803 Kimberly Islands Suite 662, West Danielchester, IL 89498</t>
  </si>
  <si>
    <t>Mosley-Gilmore</t>
  </si>
  <si>
    <t>1998-10-28</t>
  </si>
  <si>
    <t>Dawn Smith</t>
  </si>
  <si>
    <t>avilaleroy@torres.com</t>
  </si>
  <si>
    <t>(172)744-2437x566</t>
  </si>
  <si>
    <t>USCGC Ware, FPO AP 06555</t>
  </si>
  <si>
    <t>Lee-Rhodes</t>
  </si>
  <si>
    <t>1974-08-08</t>
  </si>
  <si>
    <t>2022-06-07</t>
  </si>
  <si>
    <t>Andrea Gross</t>
  </si>
  <si>
    <t>wsuarez@hotmail.com</t>
  </si>
  <si>
    <t>+1-888-885-0919</t>
  </si>
  <si>
    <t>9725 Clark Unions, Port Rachelborough, CT 76124</t>
  </si>
  <si>
    <t>Henry, Henderson and Dean</t>
  </si>
  <si>
    <t>1994-12-09</t>
  </si>
  <si>
    <t>Dawn Powell</t>
  </si>
  <si>
    <t>melissa35@yahoo.com</t>
  </si>
  <si>
    <t>001-848-352-1754x2494</t>
  </si>
  <si>
    <t>Unit 9672 Box 8369, DPO AE 34652</t>
  </si>
  <si>
    <t>Church-Moss</t>
  </si>
  <si>
    <t>Gregory Bradford</t>
  </si>
  <si>
    <t>amanda26@gmail.com</t>
  </si>
  <si>
    <t>853-807-4034x57721</t>
  </si>
  <si>
    <t>39699 Michael Fort Apt. 743, North Royfort, IL 82682</t>
  </si>
  <si>
    <t>Wallace-Cunningham</t>
  </si>
  <si>
    <t>2005-10-17</t>
  </si>
  <si>
    <t>Leah Gonzalez</t>
  </si>
  <si>
    <t>kimrebecca@yahoo.com</t>
  </si>
  <si>
    <t>(543)785-8726</t>
  </si>
  <si>
    <t>395 Bradley Cliffs Apt. 814, North Keith, PA 76622</t>
  </si>
  <si>
    <t>Richardson-Stone</t>
  </si>
  <si>
    <t>Richard Villanueva</t>
  </si>
  <si>
    <t>tball@yahoo.com</t>
  </si>
  <si>
    <t>651-796-8728</t>
  </si>
  <si>
    <t>192 Eaton Stream Suite 426, Lake Victoria, GA 14872</t>
  </si>
  <si>
    <t>Hester LLC</t>
  </si>
  <si>
    <t>1983-08-06</t>
  </si>
  <si>
    <t>2023-04-12</t>
  </si>
  <si>
    <t>Scott Jennings</t>
  </si>
  <si>
    <t>hardingtyler@gmail.com</t>
  </si>
  <si>
    <t>(284)126-3360</t>
  </si>
  <si>
    <t>806 Carter Stream, Lake Davidfurt, MD 61917</t>
  </si>
  <si>
    <t>Peterson, Harris and Rodriguez</t>
  </si>
  <si>
    <t>1973-05-03</t>
  </si>
  <si>
    <t>Christopher Turner</t>
  </si>
  <si>
    <t>raymondbrown@pugh.info</t>
  </si>
  <si>
    <t>7217000226</t>
  </si>
  <si>
    <t>715 Jessica Terrace, Sanchezview, WA 64701</t>
  </si>
  <si>
    <t>Conservator, museum/gallery</t>
  </si>
  <si>
    <t>1975-12-10</t>
  </si>
  <si>
    <t>2017-12-09</t>
  </si>
  <si>
    <t>Arthur Hall</t>
  </si>
  <si>
    <t>uramirez@gmail.com</t>
  </si>
  <si>
    <t>284.028.7902</t>
  </si>
  <si>
    <t>13882 Brittany Key Apt. 372, Holmesland, MI 84924</t>
  </si>
  <si>
    <t>Duke-Harris</t>
  </si>
  <si>
    <t>1967-10-24</t>
  </si>
  <si>
    <t>Dr. Shane Jackson Md</t>
  </si>
  <si>
    <t>nicholasjohnson@kennedy-richardson.com</t>
  </si>
  <si>
    <t>2568820110</t>
  </si>
  <si>
    <t>029 Thomas Drives Apt. 316, Port Angelachester, OK 27692</t>
  </si>
  <si>
    <t>Robinson-Blankenship</t>
  </si>
  <si>
    <t>Shawn Lloyd Dds</t>
  </si>
  <si>
    <t>debraberger@thomas-cunningham.com</t>
  </si>
  <si>
    <t>(997)237-5114</t>
  </si>
  <si>
    <t>85374 Hall Trace Suite 845, East Nicholas, ID 12733</t>
  </si>
  <si>
    <t>Fletcher-Manning</t>
  </si>
  <si>
    <t>2015-07-28</t>
  </si>
  <si>
    <t>Jennifer Thomas</t>
  </si>
  <si>
    <t>lovelauren@hotmail.com</t>
  </si>
  <si>
    <t>891.024.5749x9059</t>
  </si>
  <si>
    <t>PSC 3203, Box 0383, APO AA 54674</t>
  </si>
  <si>
    <t>Chartered management accountant</t>
  </si>
  <si>
    <t>Mitchell PLC</t>
  </si>
  <si>
    <t>1960-04-12</t>
  </si>
  <si>
    <t>2021-02-27</t>
  </si>
  <si>
    <t>William Rivers</t>
  </si>
  <si>
    <t>kharding@manning.com</t>
  </si>
  <si>
    <t>2534498074</t>
  </si>
  <si>
    <t>901 Davis Mill, North Damonbury, CT 30394</t>
  </si>
  <si>
    <t>1969-08-18</t>
  </si>
  <si>
    <t>2024-07-22</t>
  </si>
  <si>
    <t>Ryan Phillips</t>
  </si>
  <si>
    <t>vazquezkenneth@webb.net</t>
  </si>
  <si>
    <t>548-284-9034x5868</t>
  </si>
  <si>
    <t>USNV Banks, FPO AA 25655</t>
  </si>
  <si>
    <t>Phillips, Harper and Stanley</t>
  </si>
  <si>
    <t>1989-09-25</t>
  </si>
  <si>
    <t>2017-07-20</t>
  </si>
  <si>
    <t>Alison Jacobs</t>
  </si>
  <si>
    <t>lindafrench@cox-moran.com</t>
  </si>
  <si>
    <t>124.373.4627</t>
  </si>
  <si>
    <t>251 Baker Springs Suite 805, East Peter, DE 81582</t>
  </si>
  <si>
    <t>Owen-Duffy</t>
  </si>
  <si>
    <t>1974-09-16</t>
  </si>
  <si>
    <t>2015-12-08</t>
  </si>
  <si>
    <t>Austin Ramsey</t>
  </si>
  <si>
    <t>paulajohnson@hotmail.com</t>
  </si>
  <si>
    <t>633-626-6446x76392</t>
  </si>
  <si>
    <t>550 Colon Summit, Solisfort, NV 91142</t>
  </si>
  <si>
    <t>Grant, Castro and Mcmillan</t>
  </si>
  <si>
    <t>Laura Montgomery</t>
  </si>
  <si>
    <t>paynebrandi@fox.com</t>
  </si>
  <si>
    <t>827.173.7823x30496</t>
  </si>
  <si>
    <t>Unit 6342 Box 4803, DPO AP 74673</t>
  </si>
  <si>
    <t>Nguyen, Richardson and Mack</t>
  </si>
  <si>
    <t>1985-03-24</t>
  </si>
  <si>
    <t>Maria Gonzalez</t>
  </si>
  <si>
    <t>karenwilliams@gmail.com</t>
  </si>
  <si>
    <t>000.204.0407x8790</t>
  </si>
  <si>
    <t>98775 Daniel Extension Apt. 656, New Ryan, ME 08706</t>
  </si>
  <si>
    <t>Guerrero LLC</t>
  </si>
  <si>
    <t>1969-12-30</t>
  </si>
  <si>
    <t>2017-10-21</t>
  </si>
  <si>
    <t>Paul Escobar</t>
  </si>
  <si>
    <t>carolschultz@johnson.com</t>
  </si>
  <si>
    <t>001-556-651-7866</t>
  </si>
  <si>
    <t>6131 Anthony Drives Suite 253, Weavertown, AK 03803</t>
  </si>
  <si>
    <t>Sellers and Sons</t>
  </si>
  <si>
    <t>1990-08-03</t>
  </si>
  <si>
    <t>2021-01-03</t>
  </si>
  <si>
    <t>Mary Ortiz</t>
  </si>
  <si>
    <t>mistyfrench@briggs.com</t>
  </si>
  <si>
    <t>245.018.3405</t>
  </si>
  <si>
    <t>6490 Shelley Squares, Lucerostad, KY 88932</t>
  </si>
  <si>
    <t>1970-08-24</t>
  </si>
  <si>
    <t>2017-11-26</t>
  </si>
  <si>
    <t>Kimberly Boyd</t>
  </si>
  <si>
    <t>davidvalenzuela@gmail.com</t>
  </si>
  <si>
    <t>001-390-899-6051x8446</t>
  </si>
  <si>
    <t>768 Goodman Valleys Suite 382, South Mitchellshire, PA 03475</t>
  </si>
  <si>
    <t>Harris LLC</t>
  </si>
  <si>
    <t>1966-01-22</t>
  </si>
  <si>
    <t>2023-05-20</t>
  </si>
  <si>
    <t>Tara Stephens</t>
  </si>
  <si>
    <t>corey05@andrade-peck.com</t>
  </si>
  <si>
    <t>2878480795</t>
  </si>
  <si>
    <t>2166 Rodriguez Shore, Vaughnfort, WV 03016</t>
  </si>
  <si>
    <t>Booth-Singleton</t>
  </si>
  <si>
    <t>1972-05-22</t>
  </si>
  <si>
    <t>William Miller</t>
  </si>
  <si>
    <t>callen@cowan.biz</t>
  </si>
  <si>
    <t>012.996.6686</t>
  </si>
  <si>
    <t>8455 James Station Apt. 853, South Shannon, ID 62266</t>
  </si>
  <si>
    <t>1990-08-15</t>
  </si>
  <si>
    <t>Jasmine Harris</t>
  </si>
  <si>
    <t>allisongardner@howard.org</t>
  </si>
  <si>
    <t>411-838-9670</t>
  </si>
  <si>
    <t>793 Justin Hill Suite 139, West Michael, KY 74485</t>
  </si>
  <si>
    <t>Davis, Rivera and Powers</t>
  </si>
  <si>
    <t>2004-08-11</t>
  </si>
  <si>
    <t>2020-08-06</t>
  </si>
  <si>
    <t>Anna Willis</t>
  </si>
  <si>
    <t>anthonydelacruz@pierce.com</t>
  </si>
  <si>
    <t>364.061.6797x2231</t>
  </si>
  <si>
    <t>801 Amy Isle, Gardnerstad, AK 84554</t>
  </si>
  <si>
    <t>Diaz Inc</t>
  </si>
  <si>
    <t>1979-12-13</t>
  </si>
  <si>
    <t>2019-04-27</t>
  </si>
  <si>
    <t>Jacob Skinner</t>
  </si>
  <si>
    <t>nathangray@yahoo.com</t>
  </si>
  <si>
    <t>223-615-8459</t>
  </si>
  <si>
    <t>USS Smith, FPO AP 30649</t>
  </si>
  <si>
    <t>Houston-Johnson</t>
  </si>
  <si>
    <t>1972-12-02</t>
  </si>
  <si>
    <t>2020-10-14</t>
  </si>
  <si>
    <t>Katherine Hayes</t>
  </si>
  <si>
    <t>fergusonpamela@diaz.com</t>
  </si>
  <si>
    <t>001-447-782-4942</t>
  </si>
  <si>
    <t>77458 Christopher Ranch Apt. 690, Cervanteston, OH 51859</t>
  </si>
  <si>
    <t>Wilson, Collins and Vaughn</t>
  </si>
  <si>
    <t>1983-04-22</t>
  </si>
  <si>
    <t>Renee Robinson</t>
  </si>
  <si>
    <t>timothypowell@simmons-garcia.org</t>
  </si>
  <si>
    <t>(354)190-1082</t>
  </si>
  <si>
    <t>762 Brian Bypass Suite 920, West Michael, OK 58050</t>
  </si>
  <si>
    <t>Davis, Jones and Fisher</t>
  </si>
  <si>
    <t>2003-07-18</t>
  </si>
  <si>
    <t>2021-12-26</t>
  </si>
  <si>
    <t>Brandon Holland</t>
  </si>
  <si>
    <t>zarmstrong@hotmail.com</t>
  </si>
  <si>
    <t>(625)120-0055x388</t>
  </si>
  <si>
    <t>98293 Alison Street, Port Edward, FL 24567</t>
  </si>
  <si>
    <t>Cunningham-Perry</t>
  </si>
  <si>
    <t>2005-10-11</t>
  </si>
  <si>
    <t>Victor Blanchard</t>
  </si>
  <si>
    <t>kevin03@schneider.net</t>
  </si>
  <si>
    <t>607-461-9106</t>
  </si>
  <si>
    <t>434 Marvin Forest Suite 730, North Lisa, MS 25568</t>
  </si>
  <si>
    <t>Information officer</t>
  </si>
  <si>
    <t>Leonard, Black and Mcclure</t>
  </si>
  <si>
    <t>1998-07-04</t>
  </si>
  <si>
    <t>Carrie Byrd</t>
  </si>
  <si>
    <t>jacobwillis@gmail.com</t>
  </si>
  <si>
    <t>041-569-7663</t>
  </si>
  <si>
    <t>74536 Watson Rest Apt. 885, East Lisa, AL 73112</t>
  </si>
  <si>
    <t>Thompson, Moore and Reid</t>
  </si>
  <si>
    <t>1976-02-12</t>
  </si>
  <si>
    <t>2019-04-26</t>
  </si>
  <si>
    <t>Timothy Yates</t>
  </si>
  <si>
    <t>russellhammond@yahoo.com</t>
  </si>
  <si>
    <t>001-590-730-2578x3399</t>
  </si>
  <si>
    <t>99127 Fletcher Mountain Suite 882, Port Johnny, IA 96536</t>
  </si>
  <si>
    <t>Smith-Walker</t>
  </si>
  <si>
    <t>2020-07-04</t>
  </si>
  <si>
    <t>Aaron Peterson</t>
  </si>
  <si>
    <t>lukefisher@hotmail.com</t>
  </si>
  <si>
    <t>579-274-6985</t>
  </si>
  <si>
    <t>1497 Alex Cove, Nicholashaven, DE 60118</t>
  </si>
  <si>
    <t>Snyder PLC</t>
  </si>
  <si>
    <t>2021-02-25</t>
  </si>
  <si>
    <t>Helen Clark</t>
  </si>
  <si>
    <t>scottbarnett@bryant-moore.biz</t>
  </si>
  <si>
    <t>(313)559-2510</t>
  </si>
  <si>
    <t>7250 Joshua Gardens Suite 359, Anthonyport, OK 19919</t>
  </si>
  <si>
    <t>Graves-Smith</t>
  </si>
  <si>
    <t>2006-03-22</t>
  </si>
  <si>
    <t>Nicholas Bentley</t>
  </si>
  <si>
    <t>christopher80@fisher.com</t>
  </si>
  <si>
    <t>(381)247-0198x54416</t>
  </si>
  <si>
    <t>95179 Boyd Pines, South Lisa, CT 22285</t>
  </si>
  <si>
    <t>King, Kim and Brown</t>
  </si>
  <si>
    <t>1970-09-19</t>
  </si>
  <si>
    <t>2015-10-27</t>
  </si>
  <si>
    <t>Michelle Young</t>
  </si>
  <si>
    <t>nsmith@perez.com</t>
  </si>
  <si>
    <t>809.492.7658x84298</t>
  </si>
  <si>
    <t>52253 Valdez Turnpike, North Brianshire, MT 03304</t>
  </si>
  <si>
    <t>Baxter-Little</t>
  </si>
  <si>
    <t>1981-02-27</t>
  </si>
  <si>
    <t>Kristina Taylor</t>
  </si>
  <si>
    <t>carrmegan@hotmail.com</t>
  </si>
  <si>
    <t>+1-431-056-9402</t>
  </si>
  <si>
    <t>7747 Hill Way, Carlsontown, MN 93170</t>
  </si>
  <si>
    <t>Jordan-Swanson</t>
  </si>
  <si>
    <t>1974-11-12</t>
  </si>
  <si>
    <t>Denise Wood</t>
  </si>
  <si>
    <t>nroberts@collins.com</t>
  </si>
  <si>
    <t>+1-308-196-8177x727</t>
  </si>
  <si>
    <t>835 Carson Glen, West Evanberg, AK 56958</t>
  </si>
  <si>
    <t>Scott-Rojas</t>
  </si>
  <si>
    <t>2006-09-15</t>
  </si>
  <si>
    <t>2023-12-17</t>
  </si>
  <si>
    <t>Ann Campos</t>
  </si>
  <si>
    <t>peter90@anderson.com</t>
  </si>
  <si>
    <t>1756265932</t>
  </si>
  <si>
    <t>0821 Bridges Way, Jennifermouth, NJ 81097</t>
  </si>
  <si>
    <t>Applications developer</t>
  </si>
  <si>
    <t>Johnson, Wells and Pham</t>
  </si>
  <si>
    <t>1988-05-20</t>
  </si>
  <si>
    <t>2025-04-26</t>
  </si>
  <si>
    <t>Jessica Richmond</t>
  </si>
  <si>
    <t>millernicole@garcia-robertson.com</t>
  </si>
  <si>
    <t>+1-473-742-7499x379</t>
  </si>
  <si>
    <t>342 Love Hill, North Sonya, IN 74656</t>
  </si>
  <si>
    <t>Lee LLC</t>
  </si>
  <si>
    <t>1968-08-05</t>
  </si>
  <si>
    <t>Veronica Martinez</t>
  </si>
  <si>
    <t>scottpaul@hotmail.com</t>
  </si>
  <si>
    <t>(121)836-5133</t>
  </si>
  <si>
    <t>1192 Jennifer Courts, Morenobury, NM 06798</t>
  </si>
  <si>
    <t>Jackson, Kelly and Bishop</t>
  </si>
  <si>
    <t>1962-06-02</t>
  </si>
  <si>
    <t>Joseph Andrews</t>
  </si>
  <si>
    <t>jody21@saunders.com</t>
  </si>
  <si>
    <t>170.322.0613</t>
  </si>
  <si>
    <t>20156 Desiree Trafficway, Russellside, WA 85076</t>
  </si>
  <si>
    <t>Fitzgerald, Vance and Shaffer</t>
  </si>
  <si>
    <t>1990-10-20</t>
  </si>
  <si>
    <t>Sherry Wilson</t>
  </si>
  <si>
    <t>nmunoz@peterson.net</t>
  </si>
  <si>
    <t>+1-886-531-2766</t>
  </si>
  <si>
    <t>27829 Silva Parks Suite 820, Vaughanhaven, CA 72046</t>
  </si>
  <si>
    <t>Chavez-Mahoney</t>
  </si>
  <si>
    <t>1986-05-08</t>
  </si>
  <si>
    <t>Jason Ward</t>
  </si>
  <si>
    <t>glennschmidt@stuart-peters.com</t>
  </si>
  <si>
    <t>(792)482-3970x92120</t>
  </si>
  <si>
    <t>18798 Mitchell Glens, Julieburgh, FL 49384</t>
  </si>
  <si>
    <t>Lewis, Buckley and Roberts</t>
  </si>
  <si>
    <t>1969-11-02</t>
  </si>
  <si>
    <t>2017-08-25</t>
  </si>
  <si>
    <t>Jonathan Gomez</t>
  </si>
  <si>
    <t>lisamoore@roach.biz</t>
  </si>
  <si>
    <t>359-207-8389x159</t>
  </si>
  <si>
    <t>71489 Shelby Row Suite 740, Jessicabury, VT 92790</t>
  </si>
  <si>
    <t>Griffith Group</t>
  </si>
  <si>
    <t>1963-05-03</t>
  </si>
  <si>
    <t>2017-03-24</t>
  </si>
  <si>
    <t>Steve Preston</t>
  </si>
  <si>
    <t>jesse22@gilbert.com</t>
  </si>
  <si>
    <t>309.834.8194</t>
  </si>
  <si>
    <t>47704 David Glen Apt. 508, Port Brendan, CA 35915</t>
  </si>
  <si>
    <t>Rivera-Porter</t>
  </si>
  <si>
    <t>Olivia Carey</t>
  </si>
  <si>
    <t>justinmartin@gmail.com</t>
  </si>
  <si>
    <t>888-874-6708x72318</t>
  </si>
  <si>
    <t>91817 Brown Fords Apt. 461, New Shaneshire, ID 49037</t>
  </si>
  <si>
    <t>Surgeon</t>
  </si>
  <si>
    <t>Berry, Miller and Warren</t>
  </si>
  <si>
    <t>1960-09-10</t>
  </si>
  <si>
    <t>Desiree Richardson</t>
  </si>
  <si>
    <t>belindarowe@hotmail.com</t>
  </si>
  <si>
    <t>(200)750-0641x9337</t>
  </si>
  <si>
    <t>7596 Mary Fields Suite 406, Potterside, MN 49660</t>
  </si>
  <si>
    <t>Vaughn Ltd</t>
  </si>
  <si>
    <t>1973-06-06</t>
  </si>
  <si>
    <t>2018-01-03</t>
  </si>
  <si>
    <t>Joseph Blake</t>
  </si>
  <si>
    <t>kathleen17@yahoo.com</t>
  </si>
  <si>
    <t>+1-492-615-6268x8395</t>
  </si>
  <si>
    <t>852 Mason Rue Suite 268, East Michaelchester, IL 58410</t>
  </si>
  <si>
    <t>Herrera Group</t>
  </si>
  <si>
    <t>1983-06-17</t>
  </si>
  <si>
    <t>Angela Stokes</t>
  </si>
  <si>
    <t>manuel28@morales.com</t>
  </si>
  <si>
    <t>514-733-3354x91357</t>
  </si>
  <si>
    <t>661 Robert Way, Amandafurt, MN 01836</t>
  </si>
  <si>
    <t>Brewer, Reynolds and Cole</t>
  </si>
  <si>
    <t>2018-09-01</t>
  </si>
  <si>
    <t>Phillip Medina</t>
  </si>
  <si>
    <t>todd09@watkins.biz</t>
  </si>
  <si>
    <t>511.329.4018</t>
  </si>
  <si>
    <t>66163 Natalie Spurs Apt. 592, Fostermouth, NC 92507</t>
  </si>
  <si>
    <t>Jackson-Salazar</t>
  </si>
  <si>
    <t>Edward Reyes</t>
  </si>
  <si>
    <t>kevin92@hotmail.com</t>
  </si>
  <si>
    <t>521.653.1370x098</t>
  </si>
  <si>
    <t>36059 Diane Underpass Apt. 841, Eugeneview, FL 52493</t>
  </si>
  <si>
    <t>Williams and Sons</t>
  </si>
  <si>
    <t>1998-09-26</t>
  </si>
  <si>
    <t>Mr. Gary Smith</t>
  </si>
  <si>
    <t>esanchez@hotmail.com</t>
  </si>
  <si>
    <t>(059)744-1589x3006</t>
  </si>
  <si>
    <t>63177 Garcia Path, Jonestown, KS 23342</t>
  </si>
  <si>
    <t>Jensen Group</t>
  </si>
  <si>
    <t>2000-02-10</t>
  </si>
  <si>
    <t>Adam Blanchard</t>
  </si>
  <si>
    <t>gcollins@rodriguez.com</t>
  </si>
  <si>
    <t>439-358-7402x281</t>
  </si>
  <si>
    <t>79744 Krause Lodge, Leeport, MN 11110</t>
  </si>
  <si>
    <t>Young-Jones</t>
  </si>
  <si>
    <t>2005-06-16</t>
  </si>
  <si>
    <t>Charles Barry</t>
  </si>
  <si>
    <t>holly28@hall.com</t>
  </si>
  <si>
    <t>476.912.0736x00089</t>
  </si>
  <si>
    <t>Unit 9970 Box 3681, DPO AE 70842</t>
  </si>
  <si>
    <t>Patel-Brown</t>
  </si>
  <si>
    <t>1961-05-28</t>
  </si>
  <si>
    <t>2018-08-25</t>
  </si>
  <si>
    <t>Jeffrey Sampson</t>
  </si>
  <si>
    <t>silvawhitney@yahoo.com</t>
  </si>
  <si>
    <t>001-081-689-9104x89978</t>
  </si>
  <si>
    <t>268 Young Circles, Javierville, VT 98772</t>
  </si>
  <si>
    <t>Jimenez Group</t>
  </si>
  <si>
    <t>Stephanie Crawford</t>
  </si>
  <si>
    <t>robertryan@peterson-solomon.net</t>
  </si>
  <si>
    <t>468.517.6914</t>
  </si>
  <si>
    <t>Unit 8302 Box 4608, DPO AE 67816</t>
  </si>
  <si>
    <t>Daniels and Sons</t>
  </si>
  <si>
    <t>1967-07-17</t>
  </si>
  <si>
    <t>Lisa Morris</t>
  </si>
  <si>
    <t>mraymond@gmail.com</t>
  </si>
  <si>
    <t>177-283-1490x13961</t>
  </si>
  <si>
    <t>6295 Wood Courts Suite 784, Matthewview, CO 19202</t>
  </si>
  <si>
    <t>Hunt-Foster</t>
  </si>
  <si>
    <t>1961-04-20</t>
  </si>
  <si>
    <t>2024-05-23</t>
  </si>
  <si>
    <t>Jose Holt</t>
  </si>
  <si>
    <t>vargasmiranda@gmail.com</t>
  </si>
  <si>
    <t>(656)804-4360</t>
  </si>
  <si>
    <t>USNV Ware, FPO AP 08717</t>
  </si>
  <si>
    <t>Parker and Sons</t>
  </si>
  <si>
    <t>1992-01-16</t>
  </si>
  <si>
    <t>Mary Burgess</t>
  </si>
  <si>
    <t>karen89@dixon.com</t>
  </si>
  <si>
    <t>+1-087-680-4413</t>
  </si>
  <si>
    <t>1706 Brady Orchard Apt. 365, Harrisshire, MT 10518</t>
  </si>
  <si>
    <t>Mills LLC</t>
  </si>
  <si>
    <t>1982-10-18</t>
  </si>
  <si>
    <t>carterkeith@gmail.com</t>
  </si>
  <si>
    <t>+1-160-678-8636x4498</t>
  </si>
  <si>
    <t>PSC 8411, Box 0386, APO AA 67180</t>
  </si>
  <si>
    <t>Diaz-Johnson</t>
  </si>
  <si>
    <t>1986-11-22</t>
  </si>
  <si>
    <t>Leon Roberson</t>
  </si>
  <si>
    <t>kimberly97@baird.org</t>
  </si>
  <si>
    <t>+1-819-715-3870</t>
  </si>
  <si>
    <t>99209 Rodriguez Isle Apt. 831, Port Betty, IA 37713</t>
  </si>
  <si>
    <t>Johnson-Giles</t>
  </si>
  <si>
    <t>1995-02-01</t>
  </si>
  <si>
    <t>2023-09-04</t>
  </si>
  <si>
    <t>Andrew Hampton</t>
  </si>
  <si>
    <t>derrick60@maldonado-braun.com</t>
  </si>
  <si>
    <t>445-167-1630</t>
  </si>
  <si>
    <t>49959 Rachel Rest, East Ashley, WY 37858</t>
  </si>
  <si>
    <t>Quinn, Yu and Odonnell</t>
  </si>
  <si>
    <t>1967-04-19</t>
  </si>
  <si>
    <t>Maria Acosta</t>
  </si>
  <si>
    <t>lisa02@gmail.com</t>
  </si>
  <si>
    <t>721.162.5226</t>
  </si>
  <si>
    <t>54992 Sandra Rest, New Theresafort, IL 08792</t>
  </si>
  <si>
    <t>Herrera Ltd</t>
  </si>
  <si>
    <t>1972-01-10</t>
  </si>
  <si>
    <t>2025-04-25</t>
  </si>
  <si>
    <t>Dr. Amanda Campbell</t>
  </si>
  <si>
    <t>jcastillo@powers.net</t>
  </si>
  <si>
    <t>(002)477-1911x50543</t>
  </si>
  <si>
    <t>1212 Martinez Manor, Davisburgh, CO 17672</t>
  </si>
  <si>
    <t>Hernandez LLC</t>
  </si>
  <si>
    <t>1971-06-07</t>
  </si>
  <si>
    <t>2019-05-13</t>
  </si>
  <si>
    <t>Christopher Levine</t>
  </si>
  <si>
    <t>billyhall@yahoo.com</t>
  </si>
  <si>
    <t>(918)801-1473x776</t>
  </si>
  <si>
    <t>5146 Arroyo Ford Suite 627, Dianefort, WA 27252</t>
  </si>
  <si>
    <t>Mcdonald-Kelly</t>
  </si>
  <si>
    <t>1994-12-13</t>
  </si>
  <si>
    <t>Lori Scott</t>
  </si>
  <si>
    <t>ihernandez@thomas.com</t>
  </si>
  <si>
    <t>293.592.7000x4687</t>
  </si>
  <si>
    <t>9784 Paige Lake, Lake Alexis, IN 22411</t>
  </si>
  <si>
    <t>Young, Andrade and Adams</t>
  </si>
  <si>
    <t>1990-11-01</t>
  </si>
  <si>
    <t>2021-11-14</t>
  </si>
  <si>
    <t>Lisa Winters</t>
  </si>
  <si>
    <t>dmitchell@mccormick.com</t>
  </si>
  <si>
    <t>496.793.5254x97486</t>
  </si>
  <si>
    <t>43745 Kelly Station Apt. 370, North Rebeccaborough, IA 76044</t>
  </si>
  <si>
    <t>Taylor PLC</t>
  </si>
  <si>
    <t>1962-04-04</t>
  </si>
  <si>
    <t>Kristina Harrison</t>
  </si>
  <si>
    <t>xmcclain@jordan.info</t>
  </si>
  <si>
    <t>001-332-520-2491</t>
  </si>
  <si>
    <t>9208 Eric Roads, Wiseside, DC 01744</t>
  </si>
  <si>
    <t>Gutierrez-Jones</t>
  </si>
  <si>
    <t>1995-05-28</t>
  </si>
  <si>
    <t>Christina Martin</t>
  </si>
  <si>
    <t>jeffreykelly@crawford.com</t>
  </si>
  <si>
    <t>184.806.1517x66466</t>
  </si>
  <si>
    <t>78928 Kristen Villages, Lake Jonathan, AZ 90087</t>
  </si>
  <si>
    <t>Dixon-Jennings</t>
  </si>
  <si>
    <t>1964-09-21</t>
  </si>
  <si>
    <t>Stephanie Griffin</t>
  </si>
  <si>
    <t>millermeredith@yahoo.com</t>
  </si>
  <si>
    <t>414.905.0330</t>
  </si>
  <si>
    <t>3391 Booth Drive, North Tylerburgh, WA 39627</t>
  </si>
  <si>
    <t>Ramirez-Bryan</t>
  </si>
  <si>
    <t>1995-04-25</t>
  </si>
  <si>
    <t>2016-03-12</t>
  </si>
  <si>
    <t>Samuel Moore</t>
  </si>
  <si>
    <t>dhernandez@rodgers.net</t>
  </si>
  <si>
    <t>001-082-547-4984x405</t>
  </si>
  <si>
    <t>502 Harding Radial, Millertown, KY 13820</t>
  </si>
  <si>
    <t>Savage, Collins and Bowen</t>
  </si>
  <si>
    <t>1976-03-11</t>
  </si>
  <si>
    <t>2023-12-12</t>
  </si>
  <si>
    <t>Savannah Martinez</t>
  </si>
  <si>
    <t>daniel95@jones-nguyen.info</t>
  </si>
  <si>
    <t>618-979-1327</t>
  </si>
  <si>
    <t>6581 Matthew Wells, East Rachelton, OH 73824</t>
  </si>
  <si>
    <t>Carter-Coleman</t>
  </si>
  <si>
    <t>2003-05-29</t>
  </si>
  <si>
    <t>2021-07-19</t>
  </si>
  <si>
    <t>Nicole Garcia</t>
  </si>
  <si>
    <t>bishopcandace@jensen.com</t>
  </si>
  <si>
    <t>650.943.9629</t>
  </si>
  <si>
    <t>USS James, FPO AE 76823</t>
  </si>
  <si>
    <t>Burch and Sons</t>
  </si>
  <si>
    <t>1992-07-16</t>
  </si>
  <si>
    <t>2021-07-06</t>
  </si>
  <si>
    <t>Anthony Mayer</t>
  </si>
  <si>
    <t>danielroman@gmail.com</t>
  </si>
  <si>
    <t>+1-120-086-2681x61075</t>
  </si>
  <si>
    <t>724 Patricia Road Apt. 245, East Mary, RI 49264</t>
  </si>
  <si>
    <t>Blackburn-Taylor</t>
  </si>
  <si>
    <t>Jacob Riggs</t>
  </si>
  <si>
    <t>guerracynthia@gmail.com</t>
  </si>
  <si>
    <t>+1-624-637-5332x695</t>
  </si>
  <si>
    <t>87154 Christopher Lake, Jessicatown, AK 65517</t>
  </si>
  <si>
    <t>Cannon and Sons</t>
  </si>
  <si>
    <t>1985-11-02</t>
  </si>
  <si>
    <t>2025-01-11</t>
  </si>
  <si>
    <t>Rebecca Horn</t>
  </si>
  <si>
    <t>ydaniel@gmail.com</t>
  </si>
  <si>
    <t>953.555.8975</t>
  </si>
  <si>
    <t>44407 Alvarez Dale, West Brandon, IL 43288</t>
  </si>
  <si>
    <t>Alvarez Inc</t>
  </si>
  <si>
    <t>1967-12-07</t>
  </si>
  <si>
    <t>Joshua Mora</t>
  </si>
  <si>
    <t>george27@hotmail.com</t>
  </si>
  <si>
    <t>798.072.8367x371</t>
  </si>
  <si>
    <t>519 Jones Islands Apt. 783, Tracyburgh, IA 96965</t>
  </si>
  <si>
    <t>Hunt, French and Reese</t>
  </si>
  <si>
    <t>2024-12-15</t>
  </si>
  <si>
    <t>Nicole Winters</t>
  </si>
  <si>
    <t>griffinbilly@gmail.com</t>
  </si>
  <si>
    <t>151.765.3014x8037</t>
  </si>
  <si>
    <t>88272 Gregory Mill, East Kimberly, ND 84424</t>
  </si>
  <si>
    <t>Hutchinson PLC</t>
  </si>
  <si>
    <t>1999-08-13</t>
  </si>
  <si>
    <t>2020-06-15</t>
  </si>
  <si>
    <t>Luke Weiss</t>
  </si>
  <si>
    <t>walshdavid@gmail.com</t>
  </si>
  <si>
    <t>602-459-8360x81395</t>
  </si>
  <si>
    <t>34871 Garcia Tunnel Apt. 857, West Jessica, NJ 08726</t>
  </si>
  <si>
    <t>Carr, Hernandez and Kennedy</t>
  </si>
  <si>
    <t>1969-12-27</t>
  </si>
  <si>
    <t>2024-12-05</t>
  </si>
  <si>
    <t>Whitney Murray</t>
  </si>
  <si>
    <t>pramirez@hotmail.com</t>
  </si>
  <si>
    <t>549.333.0744x987</t>
  </si>
  <si>
    <t>07467 Colleen Skyway Apt. 050, Port Stephanie, VA 55013</t>
  </si>
  <si>
    <t>Walter-Robinson</t>
  </si>
  <si>
    <t>1970-07-24</t>
  </si>
  <si>
    <t>2016-01-13</t>
  </si>
  <si>
    <t>Chelsea Patterson</t>
  </si>
  <si>
    <t>michelle20@leon-ponce.com</t>
  </si>
  <si>
    <t>813-785-6293</t>
  </si>
  <si>
    <t>USNV Taylor, FPO AE 11008</t>
  </si>
  <si>
    <t>Young, Walton and Bond</t>
  </si>
  <si>
    <t>2003-06-29</t>
  </si>
  <si>
    <t>2020-09-16</t>
  </si>
  <si>
    <t>Megan Maddox</t>
  </si>
  <si>
    <t>uwerner@gmail.com</t>
  </si>
  <si>
    <t>557.232.3688x672</t>
  </si>
  <si>
    <t>829 Fitzgerald Alley, New Nicole, AR 62717</t>
  </si>
  <si>
    <t>Pacheco-Thompson</t>
  </si>
  <si>
    <t>1970-03-01</t>
  </si>
  <si>
    <t>2022-08-01</t>
  </si>
  <si>
    <t>Samantha Cooper</t>
  </si>
  <si>
    <t>yochoa@campbell.com</t>
  </si>
  <si>
    <t>181-127-7498x69743</t>
  </si>
  <si>
    <t>8314 William Squares, Hoberg, SD 45986</t>
  </si>
  <si>
    <t>Jarvis, Flores and Lynch</t>
  </si>
  <si>
    <t>1988-01-08</t>
  </si>
  <si>
    <t>Autumn Sweeney</t>
  </si>
  <si>
    <t>michael11@gmail.com</t>
  </si>
  <si>
    <t>694.476.6054</t>
  </si>
  <si>
    <t>5870 Turner Roads, Taraland, CO 06374</t>
  </si>
  <si>
    <t>1991-11-18</t>
  </si>
  <si>
    <t>Kurt Smith</t>
  </si>
  <si>
    <t>roberto71@christian-avila.com</t>
  </si>
  <si>
    <t>+1-995-147-0539x115</t>
  </si>
  <si>
    <t>9012 Mitchell Greens, West Jeremiah, KY 23341</t>
  </si>
  <si>
    <t>Hicks-Pham</t>
  </si>
  <si>
    <t>2001-01-22</t>
  </si>
  <si>
    <t>2016-12-24</t>
  </si>
  <si>
    <t>David Bennett</t>
  </si>
  <si>
    <t>karen68@smith-baker.com</t>
  </si>
  <si>
    <t>+1-697-164-3507x038</t>
  </si>
  <si>
    <t>260 Todd Roads, Kevinbury, VT 59158</t>
  </si>
  <si>
    <t>Jones, Oneal and Fisher</t>
  </si>
  <si>
    <t>1961-04-21</t>
  </si>
  <si>
    <t>Mr. Justin Saunders</t>
  </si>
  <si>
    <t>josephpatterson@black.net</t>
  </si>
  <si>
    <t>+1-839-561-4920</t>
  </si>
  <si>
    <t>6072 Kathryn Club, Hillfurt, DE 88383</t>
  </si>
  <si>
    <t>Hoffman-Espinoza</t>
  </si>
  <si>
    <t>2020-06-30</t>
  </si>
  <si>
    <t>Heather Daniel</t>
  </si>
  <si>
    <t>anthony02@powers.com</t>
  </si>
  <si>
    <t>+1-362-005-2647x2569</t>
  </si>
  <si>
    <t>285 Michelle Heights Suite 015, Port Laurachester, ID 15807</t>
  </si>
  <si>
    <t>Jackson, Price and Watson</t>
  </si>
  <si>
    <t>1996-08-14</t>
  </si>
  <si>
    <t>Troy Wang</t>
  </si>
  <si>
    <t>vfitzgerald@ramirez-lara.com</t>
  </si>
  <si>
    <t>329.808.6051x76461</t>
  </si>
  <si>
    <t>846 Bryant Fords Apt. 504, Barronfort, OK 65570</t>
  </si>
  <si>
    <t>Russell, Howe and Tucker</t>
  </si>
  <si>
    <t>1973-09-21</t>
  </si>
  <si>
    <t>Joel Hudson</t>
  </si>
  <si>
    <t>ronaldlopez@calhoun-jenkins.com</t>
  </si>
  <si>
    <t>602.674.4099</t>
  </si>
  <si>
    <t>5846 Richard Freeway, South Jerryport, RI 04533</t>
  </si>
  <si>
    <t>Chambers-Stephens</t>
  </si>
  <si>
    <t>1975-11-11</t>
  </si>
  <si>
    <t>2017-06-29</t>
  </si>
  <si>
    <t>Amber Becker</t>
  </si>
  <si>
    <t>danielgraham@simmons-mcdonald.com</t>
  </si>
  <si>
    <t>001-172-122-8593x284</t>
  </si>
  <si>
    <t>8664 Case Club Suite 315, South William, FL 12147</t>
  </si>
  <si>
    <t>Patterson, Hooper and Johnson</t>
  </si>
  <si>
    <t>1984-01-28</t>
  </si>
  <si>
    <t>2019-08-28</t>
  </si>
  <si>
    <t>Jonathan Delgado</t>
  </si>
  <si>
    <t>kenneth58@moyer-richmond.com</t>
  </si>
  <si>
    <t>001-536-684-9394x765</t>
  </si>
  <si>
    <t>188 Paula Shore, Christinechester, MN 91123</t>
  </si>
  <si>
    <t>White, Rios and Hess</t>
  </si>
  <si>
    <t>1973-12-01</t>
  </si>
  <si>
    <t>Jessica Schwartz</t>
  </si>
  <si>
    <t>aclark@lee.com</t>
  </si>
  <si>
    <t>001-889-875-5777x7087</t>
  </si>
  <si>
    <t>732 Amanda Street, Erinport, WY 93385</t>
  </si>
  <si>
    <t>Jones, Wade and Martinez</t>
  </si>
  <si>
    <t>1986-12-18</t>
  </si>
  <si>
    <t>2019-04-05</t>
  </si>
  <si>
    <t>Brenda Guzman</t>
  </si>
  <si>
    <t>summersjoshua@yahoo.com</t>
  </si>
  <si>
    <t>(419)308-2022x189</t>
  </si>
  <si>
    <t>99124 Brooks Street, Alejandroburgh, TN 98892</t>
  </si>
  <si>
    <t>Bean-Hernandez</t>
  </si>
  <si>
    <t>1965-02-03</t>
  </si>
  <si>
    <t>2019-04-19</t>
  </si>
  <si>
    <t>Tracy Friedman</t>
  </si>
  <si>
    <t>smithbrian@calderon.info</t>
  </si>
  <si>
    <t>001-780-935-4396x7698</t>
  </si>
  <si>
    <t>67099 Rogers Camp Apt. 838, Robinsonchester, UT 18316</t>
  </si>
  <si>
    <t>Brock-Ramsey</t>
  </si>
  <si>
    <t>1988-10-08</t>
  </si>
  <si>
    <t>2023-05-08</t>
  </si>
  <si>
    <t>Ryan Russell</t>
  </si>
  <si>
    <t>fulleramber@yahoo.com</t>
  </si>
  <si>
    <t>297.321.1357x6020</t>
  </si>
  <si>
    <t>2474 Jennifer Freeway Apt. 359, North Susanstad, NM 50063</t>
  </si>
  <si>
    <t>1963-03-23</t>
  </si>
  <si>
    <t>James Hines</t>
  </si>
  <si>
    <t>jacksonann@hotmail.com</t>
  </si>
  <si>
    <t>227-478-0623x0124</t>
  </si>
  <si>
    <t>8652 Holt Ridges Suite 177, Lake Katherineview, MD 67692</t>
  </si>
  <si>
    <t>Sanchez PLC</t>
  </si>
  <si>
    <t>1993-01-15</t>
  </si>
  <si>
    <t>2015-11-04</t>
  </si>
  <si>
    <t>Debra Hoffman</t>
  </si>
  <si>
    <t>sthompson@decker.org</t>
  </si>
  <si>
    <t>973-513-7773x00340</t>
  </si>
  <si>
    <t>86109 William Circles Suite 013, Stephanietown, ME 56183</t>
  </si>
  <si>
    <t>Ward-Price</t>
  </si>
  <si>
    <t>1959-09-05</t>
  </si>
  <si>
    <t>David Richardson</t>
  </si>
  <si>
    <t>gregoryjacobson@miller.biz</t>
  </si>
  <si>
    <t>001-248-061-5395x5875</t>
  </si>
  <si>
    <t>72660 Walker Junctions Suite 595, East Jason, OK 85927</t>
  </si>
  <si>
    <t>Murillo-Le</t>
  </si>
  <si>
    <t>1972-03-16</t>
  </si>
  <si>
    <t>Maria Cline</t>
  </si>
  <si>
    <t>swashington@gmail.com</t>
  </si>
  <si>
    <t>001-340-412-7210</t>
  </si>
  <si>
    <t>4145 Madison Brooks Suite 306, Nguyenstad, CO 80923</t>
  </si>
  <si>
    <t>Giles-Myers</t>
  </si>
  <si>
    <t>Theresa Mason</t>
  </si>
  <si>
    <t>robertallen@hotmail.com</t>
  </si>
  <si>
    <t>(501)606-5575x566</t>
  </si>
  <si>
    <t>187 Lambert Estates, Jacksonberg, MO 24800</t>
  </si>
  <si>
    <t>Davis, Cameron and Moody</t>
  </si>
  <si>
    <t>1995-09-26</t>
  </si>
  <si>
    <t>2017-11-07</t>
  </si>
  <si>
    <t>Jeffrey Barker</t>
  </si>
  <si>
    <t>patrick68@bell-hernandez.com</t>
  </si>
  <si>
    <t>+1-229-288-5635</t>
  </si>
  <si>
    <t>77921 Brock Walks Suite 846, East Matthew, ND 31406</t>
  </si>
  <si>
    <t>Wagner, Smith and Vargas</t>
  </si>
  <si>
    <t>Raymond Walter</t>
  </si>
  <si>
    <t>mjones@hotmail.com</t>
  </si>
  <si>
    <t>(996)215-3823x06237</t>
  </si>
  <si>
    <t>31184 Griffin Camp Suite 192, Hernandezburgh, ME 27707</t>
  </si>
  <si>
    <t>Lynch, Guzman and Berg</t>
  </si>
  <si>
    <t>1997-09-30</t>
  </si>
  <si>
    <t>2022-12-14</t>
  </si>
  <si>
    <t>Adam Figueroa</t>
  </si>
  <si>
    <t>powellmelinda@lewis-hurley.com</t>
  </si>
  <si>
    <t>+1-532-148-5096</t>
  </si>
  <si>
    <t>463 Devin Square, Tylerhaven, ND 56866</t>
  </si>
  <si>
    <t>Horn, Warner and Graham</t>
  </si>
  <si>
    <t>1982-05-05</t>
  </si>
  <si>
    <t>2024-04-23</t>
  </si>
  <si>
    <t>Mandy Schultz</t>
  </si>
  <si>
    <t>castanedalarry@gmail.com</t>
  </si>
  <si>
    <t>755-479-2275x251</t>
  </si>
  <si>
    <t>189 Julie Wells Apt. 844, Ronaldburgh, AR 49383</t>
  </si>
  <si>
    <t>Community development worker</t>
  </si>
  <si>
    <t>Gardner, Moran and Hunter</t>
  </si>
  <si>
    <t>1983-09-19</t>
  </si>
  <si>
    <t>2021-04-16</t>
  </si>
  <si>
    <t>Brian Whitaker</t>
  </si>
  <si>
    <t>seth16@wilson.com</t>
  </si>
  <si>
    <t>(683)994-1930x90788</t>
  </si>
  <si>
    <t>5739 Pace Island, Crystalburgh, ID 92450</t>
  </si>
  <si>
    <t>Ware-Robinson</t>
  </si>
  <si>
    <t>1971-06-06</t>
  </si>
  <si>
    <t>2017-03-10</t>
  </si>
  <si>
    <t>Brian Serrano</t>
  </si>
  <si>
    <t>todd32@espinoza.info</t>
  </si>
  <si>
    <t>458-823-1890x59632</t>
  </si>
  <si>
    <t>45311 Torres Forks, Patrickton, SC 58753</t>
  </si>
  <si>
    <t>Johnson-Glover</t>
  </si>
  <si>
    <t>1970-01-04</t>
  </si>
  <si>
    <t>Jonathan Larsen</t>
  </si>
  <si>
    <t>reedjohn@lucero.biz</t>
  </si>
  <si>
    <t>351.351.9541</t>
  </si>
  <si>
    <t>6185 Kyle Burg, Lake Davidstad, SD 46739</t>
  </si>
  <si>
    <t>Williams, Rivera and Floyd</t>
  </si>
  <si>
    <t>1989-01-08</t>
  </si>
  <si>
    <t>2016-01-23</t>
  </si>
  <si>
    <t>Gary Bowen</t>
  </si>
  <si>
    <t>barbara75@koch.info</t>
  </si>
  <si>
    <t>(234)910-9592x4100</t>
  </si>
  <si>
    <t>79027 Brown Course Apt. 320, New Jordanstad, AK 48179</t>
  </si>
  <si>
    <t>Bates PLC</t>
  </si>
  <si>
    <t>1989-04-07</t>
  </si>
  <si>
    <t>2025-06-21</t>
  </si>
  <si>
    <t>Timothy Tran</t>
  </si>
  <si>
    <t>edwardsbrenda@aguirre-barrera.com</t>
  </si>
  <si>
    <t>(328)301-3362</t>
  </si>
  <si>
    <t>384 Ryan Springs, Gordonside, GA 76618</t>
  </si>
  <si>
    <t>Scott-Bowen</t>
  </si>
  <si>
    <t>1993-11-20</t>
  </si>
  <si>
    <t>Destiny Williams</t>
  </si>
  <si>
    <t>wwiley@thomas.com</t>
  </si>
  <si>
    <t>028-689-0121x487</t>
  </si>
  <si>
    <t>6589 Alexis Ridges, Johnchester, SD 65315</t>
  </si>
  <si>
    <t>Lopez LLC</t>
  </si>
  <si>
    <t>2023-02-23</t>
  </si>
  <si>
    <t>tgross@hotmail.com</t>
  </si>
  <si>
    <t>+1-418-721-6063x51627</t>
  </si>
  <si>
    <t>36288 Joshua Motorway, West Sharon, NM 15763</t>
  </si>
  <si>
    <t>Williamson-Turner</t>
  </si>
  <si>
    <t>1982-07-13</t>
  </si>
  <si>
    <t>2017-11-20</t>
  </si>
  <si>
    <t>Abigail Gray</t>
  </si>
  <si>
    <t>ellen87@rogers.info</t>
  </si>
  <si>
    <t>5067165958</t>
  </si>
  <si>
    <t>184 Ritter Light, Duranchester, DE 53479</t>
  </si>
  <si>
    <t>Barajas, Ho and Perry</t>
  </si>
  <si>
    <t>1978-02-16</t>
  </si>
  <si>
    <t>Norman Young</t>
  </si>
  <si>
    <t>nreeves@acosta.com</t>
  </si>
  <si>
    <t>702.761.2447x22969</t>
  </si>
  <si>
    <t>426 Brianna Alley Apt. 317, North Maria, OH 91269</t>
  </si>
  <si>
    <t>Lopez, Flores and Powell</t>
  </si>
  <si>
    <t>1965-07-13</t>
  </si>
  <si>
    <t>2023-10-14</t>
  </si>
  <si>
    <t>Amy Maxwell</t>
  </si>
  <si>
    <t>thomashernandez@gmail.com</t>
  </si>
  <si>
    <t>950.190.9774</t>
  </si>
  <si>
    <t>0407 Justin Crossroad, Coxbury, IN 87231</t>
  </si>
  <si>
    <t>Baker, Spencer and Miller</t>
  </si>
  <si>
    <t>1972-12-26</t>
  </si>
  <si>
    <t>Jamie Gibson</t>
  </si>
  <si>
    <t>thomas26@perez-martinez.com</t>
  </si>
  <si>
    <t>001-054-838-4966x9693</t>
  </si>
  <si>
    <t>818 White Ville Suite 745, Lewisbury, WI 69795</t>
  </si>
  <si>
    <t>Hughes-James</t>
  </si>
  <si>
    <t>1972-08-30</t>
  </si>
  <si>
    <t>Kelsey Nelson</t>
  </si>
  <si>
    <t>david95@yahoo.com</t>
  </si>
  <si>
    <t>001-563-060-4117</t>
  </si>
  <si>
    <t>63488 Edwards Circle Apt. 864, New Megan, FL 67606</t>
  </si>
  <si>
    <t>Sloan PLC</t>
  </si>
  <si>
    <t>1972-09-26</t>
  </si>
  <si>
    <t>Daniel Ortiz</t>
  </si>
  <si>
    <t>millerlisa@hinton.info</t>
  </si>
  <si>
    <t>350-047-5543x28607</t>
  </si>
  <si>
    <t>76069 Zachary Drive Apt. 278, Port Brittany, TN 71737</t>
  </si>
  <si>
    <t>Murray, Robinson and Rios</t>
  </si>
  <si>
    <t>1979-07-12</t>
  </si>
  <si>
    <t>Justin Sanders</t>
  </si>
  <si>
    <t>whiteangela@yahoo.com</t>
  </si>
  <si>
    <t>997-700-8566x159</t>
  </si>
  <si>
    <t>443 Hood Field, North Robertfort, AL 91454</t>
  </si>
  <si>
    <t>1985-05-10</t>
  </si>
  <si>
    <t>2025-05-01</t>
  </si>
  <si>
    <t>Kent Butler</t>
  </si>
  <si>
    <t>comptondavid@yahoo.com</t>
  </si>
  <si>
    <t>948.837.3829x16723</t>
  </si>
  <si>
    <t>834 Carolyn Key, Steinfurt, NJ 93460</t>
  </si>
  <si>
    <t>Edwards LLC</t>
  </si>
  <si>
    <t>1993-04-07</t>
  </si>
  <si>
    <t>2022-04-07</t>
  </si>
  <si>
    <t>Michael Garcia</t>
  </si>
  <si>
    <t>ricardo20@yahoo.com</t>
  </si>
  <si>
    <t>725-051-6613x8367</t>
  </si>
  <si>
    <t>601 James Summit Suite 049, North Elizabeth, LA 61068</t>
  </si>
  <si>
    <t>Robinson, Clark and Miller</t>
  </si>
  <si>
    <t>2003-05-19</t>
  </si>
  <si>
    <t>Carolyn Lee</t>
  </si>
  <si>
    <t>briley@nelson-pruitt.com</t>
  </si>
  <si>
    <t>5137771313</t>
  </si>
  <si>
    <t>0438 Cox Orchard, Combsfurt, TN 40925</t>
  </si>
  <si>
    <t>Reid-Howard</t>
  </si>
  <si>
    <t>2005-08-20</t>
  </si>
  <si>
    <t>Peter Sherman</t>
  </si>
  <si>
    <t>veronica75@steele.biz</t>
  </si>
  <si>
    <t>(418)847-3576x937</t>
  </si>
  <si>
    <t>9409 Lane Wells, Donaldtown, CT 83292</t>
  </si>
  <si>
    <t>Barnes Inc</t>
  </si>
  <si>
    <t>1995-08-29</t>
  </si>
  <si>
    <t>2021-03-03</t>
  </si>
  <si>
    <t>Robin Heath</t>
  </si>
  <si>
    <t>ethan59@gmail.com</t>
  </si>
  <si>
    <t>109.085.1145x6631</t>
  </si>
  <si>
    <t>42462 Teresa Glens Apt. 908, Lake Alexischester, MD 25984</t>
  </si>
  <si>
    <t>Brown, Petersen and Mccarthy</t>
  </si>
  <si>
    <t>2022-10-30</t>
  </si>
  <si>
    <t>Audrey Kirby</t>
  </si>
  <si>
    <t>ejimenez@cherry-wheeler.com</t>
  </si>
  <si>
    <t>001-596-051-8928x38110</t>
  </si>
  <si>
    <t>300 Jason Squares, New Jenniferport, NV 15677</t>
  </si>
  <si>
    <t>Jones, Weaver and Morgan</t>
  </si>
  <si>
    <t>1982-03-07</t>
  </si>
  <si>
    <t>2021-02-05</t>
  </si>
  <si>
    <t>Elizabeth Jennings</t>
  </si>
  <si>
    <t>yvonnecastaneda@gmail.com</t>
  </si>
  <si>
    <t>060.030.5045x504</t>
  </si>
  <si>
    <t>007 Michael Curve, West Cynthia, OH 46078</t>
  </si>
  <si>
    <t>Cuevas-Odonnell</t>
  </si>
  <si>
    <t>1982-01-19</t>
  </si>
  <si>
    <t>Alison Long</t>
  </si>
  <si>
    <t>ftorres@ellis.com</t>
  </si>
  <si>
    <t>017.407.7033</t>
  </si>
  <si>
    <t>628 Elizabeth Mountains, West Angelaport, MO 72275</t>
  </si>
  <si>
    <t>Johnson, Long and Peterson</t>
  </si>
  <si>
    <t>1975-11-20</t>
  </si>
  <si>
    <t>Bonnie Oconnor</t>
  </si>
  <si>
    <t>andrew22@gmail.com</t>
  </si>
  <si>
    <t>+1-233-386-7706</t>
  </si>
  <si>
    <t>28919 Patrick Mission Suite 434, Howardfort, NM 94353</t>
  </si>
  <si>
    <t>Leblanc PLC</t>
  </si>
  <si>
    <t>1996-05-31</t>
  </si>
  <si>
    <t>Brian Tucker</t>
  </si>
  <si>
    <t>ethomas@hotmail.com</t>
  </si>
  <si>
    <t>939-193-7916x049</t>
  </si>
  <si>
    <t>Unit 4255 Box 5718, DPO AA 78655</t>
  </si>
  <si>
    <t>Diaz, Chandler and Thompson</t>
  </si>
  <si>
    <t>1965-01-24</t>
  </si>
  <si>
    <t>2025-06-07</t>
  </si>
  <si>
    <t>William Salazar</t>
  </si>
  <si>
    <t>jennifer49@pierce-salazar.com</t>
  </si>
  <si>
    <t>001-036-284-8513</t>
  </si>
  <si>
    <t>Unit 4305 Box 8546, DPO AA 71548</t>
  </si>
  <si>
    <t>Atkinson, Wright and Hawkins</t>
  </si>
  <si>
    <t>2004-07-19</t>
  </si>
  <si>
    <t>2018-07-20</t>
  </si>
  <si>
    <t>Jennifer Mosley</t>
  </si>
  <si>
    <t>plewis@novak.com</t>
  </si>
  <si>
    <t>925.917.1263x180</t>
  </si>
  <si>
    <t>736 Daniel Islands, Petersstad, AK 71640</t>
  </si>
  <si>
    <t>Rosario PLC</t>
  </si>
  <si>
    <t>1973-10-20</t>
  </si>
  <si>
    <t>castrolisa@thomas-summers.org</t>
  </si>
  <si>
    <t>7362658830</t>
  </si>
  <si>
    <t>04396 Hebert Islands Suite 409, South Carrieton, MS 10436</t>
  </si>
  <si>
    <t>Martin, Nelson and Hamilton</t>
  </si>
  <si>
    <t>2007-06-22</t>
  </si>
  <si>
    <t>Alexis Johnson</t>
  </si>
  <si>
    <t>smoreno@yahoo.com</t>
  </si>
  <si>
    <t>170-917-5535</t>
  </si>
  <si>
    <t>Unit 8550 Box 5580, DPO AA 38512</t>
  </si>
  <si>
    <t>Sandra Smith</t>
  </si>
  <si>
    <t>nathaniel32@yahoo.com</t>
  </si>
  <si>
    <t>453-678-7211</t>
  </si>
  <si>
    <t>117 Clay Stream, Teresaport, OK 50196</t>
  </si>
  <si>
    <t>Brooks, Peterson and Poole</t>
  </si>
  <si>
    <t>1986-04-21</t>
  </si>
  <si>
    <t>2021-10-08</t>
  </si>
  <si>
    <t>Chloe Mccoy</t>
  </si>
  <si>
    <t>michaeljordan@patrick.com</t>
  </si>
  <si>
    <t>903-584-1508</t>
  </si>
  <si>
    <t>15566 Gina Wall, Robertsfurt, GA 15349</t>
  </si>
  <si>
    <t>1996-01-01</t>
  </si>
  <si>
    <t>2021-09-05</t>
  </si>
  <si>
    <t>Miranda Cochran</t>
  </si>
  <si>
    <t>steven16@freeman.biz</t>
  </si>
  <si>
    <t>012-825-2051</t>
  </si>
  <si>
    <t>6735 Lewis Ferry Suite 911, North Katherinestad, DE 26135</t>
  </si>
  <si>
    <t>Webb, Wilson and Smith</t>
  </si>
  <si>
    <t>1983-02-18</t>
  </si>
  <si>
    <t>Diana Davis</t>
  </si>
  <si>
    <t>lindsay47@andrews-henderson.org</t>
  </si>
  <si>
    <t>521-567-9134x7380</t>
  </si>
  <si>
    <t>955 Leach Lake, West Jermainemouth, NJ 81616</t>
  </si>
  <si>
    <t>Smith, Lee and Patrick</t>
  </si>
  <si>
    <t>1972-01-13</t>
  </si>
  <si>
    <t>Allison Davis</t>
  </si>
  <si>
    <t>enolan@yahoo.com</t>
  </si>
  <si>
    <t>616.734.0544x120</t>
  </si>
  <si>
    <t>5677 Eric Parkways Apt. 928, East Kristina, MS 95843</t>
  </si>
  <si>
    <t>Smith, Fischer and Lee</t>
  </si>
  <si>
    <t>2025-01-01</t>
  </si>
  <si>
    <t>James Gomez</t>
  </si>
  <si>
    <t>dannybaker@martinez.com</t>
  </si>
  <si>
    <t>(072)220-1249x4245</t>
  </si>
  <si>
    <t>3824 Oliver Stravenue, Hensonton, VA 58248</t>
  </si>
  <si>
    <t>Moreno-Vega</t>
  </si>
  <si>
    <t>2015-08-06</t>
  </si>
  <si>
    <t>Beth Miller</t>
  </si>
  <si>
    <t>sullivantrevor@phillips.com</t>
  </si>
  <si>
    <t>+1-990-073-5339x586</t>
  </si>
  <si>
    <t>Unit 0901 Box 8538, DPO AA 20223</t>
  </si>
  <si>
    <t>Hernandez, Vazquez and Martin</t>
  </si>
  <si>
    <t>1971-05-08</t>
  </si>
  <si>
    <t>Stacy Smith</t>
  </si>
  <si>
    <t>michellerodriguez@chen.com</t>
  </si>
  <si>
    <t>885.785.1232x230</t>
  </si>
  <si>
    <t>6317 Aaron Ranch Apt. 197, Danielston, NC 75983</t>
  </si>
  <si>
    <t>Geographical information systems officer</t>
  </si>
  <si>
    <t>1974-03-18</t>
  </si>
  <si>
    <t>2024-01-06</t>
  </si>
  <si>
    <t>Kelly Franklin</t>
  </si>
  <si>
    <t>cchan@mcbride-wright.com</t>
  </si>
  <si>
    <t>+1-027-502-0656x454</t>
  </si>
  <si>
    <t>3484 Joseph Dam, New Craig, RI 65717</t>
  </si>
  <si>
    <t>Glass-Dixon</t>
  </si>
  <si>
    <t>1984-10-02</t>
  </si>
  <si>
    <t>Tanner Gonzalez</t>
  </si>
  <si>
    <t>jasonanderson@mathis.info</t>
  </si>
  <si>
    <t>(189)810-3763x283</t>
  </si>
  <si>
    <t>8337 Davidson Island, Port Gregory, SC 89793</t>
  </si>
  <si>
    <t>Andersen and Sons</t>
  </si>
  <si>
    <t>1980-10-21</t>
  </si>
  <si>
    <t>Michael Thomas</t>
  </si>
  <si>
    <t>gilbertnatalie@graham.com</t>
  </si>
  <si>
    <t>+1-230-455-4201</t>
  </si>
  <si>
    <t>9369 Jordan Canyon Suite 425, Craigburgh, WA 23115</t>
  </si>
  <si>
    <t>Lawson-Thompson</t>
  </si>
  <si>
    <t>1981-05-29</t>
  </si>
  <si>
    <t>April Sullivan</t>
  </si>
  <si>
    <t>ble@yahoo.com</t>
  </si>
  <si>
    <t>001-359-637-7849</t>
  </si>
  <si>
    <t>1392 Teresa Tunnel, Jasonshire, WA 28038</t>
  </si>
  <si>
    <t>King, Davis and Howell</t>
  </si>
  <si>
    <t>Thomas Ramirez</t>
  </si>
  <si>
    <t>arodriguez@hotmail.com</t>
  </si>
  <si>
    <t>(392)215-8100</t>
  </si>
  <si>
    <t>4287 Joyce Crest Suite 761, Smithmouth, ME 55125</t>
  </si>
  <si>
    <t>Randall, Wilson and Wright</t>
  </si>
  <si>
    <t>1984-05-14</t>
  </si>
  <si>
    <t>David Ayala</t>
  </si>
  <si>
    <t>marieharding@white.biz</t>
  </si>
  <si>
    <t>959.377.7970x3014</t>
  </si>
  <si>
    <t>82046 Barnes Stream Apt. 743, South Christian, AK 24450</t>
  </si>
  <si>
    <t>Christian Group</t>
  </si>
  <si>
    <t>1999-09-24</t>
  </si>
  <si>
    <t>2017-06-24</t>
  </si>
  <si>
    <t>Donna Lopez</t>
  </si>
  <si>
    <t>robert71@cervantes.net</t>
  </si>
  <si>
    <t>642-122-4057x23530</t>
  </si>
  <si>
    <t>USCGC Lopez, FPO AP 28011</t>
  </si>
  <si>
    <t>Allen-Patel</t>
  </si>
  <si>
    <t>1995-03-10</t>
  </si>
  <si>
    <t>2018-08-06</t>
  </si>
  <si>
    <t>Nicole Joseph</t>
  </si>
  <si>
    <t>spencermack@beltran.com</t>
  </si>
  <si>
    <t>3750005752</t>
  </si>
  <si>
    <t>382 Judy Brooks Apt. 891, Andersonchester, OK 82169</t>
  </si>
  <si>
    <t>1963-08-22</t>
  </si>
  <si>
    <t>Frank Hudson</t>
  </si>
  <si>
    <t>woodcassandra@ochoa-sutton.com</t>
  </si>
  <si>
    <t>054.242.0290</t>
  </si>
  <si>
    <t>26824 Elizabeth Throughway Apt. 271, Gibbsland, CT 91986</t>
  </si>
  <si>
    <t>Ellis PLC</t>
  </si>
  <si>
    <t>1987-01-16</t>
  </si>
  <si>
    <t>2024-03-13</t>
  </si>
  <si>
    <t>William Martin</t>
  </si>
  <si>
    <t>jessica90@lowery.org</t>
  </si>
  <si>
    <t>326-449-7065x98058</t>
  </si>
  <si>
    <t>8825 Debra Key Suite 187, West Elizabeth, MT 52122</t>
  </si>
  <si>
    <t>Martin Group</t>
  </si>
  <si>
    <t>1974-11-19</t>
  </si>
  <si>
    <t>2025-07-02</t>
  </si>
  <si>
    <t>Derrick Dodson</t>
  </si>
  <si>
    <t>blakematthew@robbins-jones.biz</t>
  </si>
  <si>
    <t>+1-058-569-3293</t>
  </si>
  <si>
    <t>00478 Ann Unions Apt. 127, Scottborough, KY 35784</t>
  </si>
  <si>
    <t>Merritt, Key and Zimmerman</t>
  </si>
  <si>
    <t>2004-04-21</t>
  </si>
  <si>
    <t>Diane Walter</t>
  </si>
  <si>
    <t>james21@williams-schwartz.com</t>
  </si>
  <si>
    <t>885.158.7199x16022</t>
  </si>
  <si>
    <t>660 Shaffer Junction Apt. 012, Rhodesberg, MO 50122</t>
  </si>
  <si>
    <t>Ramsey-Pena</t>
  </si>
  <si>
    <t>1983-12-21</t>
  </si>
  <si>
    <t>2023-05-24</t>
  </si>
  <si>
    <t>Jonathan Davis</t>
  </si>
  <si>
    <t>owenscassandra@gmail.com</t>
  </si>
  <si>
    <t>983.771.1956x72375</t>
  </si>
  <si>
    <t>8581 Rogers Cliffs, Lopezmouth, ME 48820</t>
  </si>
  <si>
    <t>Arts development officer</t>
  </si>
  <si>
    <t>Rodriguez, Nguyen and Jones</t>
  </si>
  <si>
    <t>2023-04-14</t>
  </si>
  <si>
    <t>Tracy Beck</t>
  </si>
  <si>
    <t>medinasara@hotmail.com</t>
  </si>
  <si>
    <t>517-268-8821x0130</t>
  </si>
  <si>
    <t>Unit 4335 Box 8913, DPO AA 64877</t>
  </si>
  <si>
    <t>Shaw, Yu and Nguyen</t>
  </si>
  <si>
    <t>1964-06-05</t>
  </si>
  <si>
    <t>Candice Phillips</t>
  </si>
  <si>
    <t>garzatroy@hotmail.com</t>
  </si>
  <si>
    <t>(669)486-5375x36106</t>
  </si>
  <si>
    <t>031 Derek Centers, Lake Stevenborough, NM 27133</t>
  </si>
  <si>
    <t>Park, Estrada and Washington</t>
  </si>
  <si>
    <t>1965-05-27</t>
  </si>
  <si>
    <t>2024-06-27</t>
  </si>
  <si>
    <t>Gregory Jacobs</t>
  </si>
  <si>
    <t>ambergarrison@smith.biz</t>
  </si>
  <si>
    <t>001-504-026-0747x756</t>
  </si>
  <si>
    <t>39885 Gardner Ramp, Thomashaven, MI 62581</t>
  </si>
  <si>
    <t>Hines, Barnett and Clark</t>
  </si>
  <si>
    <t>1961-12-11</t>
  </si>
  <si>
    <t>Dr. Nancy Brown Md</t>
  </si>
  <si>
    <t>elizabethrogers@lamb-adkins.org</t>
  </si>
  <si>
    <t>(282)392-2823x29129</t>
  </si>
  <si>
    <t>463 Ortiz Shore, Port Robertshire, VA 97521</t>
  </si>
  <si>
    <t>Jackson-Williams</t>
  </si>
  <si>
    <t>1987-10-25</t>
  </si>
  <si>
    <t>2020-03-09</t>
  </si>
  <si>
    <t>James Murphy</t>
  </si>
  <si>
    <t>nguyenashley@gutierrez.com</t>
  </si>
  <si>
    <t>(525)473-2297x3279</t>
  </si>
  <si>
    <t>44422 Martinez Rest Suite 178, Alexanderburgh, IL 89797</t>
  </si>
  <si>
    <t>Clark-Williams</t>
  </si>
  <si>
    <t>1973-02-16</t>
  </si>
  <si>
    <t>2024-07-03</t>
  </si>
  <si>
    <t>James Davies</t>
  </si>
  <si>
    <t>valerie43@gmail.com</t>
  </si>
  <si>
    <t>001-392-621-3185x040</t>
  </si>
  <si>
    <t>72681 Perez Path Apt. 651, Jessicaville, HI 01411</t>
  </si>
  <si>
    <t>Johnson-Rogers</t>
  </si>
  <si>
    <t>Stephanie Jones</t>
  </si>
  <si>
    <t>cyork@norris-lucero.com</t>
  </si>
  <si>
    <t>001-577-424-5975x747</t>
  </si>
  <si>
    <t>34029 Hutchinson Forks, Liufort, KS 38342</t>
  </si>
  <si>
    <t>Kelly-Landry</t>
  </si>
  <si>
    <t>Joseph Rodriguez</t>
  </si>
  <si>
    <t>kelsey39@hernandez-robinson.biz</t>
  </si>
  <si>
    <t>211.727.9905x661</t>
  </si>
  <si>
    <t>045 John Court, West Brittney, WI 69595</t>
  </si>
  <si>
    <t>Elliott-Kline</t>
  </si>
  <si>
    <t>1986-07-27</t>
  </si>
  <si>
    <t>2019-08-31</t>
  </si>
  <si>
    <t>Mark Campbell</t>
  </si>
  <si>
    <t>tdorsey@turner-tyler.net</t>
  </si>
  <si>
    <t>930-165-9179</t>
  </si>
  <si>
    <t>54717 Joshua Drives Suite 221, Port Holly, IL 73613</t>
  </si>
  <si>
    <t>Hubbard, Larsen and Bean</t>
  </si>
  <si>
    <t>1995-08-02</t>
  </si>
  <si>
    <t>2021-03-10</t>
  </si>
  <si>
    <t>Jeffrey Lozano Dvm</t>
  </si>
  <si>
    <t>jason72@rodriguez.org</t>
  </si>
  <si>
    <t>135-094-3133x54685</t>
  </si>
  <si>
    <t>25262 Hunter Ridge Apt. 786, Rhondachester, NC 71426</t>
  </si>
  <si>
    <t>Nichols, King and Good</t>
  </si>
  <si>
    <t>1981-01-29</t>
  </si>
  <si>
    <t>John Randall</t>
  </si>
  <si>
    <t>dylanmiller@morrison.com</t>
  </si>
  <si>
    <t>001-261-529-6781</t>
  </si>
  <si>
    <t>56657 Alexander Lane, East Jeromeview, SC 25242</t>
  </si>
  <si>
    <t>Parrish, Mccann and Morris</t>
  </si>
  <si>
    <t>2003-07-02</t>
  </si>
  <si>
    <t>2020-07-27</t>
  </si>
  <si>
    <t>Kim Reyes</t>
  </si>
  <si>
    <t>bharris@gmail.com</t>
  </si>
  <si>
    <t>(247)339-0567x43789</t>
  </si>
  <si>
    <t>Unit 3520 Box 4588, DPO AP 64484</t>
  </si>
  <si>
    <t>Thomas and Sons</t>
  </si>
  <si>
    <t>1992-03-11</t>
  </si>
  <si>
    <t>2017-03-19</t>
  </si>
  <si>
    <t>Benjamin Bush</t>
  </si>
  <si>
    <t>terrijones@smith-lopez.com</t>
  </si>
  <si>
    <t>926-720-0634</t>
  </si>
  <si>
    <t>883 Tony Junctions, New Lauren, CO 27910</t>
  </si>
  <si>
    <t>Sweeney-Jones</t>
  </si>
  <si>
    <t>1978-08-29</t>
  </si>
  <si>
    <t>Meagan Herring</t>
  </si>
  <si>
    <t>josephtran@hotmail.com</t>
  </si>
  <si>
    <t>972-426-1018</t>
  </si>
  <si>
    <t>Unit 0396 Box 5440, DPO AA 11443</t>
  </si>
  <si>
    <t>1964-06-21</t>
  </si>
  <si>
    <t>Christopher Juarez</t>
  </si>
  <si>
    <t>saraking@gmail.com</t>
  </si>
  <si>
    <t>+1-433-977-7761x32769</t>
  </si>
  <si>
    <t>518 Perkins Village, Prattbury, TN 79860</t>
  </si>
  <si>
    <t>Hill, James and Bradshaw</t>
  </si>
  <si>
    <t>1994-12-26</t>
  </si>
  <si>
    <t>Nicholas Trevino</t>
  </si>
  <si>
    <t>wsmith@hotmail.com</t>
  </si>
  <si>
    <t>447-206-9234</t>
  </si>
  <si>
    <t>PSC 0606, Box 7236, APO AP 55385</t>
  </si>
  <si>
    <t>Morgan-Mendoza</t>
  </si>
  <si>
    <t>1993-08-14</t>
  </si>
  <si>
    <t>2021-04-03</t>
  </si>
  <si>
    <t>Brett Tapia</t>
  </si>
  <si>
    <t>jordanrobert@parks.biz</t>
  </si>
  <si>
    <t>(513)442-7326x91119</t>
  </si>
  <si>
    <t>90487 Johnson Throughway, Susanport, ND 75862</t>
  </si>
  <si>
    <t>Valdez-Rush</t>
  </si>
  <si>
    <t>Debbie Williams</t>
  </si>
  <si>
    <t>kempjohn@hotmail.com</t>
  </si>
  <si>
    <t>1642005975</t>
  </si>
  <si>
    <t>56915 Wilcox Fields Apt. 404, South Christopher, CT 02129</t>
  </si>
  <si>
    <t>Watts, Wilkinson and Eaton</t>
  </si>
  <si>
    <t>1984-05-20</t>
  </si>
  <si>
    <t>2023-09-25</t>
  </si>
  <si>
    <t>Daniel Schroeder</t>
  </si>
  <si>
    <t>brianday@gmail.com</t>
  </si>
  <si>
    <t>384.287.9085x757</t>
  </si>
  <si>
    <t>24887 Roy Corner Apt. 013, Allisonburgh, TX 79129</t>
  </si>
  <si>
    <t>Bishop-Mora</t>
  </si>
  <si>
    <t>1987-12-09</t>
  </si>
  <si>
    <t>2016-04-27</t>
  </si>
  <si>
    <t>Ronald Reeves</t>
  </si>
  <si>
    <t>tli@dixon-bruce.net</t>
  </si>
  <si>
    <t>(308)566-4612x0038</t>
  </si>
  <si>
    <t>7164 Gutierrez Ferry, West Shannon, ND 86277</t>
  </si>
  <si>
    <t>Reilly Inc</t>
  </si>
  <si>
    <t>1967-12-11</t>
  </si>
  <si>
    <t>Julia Jackson</t>
  </si>
  <si>
    <t>elizabeth68@graham.com</t>
  </si>
  <si>
    <t>7473823294</t>
  </si>
  <si>
    <t>61096 Lopez Keys Suite 405, Port Johnborough, NM 93681</t>
  </si>
  <si>
    <t>Peterson, Spencer and Davis</t>
  </si>
  <si>
    <t>Brenda Frost</t>
  </si>
  <si>
    <t>hartgeorge@yahoo.com</t>
  </si>
  <si>
    <t>518.833.7162</t>
  </si>
  <si>
    <t>64107 Park Court Apt. 813, Weaverview, AK 26064</t>
  </si>
  <si>
    <t>Anderson, Baker and Sullivan</t>
  </si>
  <si>
    <t>1975-02-21</t>
  </si>
  <si>
    <t>2017-11-09</t>
  </si>
  <si>
    <t>Colleen Robbins</t>
  </si>
  <si>
    <t>xbryant@hotmail.com</t>
  </si>
  <si>
    <t>001-739-061-1158x65586</t>
  </si>
  <si>
    <t>9665 Steven Glen, Joshuatown, NH 10131</t>
  </si>
  <si>
    <t>Ruiz-Roach</t>
  </si>
  <si>
    <t>1999-08-24</t>
  </si>
  <si>
    <t>Rebecca Miles</t>
  </si>
  <si>
    <t>hernandezjames@costa.org</t>
  </si>
  <si>
    <t>447.209.6686x925</t>
  </si>
  <si>
    <t>2529 Newman Spur, North Amandaville, NC 38142</t>
  </si>
  <si>
    <t>Thomas-Best</t>
  </si>
  <si>
    <t>2007-04-15</t>
  </si>
  <si>
    <t>2019-05-07</t>
  </si>
  <si>
    <t>Anthony Duncan</t>
  </si>
  <si>
    <t>vhowell@price.com</t>
  </si>
  <si>
    <t>+1-693-990-0008x9389</t>
  </si>
  <si>
    <t>8243 Moreno Common Suite 726, East Amanda, AR 40199</t>
  </si>
  <si>
    <t>Jackson, Jensen and Martinez</t>
  </si>
  <si>
    <t>Amanda Christian Dvm</t>
  </si>
  <si>
    <t>christina43@calderon.com</t>
  </si>
  <si>
    <t>001-190-881-1048x72825</t>
  </si>
  <si>
    <t>Unit 3758 Box 2336, DPO AA 40256</t>
  </si>
  <si>
    <t>Garrett Group</t>
  </si>
  <si>
    <t>1990-06-27</t>
  </si>
  <si>
    <t>2019-12-13</t>
  </si>
  <si>
    <t>ashleehodges@lambert.com</t>
  </si>
  <si>
    <t>+1-079-552-3687x4224</t>
  </si>
  <si>
    <t>99362 Davis Burgs Apt. 128, North Blakemouth, AZ 36676</t>
  </si>
  <si>
    <t>Haynes-Torres</t>
  </si>
  <si>
    <t>1973-11-11</t>
  </si>
  <si>
    <t>2018-10-01</t>
  </si>
  <si>
    <t>Jennifer Hill</t>
  </si>
  <si>
    <t>johnchristian@anderson.com</t>
  </si>
  <si>
    <t>+1-517-526-5208x607</t>
  </si>
  <si>
    <t>7250 Darius Creek, Jessicabury, VA 14249</t>
  </si>
  <si>
    <t>Phelps-Stewart</t>
  </si>
  <si>
    <t>2002-09-10</t>
  </si>
  <si>
    <t>Christopher Smith</t>
  </si>
  <si>
    <t>jonathancollins@mitchell-lee.info</t>
  </si>
  <si>
    <t>271-854-0065x777</t>
  </si>
  <si>
    <t>990 Woods Fields, Johnchester, WV 39125</t>
  </si>
  <si>
    <t>Stone-Jones</t>
  </si>
  <si>
    <t>1980-12-13</t>
  </si>
  <si>
    <t>2021-07-15</t>
  </si>
  <si>
    <t>Willie Smith Jr.</t>
  </si>
  <si>
    <t>jeremy13@hotmail.com</t>
  </si>
  <si>
    <t>588-373-1608</t>
  </si>
  <si>
    <t>29593 Ryan Mission Suite 877, New Joshuaville, WI 32327</t>
  </si>
  <si>
    <t>Aguilar Inc</t>
  </si>
  <si>
    <t>2007-02-14</t>
  </si>
  <si>
    <t>Bethany Wilson</t>
  </si>
  <si>
    <t>sara78@berg.net</t>
  </si>
  <si>
    <t>001-863-394-7965x304</t>
  </si>
  <si>
    <t>80008 Blair Station, South Sergio, SD 27436</t>
  </si>
  <si>
    <t>Hill, Smith and Smith</t>
  </si>
  <si>
    <t>1987-08-28</t>
  </si>
  <si>
    <t>Stephen Hanson</t>
  </si>
  <si>
    <t>stuartjames@hughes-martinez.net</t>
  </si>
  <si>
    <t>(689)613-4518</t>
  </si>
  <si>
    <t>9014 Philip Via, New Colinborough, LA 65309</t>
  </si>
  <si>
    <t>Acosta-Hicks</t>
  </si>
  <si>
    <t>1993-04-06</t>
  </si>
  <si>
    <t>2018-01-26</t>
  </si>
  <si>
    <t>Ricky Singh</t>
  </si>
  <si>
    <t>olsonmarvin@moon.com</t>
  </si>
  <si>
    <t>658.075.3481x977</t>
  </si>
  <si>
    <t>011 Anderson Roads Suite 963, Kyleville, ME 92020</t>
  </si>
  <si>
    <t>Anderson, Page and Guerrero</t>
  </si>
  <si>
    <t>2002-09-28</t>
  </si>
  <si>
    <t>2019-10-16</t>
  </si>
  <si>
    <t>William Shields</t>
  </si>
  <si>
    <t>thomas92@hotmail.com</t>
  </si>
  <si>
    <t>(308)143-4796</t>
  </si>
  <si>
    <t>99353 Hebert Hollow, North Christopher, UT 58166</t>
  </si>
  <si>
    <t>1991-10-21</t>
  </si>
  <si>
    <t>Cynthia Baker</t>
  </si>
  <si>
    <t>whiteconnie@mckenzie.com</t>
  </si>
  <si>
    <t>001-132-121-4498</t>
  </si>
  <si>
    <t>519 Manuel Ways Apt. 798, Port Crystal, IN 44988</t>
  </si>
  <si>
    <t>Cunningham, Baker and Garcia</t>
  </si>
  <si>
    <t>1971-02-12</t>
  </si>
  <si>
    <t>Linda Cunningham</t>
  </si>
  <si>
    <t>annakim@hotmail.com</t>
  </si>
  <si>
    <t>050.681.1469x9861</t>
  </si>
  <si>
    <t>51264 Bishop Dam, Aaronbury, LA 12798</t>
  </si>
  <si>
    <t>Mills, Young and Hickman</t>
  </si>
  <si>
    <t>2003-02-26</t>
  </si>
  <si>
    <t>Roger Powell</t>
  </si>
  <si>
    <t>brooksdanielle@hotmail.com</t>
  </si>
  <si>
    <t>001-396-413-5178x7193</t>
  </si>
  <si>
    <t>48706 Marcus Crest Suite 828, West Erinland, OR 01579</t>
  </si>
  <si>
    <t>Smith-Watkins</t>
  </si>
  <si>
    <t>1976-11-16</t>
  </si>
  <si>
    <t>2021-08-12</t>
  </si>
  <si>
    <t>Melissa Barnes</t>
  </si>
  <si>
    <t>joseph02@gmail.com</t>
  </si>
  <si>
    <t>(610)096-7337x40432</t>
  </si>
  <si>
    <t>2622 Philip Corner, Valerieshire, WY 51822</t>
  </si>
  <si>
    <t>Jones, Mccoy and Hanson</t>
  </si>
  <si>
    <t>2007-05-10</t>
  </si>
  <si>
    <t>2024-03-25</t>
  </si>
  <si>
    <t>Jim Morales</t>
  </si>
  <si>
    <t>traci25@hotmail.com</t>
  </si>
  <si>
    <t>783.143.1560x6872</t>
  </si>
  <si>
    <t>7177 Brian Spring Apt. 633, Whiteborough, GA 59768</t>
  </si>
  <si>
    <t>1960-06-14</t>
  </si>
  <si>
    <t>Jenna Miller</t>
  </si>
  <si>
    <t>ishaw@dougherty-johnson.org</t>
  </si>
  <si>
    <t>(104)838-8058x1985</t>
  </si>
  <si>
    <t>85505 Stanton Row Suite 182, Jessicaton, FL 74751</t>
  </si>
  <si>
    <t>Ramirez-Jackson</t>
  </si>
  <si>
    <t>1995-04-19</t>
  </si>
  <si>
    <t>Matthew Clark</t>
  </si>
  <si>
    <t>rebecca60@watson.com</t>
  </si>
  <si>
    <t>(048)967-0050</t>
  </si>
  <si>
    <t>215 Briana Crest, Georgechester, IL 24027</t>
  </si>
  <si>
    <t>1981-06-20</t>
  </si>
  <si>
    <t>2022-01-03</t>
  </si>
  <si>
    <t>Margaret Watson</t>
  </si>
  <si>
    <t>tcoleman@olson.net</t>
  </si>
  <si>
    <t>+1-855-997-3509</t>
  </si>
  <si>
    <t>3036 Garrett Grove Apt. 754, East Jefffurt, HI 64760</t>
  </si>
  <si>
    <t>Roberts, Smith and Jones</t>
  </si>
  <si>
    <t>1972-01-06</t>
  </si>
  <si>
    <t>2024-04-30</t>
  </si>
  <si>
    <t>Alexander Leblanc</t>
  </si>
  <si>
    <t>brandymoore@yahoo.com</t>
  </si>
  <si>
    <t>+1-481-731-7422</t>
  </si>
  <si>
    <t>549 Price Passage Suite 333, Jonesshire, NH 05056</t>
  </si>
  <si>
    <t>Chan, Andrews and Acosta</t>
  </si>
  <si>
    <t>1994-03-03</t>
  </si>
  <si>
    <t>2025-04-05</t>
  </si>
  <si>
    <t>Colton Gutierrez</t>
  </si>
  <si>
    <t>jameslawrence@fuller-bennett.biz</t>
  </si>
  <si>
    <t>+1-994-765-5023x5036</t>
  </si>
  <si>
    <t>010 Rebecca Port Apt. 438, East Aaron, AK 84445</t>
  </si>
  <si>
    <t>Aguilar, Guerrero and Campbell</t>
  </si>
  <si>
    <t>1961-04-18</t>
  </si>
  <si>
    <t>2023-10-05</t>
  </si>
  <si>
    <t>Kyle Brown</t>
  </si>
  <si>
    <t>lopezmelissa@kennedy.net</t>
  </si>
  <si>
    <t>4937662930</t>
  </si>
  <si>
    <t>PSC 6709, Box 6702, APO AA 29519</t>
  </si>
  <si>
    <t>Wilson LLC</t>
  </si>
  <si>
    <t>1969-01-10</t>
  </si>
  <si>
    <t>Veronica Jennings</t>
  </si>
  <si>
    <t>tdavis@hotmail.com</t>
  </si>
  <si>
    <t>(617)420-3059</t>
  </si>
  <si>
    <t>9885 Erika Crossroad Apt. 949, Samuelside, TX 22932</t>
  </si>
  <si>
    <t>Morris, Dunn and Brandt</t>
  </si>
  <si>
    <t>1995-09-27</t>
  </si>
  <si>
    <t>2017-06-03</t>
  </si>
  <si>
    <t>Anna Blackburn</t>
  </si>
  <si>
    <t>lmartin@burnett.net</t>
  </si>
  <si>
    <t>716-791-0567</t>
  </si>
  <si>
    <t>70556 Gloria Falls, Johnsonshire, UT 88675</t>
  </si>
  <si>
    <t>1980-10-29</t>
  </si>
  <si>
    <t>2016-07-13</t>
  </si>
  <si>
    <t>Jennifer Taylor</t>
  </si>
  <si>
    <t>montgomeryjessica@romero.org</t>
  </si>
  <si>
    <t>001-941-054-7357x372</t>
  </si>
  <si>
    <t>6002 Vanessa Junctions, Port Scottport, DC 75977</t>
  </si>
  <si>
    <t>Klein-Smith</t>
  </si>
  <si>
    <t>1973-06-02</t>
  </si>
  <si>
    <t>Gregory Wong</t>
  </si>
  <si>
    <t>megan69@nguyen-salazar.com</t>
  </si>
  <si>
    <t>728.532.2016</t>
  </si>
  <si>
    <t>5985 Gonzalez Park, Coxland, AK 76733</t>
  </si>
  <si>
    <t>Craig-Serrano</t>
  </si>
  <si>
    <t>2024-03-21</t>
  </si>
  <si>
    <t>Joshua Young</t>
  </si>
  <si>
    <t>walkercrystal@williams.info</t>
  </si>
  <si>
    <t>407-469-1562x7269</t>
  </si>
  <si>
    <t>0763 Ashley Station Apt. 422, Lake Marybury, AK 81848</t>
  </si>
  <si>
    <t>Willis-Boyd</t>
  </si>
  <si>
    <t>2018-05-19</t>
  </si>
  <si>
    <t>Kelly Johnson</t>
  </si>
  <si>
    <t>heidiguerra@palmer-romero.com</t>
  </si>
  <si>
    <t>(370)923-9948</t>
  </si>
  <si>
    <t>9802 Reginald Lake, Bradfordside, MD 65469</t>
  </si>
  <si>
    <t>George, Kelley and Young</t>
  </si>
  <si>
    <t>Jeremy Zimmerman</t>
  </si>
  <si>
    <t>fgreen@williams.com</t>
  </si>
  <si>
    <t>001-692-073-5952x486</t>
  </si>
  <si>
    <t>01742 Lee Estate Apt. 312, East Megan, IL 07185</t>
  </si>
  <si>
    <t>Roy, Winters and Johnson</t>
  </si>
  <si>
    <t>1971-09-25</t>
  </si>
  <si>
    <t>Carmen Brown</t>
  </si>
  <si>
    <t>nicholaskramer@gmail.com</t>
  </si>
  <si>
    <t>+1-392-886-3592x8636</t>
  </si>
  <si>
    <t>840 Rachel View Suite 967, North Nancyshire, IN 56388</t>
  </si>
  <si>
    <t>Garcia, Ramsey and Smith</t>
  </si>
  <si>
    <t>1980-09-12</t>
  </si>
  <si>
    <t>Nicholas Nguyen</t>
  </si>
  <si>
    <t>jameshicks@yahoo.com</t>
  </si>
  <si>
    <t>001-943-841-5659x5577</t>
  </si>
  <si>
    <t>901 Danielle Haven Apt. 175, Port Linda, DE 11308</t>
  </si>
  <si>
    <t>Haley Group</t>
  </si>
  <si>
    <t>1978-10-30</t>
  </si>
  <si>
    <t>2016-11-24</t>
  </si>
  <si>
    <t>Benjamin Klein</t>
  </si>
  <si>
    <t>carolcortez@brewer-oneal.org</t>
  </si>
  <si>
    <t>001-772-298-5906</t>
  </si>
  <si>
    <t>351 Jennifer Inlet, Espinozaville, CO 52589</t>
  </si>
  <si>
    <t>Lowe-York</t>
  </si>
  <si>
    <t>1987-12-05</t>
  </si>
  <si>
    <t>2017-09-06</t>
  </si>
  <si>
    <t>Scott Valencia</t>
  </si>
  <si>
    <t>nathanielmartin@johnson-bowen.biz</t>
  </si>
  <si>
    <t>5937316445</t>
  </si>
  <si>
    <t>80006 Jordan Passage Suite 521, Lake Renee, WV 67843</t>
  </si>
  <si>
    <t>King-Dillon</t>
  </si>
  <si>
    <t>2002-02-25</t>
  </si>
  <si>
    <t>Colleen Knight</t>
  </si>
  <si>
    <t>ascott@hotmail.com</t>
  </si>
  <si>
    <t>+1-618-824-1308x47297</t>
  </si>
  <si>
    <t>53821 Wright Manors Apt. 863, Marshmouth, MS 30737</t>
  </si>
  <si>
    <t>Davis-Werner</t>
  </si>
  <si>
    <t>1960-07-30</t>
  </si>
  <si>
    <t>Danielle Lewis</t>
  </si>
  <si>
    <t>becky27@kramer.com</t>
  </si>
  <si>
    <t>469.622.9841x12851</t>
  </si>
  <si>
    <t>98743 Joseph Valley, Natashafort, ME 71418</t>
  </si>
  <si>
    <t>1996-05-05</t>
  </si>
  <si>
    <t>Jacob Robinson</t>
  </si>
  <si>
    <t>katiemoore@gonzalez-smith.com</t>
  </si>
  <si>
    <t>824.584.1173x507</t>
  </si>
  <si>
    <t>014 Olivia Freeway Apt. 683, Lake Janet, NH 84555</t>
  </si>
  <si>
    <t>Roth-Lambert</t>
  </si>
  <si>
    <t>1982-12-27</t>
  </si>
  <si>
    <t>2025-04-12</t>
  </si>
  <si>
    <t>Justin Morales</t>
  </si>
  <si>
    <t>zanderson@simmons-turner.org</t>
  </si>
  <si>
    <t>+1-493-646-0296x056</t>
  </si>
  <si>
    <t>08788 Alison Island, Wilsonmouth, AZ 22824</t>
  </si>
  <si>
    <t>Boyd, Hanna and Guerrero</t>
  </si>
  <si>
    <t>1961-05-25</t>
  </si>
  <si>
    <t>David Riddle</t>
  </si>
  <si>
    <t>dsmith@hotmail.com</t>
  </si>
  <si>
    <t>746-423-0478x65507</t>
  </si>
  <si>
    <t>5228 Smith Ports Suite 762, Mendezstad, CA 33992</t>
  </si>
  <si>
    <t>Stark and Sons</t>
  </si>
  <si>
    <t>1962-11-16</t>
  </si>
  <si>
    <t>Carrie Martin</t>
  </si>
  <si>
    <t>burchmegan@yahoo.com</t>
  </si>
  <si>
    <t>3983471341</t>
  </si>
  <si>
    <t>72482 Pena Path, Marcusfort, NH 84615</t>
  </si>
  <si>
    <t>Kramer, Meza and Johnson</t>
  </si>
  <si>
    <t>1960-03-13</t>
  </si>
  <si>
    <t>2019-08-15</t>
  </si>
  <si>
    <t>Tiffany Hansen</t>
  </si>
  <si>
    <t>ssilva@yahoo.com</t>
  </si>
  <si>
    <t>001-235-840-3624x9104</t>
  </si>
  <si>
    <t>28147 Denise Harbors, Port Brianhaven, OK 94999</t>
  </si>
  <si>
    <t>Gray-Buchanan</t>
  </si>
  <si>
    <t>1968-11-30</t>
  </si>
  <si>
    <t>Jacqueline Hernandez</t>
  </si>
  <si>
    <t>angelaaustin@garrett.com</t>
  </si>
  <si>
    <t>(265)057-6334x880</t>
  </si>
  <si>
    <t>49142 Clarence Drive, Davidfort, UT 24553</t>
  </si>
  <si>
    <t>Chaney-Parrish</t>
  </si>
  <si>
    <t>1995-11-07</t>
  </si>
  <si>
    <t>Shirley Miller</t>
  </si>
  <si>
    <t>qwalker@herring-mcclain.net</t>
  </si>
  <si>
    <t>417.836.8151</t>
  </si>
  <si>
    <t>12473 Patty Corners Apt. 306, New Gabrielleton, WA 69245</t>
  </si>
  <si>
    <t>Hobbs, Martin and Diaz</t>
  </si>
  <si>
    <t>1975-05-06</t>
  </si>
  <si>
    <t>2017-07-16</t>
  </si>
  <si>
    <t>Denise Snyder</t>
  </si>
  <si>
    <t>jacksondougherty@smith.com</t>
  </si>
  <si>
    <t>+1-290-440-8273x5126</t>
  </si>
  <si>
    <t>3637 Judy Motorway, Walkerchester, OR 03848</t>
  </si>
  <si>
    <t>Jimenez-Brown</t>
  </si>
  <si>
    <t>2020-01-09</t>
  </si>
  <si>
    <t>Jennifer Brooks</t>
  </si>
  <si>
    <t>ataylor@arellano.com</t>
  </si>
  <si>
    <t>5584038515</t>
  </si>
  <si>
    <t>251 Cathy Spurs Apt. 895, Foxshire, AK 44378</t>
  </si>
  <si>
    <t>Hernandez, Flores and Russell</t>
  </si>
  <si>
    <t>1982-07-10</t>
  </si>
  <si>
    <t>2022-05-16</t>
  </si>
  <si>
    <t>Joshua Chaney</t>
  </si>
  <si>
    <t>jeffreyjohnson@williams.com</t>
  </si>
  <si>
    <t>706.940.4001x32218</t>
  </si>
  <si>
    <t>09654 Williams Route Suite 526, Cookmouth, GA 77308</t>
  </si>
  <si>
    <t>Warner, Simpson and Sanchez</t>
  </si>
  <si>
    <t>1992-11-04</t>
  </si>
  <si>
    <t>Curtis Taylor</t>
  </si>
  <si>
    <t>ptran@hall.com</t>
  </si>
  <si>
    <t>(928)880-6369x7454</t>
  </si>
  <si>
    <t>889 Tyler Lights Suite 537, Wardmouth, NJ 06109</t>
  </si>
  <si>
    <t>Reyes, Nelson and Allen</t>
  </si>
  <si>
    <t>1990-10-13</t>
  </si>
  <si>
    <t>2022-05-21</t>
  </si>
  <si>
    <t>Robin Boyd</t>
  </si>
  <si>
    <t>barbaratanner@shannon-alexander.com</t>
  </si>
  <si>
    <t>001-341-411-0994x1104</t>
  </si>
  <si>
    <t>2730 Anderson Estates, North Julie, NM 21204</t>
  </si>
  <si>
    <t>Gordon-Ortiz</t>
  </si>
  <si>
    <t>1981-06-13</t>
  </si>
  <si>
    <t>William Roth</t>
  </si>
  <si>
    <t>enichols@carpenter.com</t>
  </si>
  <si>
    <t>250.982.6085</t>
  </si>
  <si>
    <t>671 Swanson Plaza Suite 333, Stephanieshire, MA 24231</t>
  </si>
  <si>
    <t>Price, Campos and Williams</t>
  </si>
  <si>
    <t>2005-11-03</t>
  </si>
  <si>
    <t>Kathy Perez</t>
  </si>
  <si>
    <t>jasonwolf@day-sanders.biz</t>
  </si>
  <si>
    <t>882-742-1880x8177</t>
  </si>
  <si>
    <t>14983 Warren Terrace, Paulberg, MT 95978</t>
  </si>
  <si>
    <t>Byrd-Morgan</t>
  </si>
  <si>
    <t>1981-04-01</t>
  </si>
  <si>
    <t>2019-09-28</t>
  </si>
  <si>
    <t>John Wade</t>
  </si>
  <si>
    <t>vfranklin@henderson.biz</t>
  </si>
  <si>
    <t>001-495-715-6415x185</t>
  </si>
  <si>
    <t>40541 Victoria Curve Suite 657, Lake Theresa, SD 78768</t>
  </si>
  <si>
    <t>Mendoza, Smith and Peters</t>
  </si>
  <si>
    <t>1986-07-14</t>
  </si>
  <si>
    <t>Taylor Deleon</t>
  </si>
  <si>
    <t>aprilmartin@clark-fisher.net</t>
  </si>
  <si>
    <t>879.188.0843x073</t>
  </si>
  <si>
    <t>3173 Bradley Squares, Williamstown, MS 15240</t>
  </si>
  <si>
    <t>Dominguez Group</t>
  </si>
  <si>
    <t>1964-04-10</t>
  </si>
  <si>
    <t>Jared Ramirez</t>
  </si>
  <si>
    <t>tstevens@gmail.com</t>
  </si>
  <si>
    <t>+1-731-188-4448x45011</t>
  </si>
  <si>
    <t>0064 Sandra Centers Suite 017, North Devin, MS 89343</t>
  </si>
  <si>
    <t>Stein Ltd</t>
  </si>
  <si>
    <t>1996-04-05</t>
  </si>
  <si>
    <t>2022-05-11</t>
  </si>
  <si>
    <t>Marie Hamilton</t>
  </si>
  <si>
    <t>avilaeddie@olson-allen.com</t>
  </si>
  <si>
    <t>983-713-0578x5823</t>
  </si>
  <si>
    <t>91313 Gilmore Estate Suite 064, Andrewview, KS 29998</t>
  </si>
  <si>
    <t>Peterson Group</t>
  </si>
  <si>
    <t>1991-09-18</t>
  </si>
  <si>
    <t>Taylor Perez</t>
  </si>
  <si>
    <t>sarah79@gmail.com</t>
  </si>
  <si>
    <t>(597)210-2876</t>
  </si>
  <si>
    <t>8778 Michael Skyway, South Amytown, NM 28466</t>
  </si>
  <si>
    <t>Phillips, Blanchard and Murphy</t>
  </si>
  <si>
    <t>1978-11-21</t>
  </si>
  <si>
    <t>Lindsay Burke</t>
  </si>
  <si>
    <t>richardsonlindsay@garcia-wolf.com</t>
  </si>
  <si>
    <t>309-145-1926x866</t>
  </si>
  <si>
    <t>11496 Elizabeth Rapids Apt. 029, Johnsonberg, CA 76553</t>
  </si>
  <si>
    <t>Farley-Smith</t>
  </si>
  <si>
    <t>1979-02-27</t>
  </si>
  <si>
    <t>2024-09-16</t>
  </si>
  <si>
    <t>Charles Thompson</t>
  </si>
  <si>
    <t>moodymichelle@yahoo.com</t>
  </si>
  <si>
    <t>866.851.9593x17850</t>
  </si>
  <si>
    <t>358 Anderson Hills, Tashaville, NY 76020</t>
  </si>
  <si>
    <t>Saunders Inc</t>
  </si>
  <si>
    <t>1998-02-22</t>
  </si>
  <si>
    <t>2018-03-03</t>
  </si>
  <si>
    <t>Sheryl Olson</t>
  </si>
  <si>
    <t>harperchad@gmail.com</t>
  </si>
  <si>
    <t>775-643-2529x1099</t>
  </si>
  <si>
    <t>897 Cook Skyway Suite 260, Marilynshire, MA 94833</t>
  </si>
  <si>
    <t>Smith, Shaw and Pierce</t>
  </si>
  <si>
    <t>1987-04-21</t>
  </si>
  <si>
    <t>Sarah Harris</t>
  </si>
  <si>
    <t>lisabarrett@yahoo.com</t>
  </si>
  <si>
    <t>(708)600-8687</t>
  </si>
  <si>
    <t>PSC 0484, Box 0441, APO AE 65038</t>
  </si>
  <si>
    <t>Lambert, Wilson and Nelson</t>
  </si>
  <si>
    <t>1983-08-28</t>
  </si>
  <si>
    <t>George Holland</t>
  </si>
  <si>
    <t>peter27@yahoo.com</t>
  </si>
  <si>
    <t>761-044-5594</t>
  </si>
  <si>
    <t>350 Kimberly Views Suite 173, Yvetteland, NJ 87821</t>
  </si>
  <si>
    <t>Rodriguez-Tanner</t>
  </si>
  <si>
    <t>1981-08-14</t>
  </si>
  <si>
    <t>Allison Simmons</t>
  </si>
  <si>
    <t>mnorris@yahoo.com</t>
  </si>
  <si>
    <t>+1-012-576-6365x0581</t>
  </si>
  <si>
    <t>194 Porter Spring, South Ashley, OR 79451</t>
  </si>
  <si>
    <t>Gonzales-Mccarty</t>
  </si>
  <si>
    <t>1976-09-30</t>
  </si>
  <si>
    <t>2017-01-10</t>
  </si>
  <si>
    <t>Lance Freeman</t>
  </si>
  <si>
    <t>heather36@yahoo.com</t>
  </si>
  <si>
    <t>3750266614</t>
  </si>
  <si>
    <t>5393 Nathaniel Ways, Zacharymouth, AZ 26923</t>
  </si>
  <si>
    <t>Brown-Romero</t>
  </si>
  <si>
    <t>2004-03-17</t>
  </si>
  <si>
    <t>Gregory Hernandez</t>
  </si>
  <si>
    <t>richardsonanna@reynolds.info</t>
  </si>
  <si>
    <t>693.349.2555x57802</t>
  </si>
  <si>
    <t>PSC 3977, Box 1548, APO AA 96421</t>
  </si>
  <si>
    <t>Briggs, Wall and Johnson</t>
  </si>
  <si>
    <t>1994-12-22</t>
  </si>
  <si>
    <t>Alan Cook</t>
  </si>
  <si>
    <t>jonathan03@yahoo.com</t>
  </si>
  <si>
    <t>001-437-989-2650</t>
  </si>
  <si>
    <t>0497 Bell Turnpike, North Christopher, MT 05297</t>
  </si>
  <si>
    <t>Sanchez Ltd</t>
  </si>
  <si>
    <t>1987-09-22</t>
  </si>
  <si>
    <t>Heather Carter</t>
  </si>
  <si>
    <t>vkelly@fuentes-evans.com</t>
  </si>
  <si>
    <t>(466)953-7385x112</t>
  </si>
  <si>
    <t>1384 Gonzales Forks Suite 876, West Deniseberg, IN 16086</t>
  </si>
  <si>
    <t>Thompson, Coleman and Cooper</t>
  </si>
  <si>
    <t>1975-01-23</t>
  </si>
  <si>
    <t>2023-04-26</t>
  </si>
  <si>
    <t>William Morales Dvm</t>
  </si>
  <si>
    <t>megan94@jackson.com</t>
  </si>
  <si>
    <t>616.744.7404</t>
  </si>
  <si>
    <t>6341 Bailey Route Suite 274, Woodsmouth, MI 62108</t>
  </si>
  <si>
    <t>1967-02-28</t>
  </si>
  <si>
    <t>Sandra Colon</t>
  </si>
  <si>
    <t>sgraham@yahoo.com</t>
  </si>
  <si>
    <t>(907)011-1688</t>
  </si>
  <si>
    <t>USNS Chavez, FPO AP 08043</t>
  </si>
  <si>
    <t>Waters, Mason and Singh</t>
  </si>
  <si>
    <t>Breanna Pierce Dds</t>
  </si>
  <si>
    <t>caitlincraig@gmail.com</t>
  </si>
  <si>
    <t>001-623-640-0495x3060</t>
  </si>
  <si>
    <t>1158 Eric Field, Port Kyle, WA 88725</t>
  </si>
  <si>
    <t>Boyle, Carter and Sanchez</t>
  </si>
  <si>
    <t>2000-08-19</t>
  </si>
  <si>
    <t>2021-10-05</t>
  </si>
  <si>
    <t>Jackie Vasquez</t>
  </si>
  <si>
    <t>brandi58@hernandez.com</t>
  </si>
  <si>
    <t>2038813416</t>
  </si>
  <si>
    <t>2936 Williamson Plains Suite 526, Mayobury, WV 24285</t>
  </si>
  <si>
    <t>Gutierrez-Davis</t>
  </si>
  <si>
    <t>1977-10-21</t>
  </si>
  <si>
    <t>Mark Guzman</t>
  </si>
  <si>
    <t>crystalsanford@gmail.com</t>
  </si>
  <si>
    <t>2994924967</t>
  </si>
  <si>
    <t>76123 Brianna Points, East Andresburgh, TN 31824</t>
  </si>
  <si>
    <t>Ford, Simon and Christensen</t>
  </si>
  <si>
    <t>1963-10-17</t>
  </si>
  <si>
    <t>2020-10-21</t>
  </si>
  <si>
    <t>Timothy Kerr</t>
  </si>
  <si>
    <t>mariah84@hotmail.com</t>
  </si>
  <si>
    <t>131-059-8266x433</t>
  </si>
  <si>
    <t>263 Smith Summit, South Vanessafurt, WY 13920</t>
  </si>
  <si>
    <t>Orozco, Ramirez and Hamilton</t>
  </si>
  <si>
    <t>1998-01-15</t>
  </si>
  <si>
    <t>2021-09-28</t>
  </si>
  <si>
    <t>Kristen Andrews</t>
  </si>
  <si>
    <t>timothy17@hotmail.com</t>
  </si>
  <si>
    <t>+1-603-422-1800x0594</t>
  </si>
  <si>
    <t>6798 Harris Ville, Smithberg, IL 62223</t>
  </si>
  <si>
    <t>Gilmore-Le</t>
  </si>
  <si>
    <t>1999-06-12</t>
  </si>
  <si>
    <t>Jamie Oliver</t>
  </si>
  <si>
    <t>elizabeth90@hotmail.com</t>
  </si>
  <si>
    <t>723-678-6858x950</t>
  </si>
  <si>
    <t>7782 Jacqueline Freeway Suite 738, Leehaven, ND 72508</t>
  </si>
  <si>
    <t>Johnson-Gonzalez</t>
  </si>
  <si>
    <t>2004-10-28</t>
  </si>
  <si>
    <t>Timothy Perkins</t>
  </si>
  <si>
    <t>penny41@hotmail.com</t>
  </si>
  <si>
    <t>2316177084</t>
  </si>
  <si>
    <t>90748 Isaac Village, Jamesport, DE 54962</t>
  </si>
  <si>
    <t>Gillespie, Thompson and Lewis</t>
  </si>
  <si>
    <t>1995-04-12</t>
  </si>
  <si>
    <t>2022-02-21</t>
  </si>
  <si>
    <t>Matthew Hill Md</t>
  </si>
  <si>
    <t>johnfry@hotmail.com</t>
  </si>
  <si>
    <t>001-376-570-7610x678</t>
  </si>
  <si>
    <t>1313 Rogers Mount, Nataliechester, TX 65560</t>
  </si>
  <si>
    <t>Griffin PLC</t>
  </si>
  <si>
    <t>2003-05-06</t>
  </si>
  <si>
    <t>Joseph Pratt</t>
  </si>
  <si>
    <t>caitlinanderson@gmail.com</t>
  </si>
  <si>
    <t>(887)727-1363</t>
  </si>
  <si>
    <t>499 Andrew Harbor Apt. 804, East Steventown, MD 41765</t>
  </si>
  <si>
    <t>Smith, Johnson and Bauer</t>
  </si>
  <si>
    <t>1994-12-27</t>
  </si>
  <si>
    <t>Dennis Garcia</t>
  </si>
  <si>
    <t>angela93@conley-baker.com</t>
  </si>
  <si>
    <t>(307)430-4422x3342</t>
  </si>
  <si>
    <t>430 Brandy Mills Suite 510, Wellsborough, NV 63063</t>
  </si>
  <si>
    <t>Schroeder-Conner</t>
  </si>
  <si>
    <t>1979-09-24</t>
  </si>
  <si>
    <t>2017-02-05</t>
  </si>
  <si>
    <t>Tiffany Smith</t>
  </si>
  <si>
    <t>juliehammond@yahoo.com</t>
  </si>
  <si>
    <t>001-520-593-5122x802</t>
  </si>
  <si>
    <t>79718 Gonzalez Locks, North Stephanieberg, NC 15753</t>
  </si>
  <si>
    <t>2002-12-19</t>
  </si>
  <si>
    <t>2021-01-17</t>
  </si>
  <si>
    <t>Tanya Trevino</t>
  </si>
  <si>
    <t>vshaw@hotmail.com</t>
  </si>
  <si>
    <t>(050)568-9203x93382</t>
  </si>
  <si>
    <t>051 Smith Road, Rebeccabury, FL 01181</t>
  </si>
  <si>
    <t>Delgado-Berg</t>
  </si>
  <si>
    <t>1978-02-23</t>
  </si>
  <si>
    <t>Stephanie Murray</t>
  </si>
  <si>
    <t>caitlinwhite@hotmail.com</t>
  </si>
  <si>
    <t>001-508-611-6620x901</t>
  </si>
  <si>
    <t>47321 Richmond Mission, Marshallburgh, VT 33206</t>
  </si>
  <si>
    <t>Casey PLC</t>
  </si>
  <si>
    <t>1998-03-12</t>
  </si>
  <si>
    <t>Jonathan Smith</t>
  </si>
  <si>
    <t>umcguire@wilson.com</t>
  </si>
  <si>
    <t>+1-515-952-6658</t>
  </si>
  <si>
    <t>5053 Donna Camp Suite 599, Gillespiefort, MI 86683</t>
  </si>
  <si>
    <t>Cole, Chandler and Benson</t>
  </si>
  <si>
    <t>1971-12-02</t>
  </si>
  <si>
    <t>2019-09-02</t>
  </si>
  <si>
    <t>Sharon Garcia</t>
  </si>
  <si>
    <t>katherinegordon@yahoo.com</t>
  </si>
  <si>
    <t>884.442.8054x121</t>
  </si>
  <si>
    <t>7132 Marshall Track, Longfurt, IA 93223</t>
  </si>
  <si>
    <t>Ross, Taylor and Mcdowell</t>
  </si>
  <si>
    <t>1963-06-11</t>
  </si>
  <si>
    <t>Dr. Andrea Johnson Phd</t>
  </si>
  <si>
    <t>angelarubio@smith.com</t>
  </si>
  <si>
    <t>723-349-6745</t>
  </si>
  <si>
    <t>494 Matthew Common, West Stacey, KY 12529</t>
  </si>
  <si>
    <t>1968-12-11</t>
  </si>
  <si>
    <t>2023-04-30</t>
  </si>
  <si>
    <t>Julie Mckenzie</t>
  </si>
  <si>
    <t>jerry63@gmail.com</t>
  </si>
  <si>
    <t>474-841-9083x7062</t>
  </si>
  <si>
    <t>942 Drake Trace, Lake Christianmouth, VT 28375</t>
  </si>
  <si>
    <t>Horticulturist, amenity</t>
  </si>
  <si>
    <t>Williams, Andrade and Greene</t>
  </si>
  <si>
    <t>1976-08-05</t>
  </si>
  <si>
    <t>2016-02-12</t>
  </si>
  <si>
    <t>Tammy Harris</t>
  </si>
  <si>
    <t>megan59@hotmail.com</t>
  </si>
  <si>
    <t>(005)765-1101</t>
  </si>
  <si>
    <t>42558 Laurie Glens Apt. 649, West Robertofurt, CO 65695</t>
  </si>
  <si>
    <t>Rose Group</t>
  </si>
  <si>
    <t>1998-01-29</t>
  </si>
  <si>
    <t>2024-08-13</t>
  </si>
  <si>
    <t>Alexandra Mason</t>
  </si>
  <si>
    <t>bhall@yahoo.com</t>
  </si>
  <si>
    <t>(969)936-9898x80037</t>
  </si>
  <si>
    <t>10285 Park Ports Suite 669, Georgebury, NC 94340</t>
  </si>
  <si>
    <t>King-Guerra</t>
  </si>
  <si>
    <t>1969-05-07</t>
  </si>
  <si>
    <t>2016-12-06</t>
  </si>
  <si>
    <t>Madison Garcia</t>
  </si>
  <si>
    <t>amanda48@hotmail.com</t>
  </si>
  <si>
    <t>1209813810</t>
  </si>
  <si>
    <t>4034 Gina Track Suite 381, Traviston, WI 53225</t>
  </si>
  <si>
    <t>Henson PLC</t>
  </si>
  <si>
    <t>2019-03-17</t>
  </si>
  <si>
    <t>Tamara Rodgers</t>
  </si>
  <si>
    <t>james38@gmail.com</t>
  </si>
  <si>
    <t>3491943035</t>
  </si>
  <si>
    <t>2011 Petersen Crossroad, Danaview, OH 88160</t>
  </si>
  <si>
    <t>Trevino, Marsh and Bowen</t>
  </si>
  <si>
    <t>2005-11-11</t>
  </si>
  <si>
    <t>2017-05-02</t>
  </si>
  <si>
    <t>Jose Smith</t>
  </si>
  <si>
    <t>zfloyd@wagner.com</t>
  </si>
  <si>
    <t>001-053-883-0931</t>
  </si>
  <si>
    <t>61499 Marie Underpass Apt. 566, Port Anthony, IL 47976</t>
  </si>
  <si>
    <t>Garcia, Knight and Huynh</t>
  </si>
  <si>
    <t>1983-04-10</t>
  </si>
  <si>
    <t>Holly Chen</t>
  </si>
  <si>
    <t>martinezdaniel@jimenez-gonzalez.com</t>
  </si>
  <si>
    <t>(520)204-0750x67830</t>
  </si>
  <si>
    <t>68016 Randy Club, Ballstad, MN 48002</t>
  </si>
  <si>
    <t>Howard, Daniels and Owens</t>
  </si>
  <si>
    <t>2019-05-30</t>
  </si>
  <si>
    <t>Brian Kelly</t>
  </si>
  <si>
    <t>perezaaron@stewart.com</t>
  </si>
  <si>
    <t>001-021-347-0532x0762</t>
  </si>
  <si>
    <t>736 Diane Knoll, New Samantha, DC 61869</t>
  </si>
  <si>
    <t>Edwards Group</t>
  </si>
  <si>
    <t>1990-07-21</t>
  </si>
  <si>
    <t>Michael Murphy</t>
  </si>
  <si>
    <t>tylereaton@wright.net</t>
  </si>
  <si>
    <t>543.876.4968x66118</t>
  </si>
  <si>
    <t>986 Franklin Dam Apt. 477, Port Ryanborough, ID 54355</t>
  </si>
  <si>
    <t>Brady Inc</t>
  </si>
  <si>
    <t>1969-04-16</t>
  </si>
  <si>
    <t>2023-10-24</t>
  </si>
  <si>
    <t>William Sanford</t>
  </si>
  <si>
    <t>cervantesrobin@robinson.com</t>
  </si>
  <si>
    <t>001-947-768-8717x3479</t>
  </si>
  <si>
    <t>53660 Stacy Well Apt. 157, Teresamouth, HI 74502</t>
  </si>
  <si>
    <t>Castaneda-Knapp</t>
  </si>
  <si>
    <t>1982-07-12</t>
  </si>
  <si>
    <t>Martin Adams</t>
  </si>
  <si>
    <t>fblevins@yahoo.com</t>
  </si>
  <si>
    <t>033-357-3497x576</t>
  </si>
  <si>
    <t>4072 David Parks, North Kyle, MT 44566</t>
  </si>
  <si>
    <t>Miller-Miller</t>
  </si>
  <si>
    <t>1978-12-08</t>
  </si>
  <si>
    <t>2024-01-21</t>
  </si>
  <si>
    <t>Paige Henderson</t>
  </si>
  <si>
    <t>brianadams@long-smith.biz</t>
  </si>
  <si>
    <t>(838)285-7253</t>
  </si>
  <si>
    <t>3514 Tamara Green Apt. 828, Kevinberg, MS 99030</t>
  </si>
  <si>
    <t>Garza, Griffin and Martin</t>
  </si>
  <si>
    <t>Mrs. Jessica Wallace</t>
  </si>
  <si>
    <t>david10@price-dougherty.com</t>
  </si>
  <si>
    <t>850-905-8150x21338</t>
  </si>
  <si>
    <t>1433 Jon Ports Apt. 007, East Tiffany, MN 41717</t>
  </si>
  <si>
    <t>Li-Allen</t>
  </si>
  <si>
    <t>2003-04-22</t>
  </si>
  <si>
    <t>Emily Patterson</t>
  </si>
  <si>
    <t>evansadam@everett-mckinney.com</t>
  </si>
  <si>
    <t>+1-509-947-2721x94032</t>
  </si>
  <si>
    <t>USNS Griffin, FPO AP 67399</t>
  </si>
  <si>
    <t>Armstrong, Jones and Mitchell</t>
  </si>
  <si>
    <t>1981-05-18</t>
  </si>
  <si>
    <t>Shirley Henderson</t>
  </si>
  <si>
    <t>ewoods@gmail.com</t>
  </si>
  <si>
    <t>603.508.8167x21553</t>
  </si>
  <si>
    <t>099 Tucker Crossing Suite 319, South Pamela, VT 56345</t>
  </si>
  <si>
    <t>Larsen, Walker and Russell</t>
  </si>
  <si>
    <t>1997-04-29</t>
  </si>
  <si>
    <t>2015-12-13</t>
  </si>
  <si>
    <t>Michael Pope</t>
  </si>
  <si>
    <t>pagegloria@yahoo.com</t>
  </si>
  <si>
    <t>(000)374-0606x1596</t>
  </si>
  <si>
    <t>93274 Emily Shoal, North Tammyburgh, KS 06257</t>
  </si>
  <si>
    <t>Barton, Perkins and Pope</t>
  </si>
  <si>
    <t>2003-07-09</t>
  </si>
  <si>
    <t>Allison Stokes</t>
  </si>
  <si>
    <t>meverett@hotmail.com</t>
  </si>
  <si>
    <t>927.281.2170</t>
  </si>
  <si>
    <t>99845 Taylor Inlet, Ponceville, KS 39756</t>
  </si>
  <si>
    <t>Garner Group</t>
  </si>
  <si>
    <t>1978-06-25</t>
  </si>
  <si>
    <t>Jessica Benson</t>
  </si>
  <si>
    <t>jaime98@solis-mcgrath.com</t>
  </si>
  <si>
    <t>(260)774-4256</t>
  </si>
  <si>
    <t>4242 Williams Turnpike Suite 975, Lake Haroldview, CT 49247</t>
  </si>
  <si>
    <t>Zamora LLC</t>
  </si>
  <si>
    <t>1978-08-12</t>
  </si>
  <si>
    <t>Andrew Johns</t>
  </si>
  <si>
    <t>fbarron@reese.com</t>
  </si>
  <si>
    <t>(025)390-0955x4488</t>
  </si>
  <si>
    <t>12714 Robbins Shore, Port Nicolas, MI 85594</t>
  </si>
  <si>
    <t>Henderson, Lang and Schroeder</t>
  </si>
  <si>
    <t>1989-05-29</t>
  </si>
  <si>
    <t>2024-09-23</t>
  </si>
  <si>
    <t>Laura Crane</t>
  </si>
  <si>
    <t>alyssa64@spencer.com</t>
  </si>
  <si>
    <t>502-736-0960</t>
  </si>
  <si>
    <t>2995 Bonnie Key Suite 249, Williamsburgh, MS 64109</t>
  </si>
  <si>
    <t>Development worker, community</t>
  </si>
  <si>
    <t>David, Hernandez and Brown</t>
  </si>
  <si>
    <t>1988-09-01</t>
  </si>
  <si>
    <t>Olivia Clark</t>
  </si>
  <si>
    <t>qwheeler@warner-miller.com</t>
  </si>
  <si>
    <t>(005)312-0393x8098</t>
  </si>
  <si>
    <t>475 Christopher Junctions, South Jasonmouth, SD 36172</t>
  </si>
  <si>
    <t>Larson, Cruz and Flores</t>
  </si>
  <si>
    <t>1965-12-22</t>
  </si>
  <si>
    <t>Cody Hendricks</t>
  </si>
  <si>
    <t>weaverlauren@yahoo.com</t>
  </si>
  <si>
    <t>0278407864</t>
  </si>
  <si>
    <t>51910 Lam Flats Suite 396, Jeremyton, KY 55329</t>
  </si>
  <si>
    <t>Kelly, Nguyen and Fry</t>
  </si>
  <si>
    <t>1984-03-31</t>
  </si>
  <si>
    <t>Amy Briggs</t>
  </si>
  <si>
    <t>beckermark@gmail.com</t>
  </si>
  <si>
    <t>973.200.3737</t>
  </si>
  <si>
    <t>6601 West Curve Apt. 701, Christopherhaven, IA 07075</t>
  </si>
  <si>
    <t>Strong-Campbell</t>
  </si>
  <si>
    <t>1980-03-26</t>
  </si>
  <si>
    <t>Jason Munoz</t>
  </si>
  <si>
    <t>kimberlyboyle@gmail.com</t>
  </si>
  <si>
    <t>508.066.0873x26456</t>
  </si>
  <si>
    <t>0234 Knight Ford, Lake Scottmouth, NY 49013</t>
  </si>
  <si>
    <t>Cantrell Inc</t>
  </si>
  <si>
    <t>1971-11-13</t>
  </si>
  <si>
    <t>Kyle White</t>
  </si>
  <si>
    <t>travis18@herrera-brown.net</t>
  </si>
  <si>
    <t>001-588-442-1129</t>
  </si>
  <si>
    <t>000 Oliver Circle Suite 538, Michaelville, WA 74085</t>
  </si>
  <si>
    <t>Cross, Williams and Griffin</t>
  </si>
  <si>
    <t>2003-01-17</t>
  </si>
  <si>
    <t>2021-04-28</t>
  </si>
  <si>
    <t>Kristen Scott</t>
  </si>
  <si>
    <t>davidchaney@hotmail.com</t>
  </si>
  <si>
    <t>001-131-416-6242</t>
  </si>
  <si>
    <t>993 Ford Mountain Suite 627, Lake Meganview, IA 80371</t>
  </si>
  <si>
    <t>Hydrologist</t>
  </si>
  <si>
    <t>Weeks Group</t>
  </si>
  <si>
    <t>2024-06-12</t>
  </si>
  <si>
    <t>Randall Kramer</t>
  </si>
  <si>
    <t>grichards@roberts.org</t>
  </si>
  <si>
    <t>677.076.2176x559</t>
  </si>
  <si>
    <t>93477 Lewis Street, North Rebecca, ND 15577</t>
  </si>
  <si>
    <t>Diaz-Thompson</t>
  </si>
  <si>
    <t>1998-02-19</t>
  </si>
  <si>
    <t>Monica White</t>
  </si>
  <si>
    <t>richardjennings@hoffman-black.com</t>
  </si>
  <si>
    <t>(686)851-6797x70382</t>
  </si>
  <si>
    <t>0054 Livingston Burg, Milesshire, GA 49845</t>
  </si>
  <si>
    <t>Parker-Allen</t>
  </si>
  <si>
    <t>1969-06-04</t>
  </si>
  <si>
    <t>2023-06-09</t>
  </si>
  <si>
    <t>Jeffrey Vaughn</t>
  </si>
  <si>
    <t>michael61@martinez.com</t>
  </si>
  <si>
    <t>+1-439-448-4173x3106</t>
  </si>
  <si>
    <t>137 Angela Trafficway, North Bonniestad, KY 54439</t>
  </si>
  <si>
    <t>Martin, Barnes and Smith</t>
  </si>
  <si>
    <t>1976-01-15</t>
  </si>
  <si>
    <t>2022-01-02</t>
  </si>
  <si>
    <t>renee33@potter.com</t>
  </si>
  <si>
    <t>579-322-4760</t>
  </si>
  <si>
    <t>PSC 8300, Box 1597, APO AA 44635</t>
  </si>
  <si>
    <t>Brock, West and Torres</t>
  </si>
  <si>
    <t>2000-04-04</t>
  </si>
  <si>
    <t>Alan Reed</t>
  </si>
  <si>
    <t>brandi89@yahoo.com</t>
  </si>
  <si>
    <t>001-270-092-6684x3384</t>
  </si>
  <si>
    <t>650 Rodriguez Ranch, Jenkinschester, LA 78072</t>
  </si>
  <si>
    <t>Vaughn-Cox</t>
  </si>
  <si>
    <t>1999-02-04</t>
  </si>
  <si>
    <t>Joseph Mills</t>
  </si>
  <si>
    <t>denise52@garcia.com</t>
  </si>
  <si>
    <t>+1-428-873-5958</t>
  </si>
  <si>
    <t>665 Tim Meadow Suite 336, North Brad, NE 88090</t>
  </si>
  <si>
    <t>Pena PLC</t>
  </si>
  <si>
    <t>2004-02-03</t>
  </si>
  <si>
    <t>Shawn Elliott</t>
  </si>
  <si>
    <t>kevinsmith@yahoo.com</t>
  </si>
  <si>
    <t>(220)994-7601x573</t>
  </si>
  <si>
    <t>01756 Gary Fields, East Staceyview, WV 56869</t>
  </si>
  <si>
    <t>Mann, Peterson and Reynolds</t>
  </si>
  <si>
    <t>2004-06-16</t>
  </si>
  <si>
    <t>2023-03-22</t>
  </si>
  <si>
    <t>Jonathan Ponce</t>
  </si>
  <si>
    <t>hollowayevan@yahoo.com</t>
  </si>
  <si>
    <t>639-388-5016x80644</t>
  </si>
  <si>
    <t>96933 Pearson Path, Dudleyside, FL 02407</t>
  </si>
  <si>
    <t>Tate LLC</t>
  </si>
  <si>
    <t>1992-05-24</t>
  </si>
  <si>
    <t>2016-06-25</t>
  </si>
  <si>
    <t>Brent Doyle</t>
  </si>
  <si>
    <t>brandonpittman@mendoza.com</t>
  </si>
  <si>
    <t>(045)588-5305</t>
  </si>
  <si>
    <t>19373 Ali Square Apt. 935, Katiemouth, OK 16249</t>
  </si>
  <si>
    <t>Thornton LLC</t>
  </si>
  <si>
    <t>1996-04-06</t>
  </si>
  <si>
    <t>2015-10-15</t>
  </si>
  <si>
    <t>Victoria Nicholson</t>
  </si>
  <si>
    <t>sheltonterri@gmail.com</t>
  </si>
  <si>
    <t>001-151-672-5646</t>
  </si>
  <si>
    <t>772 Mathis Curve, North Christine, MA 47957</t>
  </si>
  <si>
    <t>Olson, Shelton and Vaughan</t>
  </si>
  <si>
    <t>1963-12-30</t>
  </si>
  <si>
    <t>Anthony Martin</t>
  </si>
  <si>
    <t>michaelbauer@yahoo.com</t>
  </si>
  <si>
    <t>2588514386</t>
  </si>
  <si>
    <t>USNV Vargas, FPO AE 92909</t>
  </si>
  <si>
    <t>Cruz, Brown and Shelton</t>
  </si>
  <si>
    <t>1967-08-09</t>
  </si>
  <si>
    <t>2022-07-07</t>
  </si>
  <si>
    <t>Gwendolyn Santos</t>
  </si>
  <si>
    <t>amandasilva@yahoo.com</t>
  </si>
  <si>
    <t>707.168.8659x87224</t>
  </si>
  <si>
    <t>104 Shields Ports Apt. 630, North Alicia, TN 40471</t>
  </si>
  <si>
    <t>Smith, Jones and Kelly</t>
  </si>
  <si>
    <t>2004-02-28</t>
  </si>
  <si>
    <t>2017-04-25</t>
  </si>
  <si>
    <t>Troy Russell</t>
  </si>
  <si>
    <t>deleonpatrick@brown-hobbs.org</t>
  </si>
  <si>
    <t>001-870-418-1353x8296</t>
  </si>
  <si>
    <t>769 Tony Track, East Karen, HI 83747</t>
  </si>
  <si>
    <t>Anderson-Hall</t>
  </si>
  <si>
    <t>1979-08-24</t>
  </si>
  <si>
    <t>Jennifer Lara</t>
  </si>
  <si>
    <t>sloankristopher@king-mullins.com</t>
  </si>
  <si>
    <t>001-440-993-4803</t>
  </si>
  <si>
    <t>49928 William Green Suite 948, Scottmouth, AL 43455</t>
  </si>
  <si>
    <t>Accountant, chartered</t>
  </si>
  <si>
    <t>King, Mills and Olson</t>
  </si>
  <si>
    <t>2005-04-14</t>
  </si>
  <si>
    <t>Peggy Drake</t>
  </si>
  <si>
    <t>johnsmith@boyle.info</t>
  </si>
  <si>
    <t>046-224-1169x5548</t>
  </si>
  <si>
    <t>97010 Robert Plains Apt. 080, West Jonathanstad, DC 96434</t>
  </si>
  <si>
    <t>Davis-Conway</t>
  </si>
  <si>
    <t>2002-01-12</t>
  </si>
  <si>
    <t>2021-02-01</t>
  </si>
  <si>
    <t>Rodney Cain</t>
  </si>
  <si>
    <t>munozjoseph@logan.com</t>
  </si>
  <si>
    <t>(830)647-0847</t>
  </si>
  <si>
    <t>4025 Callahan View, Hallview, ME 28513</t>
  </si>
  <si>
    <t>Hartman-Moreno</t>
  </si>
  <si>
    <t>1959-08-08</t>
  </si>
  <si>
    <t>2025-06-30</t>
  </si>
  <si>
    <t>Rachel Weaver</t>
  </si>
  <si>
    <t>stevensoto@hotmail.com</t>
  </si>
  <si>
    <t>001-367-632-0277</t>
  </si>
  <si>
    <t>PSC 3858, Box 4660, APO AE 88634</t>
  </si>
  <si>
    <t>Smith-Tran</t>
  </si>
  <si>
    <t>Tyler Roberts</t>
  </si>
  <si>
    <t>smiththomas@gmail.com</t>
  </si>
  <si>
    <t>001-645-583-8872x53884</t>
  </si>
  <si>
    <t>7098 Steven Walks Suite 873, West Vanessashire, ND 96603</t>
  </si>
  <si>
    <t>Spencer-Smith</t>
  </si>
  <si>
    <t>1995-09-15</t>
  </si>
  <si>
    <t>Michael Noble</t>
  </si>
  <si>
    <t>frenchvictoria@hotmail.com</t>
  </si>
  <si>
    <t>2937313667</t>
  </si>
  <si>
    <t>58891 Hailey Prairie Suite 284, Ellisonberg, AZ 62423</t>
  </si>
  <si>
    <t>Short, Clark and Porter</t>
  </si>
  <si>
    <t>1974-08-24</t>
  </si>
  <si>
    <t>2022-12-24</t>
  </si>
  <si>
    <t>Paul Rodriguez</t>
  </si>
  <si>
    <t>riverajacob@yahoo.com</t>
  </si>
  <si>
    <t>389-543-7062x366</t>
  </si>
  <si>
    <t>52308 Timothy Valley Suite 331, Andreaborough, WV 80375</t>
  </si>
  <si>
    <t>Palmer Ltd</t>
  </si>
  <si>
    <t>1962-06-29</t>
  </si>
  <si>
    <t>Tony Lee Jr.</t>
  </si>
  <si>
    <t>hartmanlisa@mcdonald-garcia.org</t>
  </si>
  <si>
    <t>(957)047-3044</t>
  </si>
  <si>
    <t>7226 Chang Point Suite 190, Matthewfort, CA 01527</t>
  </si>
  <si>
    <t>Fritz, Woods and Hodge</t>
  </si>
  <si>
    <t>2018-12-27</t>
  </si>
  <si>
    <t>Kevin Black</t>
  </si>
  <si>
    <t>amberbest@flores.com</t>
  </si>
  <si>
    <t>904.867.6140x45636</t>
  </si>
  <si>
    <t>PSC 8030, Box 9082, APO AP 25198</t>
  </si>
  <si>
    <t>Medical technical officer</t>
  </si>
  <si>
    <t>Mccoy-Serrano</t>
  </si>
  <si>
    <t>1985-10-10</t>
  </si>
  <si>
    <t>2016-01-04</t>
  </si>
  <si>
    <t>Vanessa Perry</t>
  </si>
  <si>
    <t>mendozakyle@turner-maynard.net</t>
  </si>
  <si>
    <t>001-950-234-1166x1453</t>
  </si>
  <si>
    <t>14384 Victoria Mountain, Heathertown, SD 31440</t>
  </si>
  <si>
    <t>Williams, Davis and Ward</t>
  </si>
  <si>
    <t>1979-11-15</t>
  </si>
  <si>
    <t>2019-04-04</t>
  </si>
  <si>
    <t>Manuel Combs</t>
  </si>
  <si>
    <t>glam@guzman.com</t>
  </si>
  <si>
    <t>(659)011-6463x46226</t>
  </si>
  <si>
    <t>1510 Bowers Parkways, New Debra, MO 66104</t>
  </si>
  <si>
    <t>Bridges Group</t>
  </si>
  <si>
    <t>1991-01-28</t>
  </si>
  <si>
    <t>2017-12-15</t>
  </si>
  <si>
    <t>Eileen Robinson</t>
  </si>
  <si>
    <t>hgarcia@morris-davis.com</t>
  </si>
  <si>
    <t>733.209.0866x031</t>
  </si>
  <si>
    <t>8255 Jones Burgs Apt. 079, Maryburgh, TN 41590</t>
  </si>
  <si>
    <t>Lambert, Watts and Sharp</t>
  </si>
  <si>
    <t>1977-12-19</t>
  </si>
  <si>
    <t>2019-05-22</t>
  </si>
  <si>
    <t>Christopher Mullins</t>
  </si>
  <si>
    <t>rhoward@elliott.org</t>
  </si>
  <si>
    <t>(534)188-5241x83499</t>
  </si>
  <si>
    <t>74490 Kristen Walk Apt. 429, Beckberg, AZ 86819</t>
  </si>
  <si>
    <t>Petty-Smith</t>
  </si>
  <si>
    <t>2025-01-07</t>
  </si>
  <si>
    <t>Amy Moran</t>
  </si>
  <si>
    <t>jeffreyboyd@yahoo.com</t>
  </si>
  <si>
    <t>+1-712-074-6342x55084</t>
  </si>
  <si>
    <t>1856 Terry Neck Apt. 753, New Ronaldton, IL 58176</t>
  </si>
  <si>
    <t>Wilson, Joseph and Sharp</t>
  </si>
  <si>
    <t>1987-10-22</t>
  </si>
  <si>
    <t>2015-12-10</t>
  </si>
  <si>
    <t>Lindsay Edwards</t>
  </si>
  <si>
    <t>diana21@gmail.com</t>
  </si>
  <si>
    <t>712-307-5855x603</t>
  </si>
  <si>
    <t>Unit 3681 Box 7954, DPO AA 33943</t>
  </si>
  <si>
    <t>Sweeney LLC</t>
  </si>
  <si>
    <t>2006-12-27</t>
  </si>
  <si>
    <t>Mark Lawrence</t>
  </si>
  <si>
    <t>shannon82@yahoo.com</t>
  </si>
  <si>
    <t>879.666.3059x7361</t>
  </si>
  <si>
    <t>700 Potter Street Suite 038, New Kaylee, MS 47068</t>
  </si>
  <si>
    <t>Cox PLC</t>
  </si>
  <si>
    <t>1969-11-17</t>
  </si>
  <si>
    <t>2023-08-13</t>
  </si>
  <si>
    <t>Antonio Fisher</t>
  </si>
  <si>
    <t>ellen02@gmail.com</t>
  </si>
  <si>
    <t>6533227249</t>
  </si>
  <si>
    <t>306 Brittany Course Suite 160, East Christy, LA 63097</t>
  </si>
  <si>
    <t>Liu, Dominguez and Cox</t>
  </si>
  <si>
    <t>1984-01-15</t>
  </si>
  <si>
    <t>2022-05-31</t>
  </si>
  <si>
    <t>Kenneth Ramsey</t>
  </si>
  <si>
    <t>chamberskathryn@hall.org</t>
  </si>
  <si>
    <t>(396)915-4966x4221</t>
  </si>
  <si>
    <t>43002 Hoffman Harbors Apt. 630, Port Jennifer, RI 39266</t>
  </si>
  <si>
    <t>2022-08-06</t>
  </si>
  <si>
    <t>Jacob Holland</t>
  </si>
  <si>
    <t>qhooper@yahoo.com</t>
  </si>
  <si>
    <t>643-937-1500x798</t>
  </si>
  <si>
    <t>02538 Brittany Cove, South Davidmouth, MI 86929</t>
  </si>
  <si>
    <t>Esparza, Armstrong and Carroll</t>
  </si>
  <si>
    <t>2004-11-11</t>
  </si>
  <si>
    <t>2025-01-31</t>
  </si>
  <si>
    <t>Selena Smith</t>
  </si>
  <si>
    <t>brian90@gmail.com</t>
  </si>
  <si>
    <t>889-528-3337</t>
  </si>
  <si>
    <t>25068 Weeks Station Suite 153, Melissaview, WV 77630</t>
  </si>
  <si>
    <t>Mahoney, Lewis and Baird</t>
  </si>
  <si>
    <t>1973-06-29</t>
  </si>
  <si>
    <t>2020-09-09</t>
  </si>
  <si>
    <t>John Jensen</t>
  </si>
  <si>
    <t>amycarter@hotmail.com</t>
  </si>
  <si>
    <t>+1-161-610-4565x483</t>
  </si>
  <si>
    <t>9496 Obrien Turnpike Suite 341, Port Kimberlyborough, MO 13605</t>
  </si>
  <si>
    <t>Parker-Moran</t>
  </si>
  <si>
    <t>1992-02-07</t>
  </si>
  <si>
    <t>2024-10-06</t>
  </si>
  <si>
    <t>Kristina Contreras</t>
  </si>
  <si>
    <t>braygregory@andrews.com</t>
  </si>
  <si>
    <t>906-384-1010x28715</t>
  </si>
  <si>
    <t>3102 Gonzalez Glen Suite 714, Dawnbury, UT 86641</t>
  </si>
  <si>
    <t>Leblanc and Sons</t>
  </si>
  <si>
    <t>1970-07-27</t>
  </si>
  <si>
    <t>2023-09-22</t>
  </si>
  <si>
    <t>Margaret Davis</t>
  </si>
  <si>
    <t>kayla68@yahoo.com</t>
  </si>
  <si>
    <t>(940)445-9845x48363</t>
  </si>
  <si>
    <t>178 Sandra Mission, West Roseport, RI 00731</t>
  </si>
  <si>
    <t>Mckinney, Goodwin and Taylor</t>
  </si>
  <si>
    <t>1988-12-04</t>
  </si>
  <si>
    <t>2020-02-13</t>
  </si>
  <si>
    <t>Thomas Craig</t>
  </si>
  <si>
    <t>christine71@gmail.com</t>
  </si>
  <si>
    <t>(586)743-8858x65487</t>
  </si>
  <si>
    <t>421 Peterson Views Apt. 972, Olsonfort, WI 92144</t>
  </si>
  <si>
    <t>Simmons, Moore and Edwards</t>
  </si>
  <si>
    <t>2007-06-04</t>
  </si>
  <si>
    <t>Amy Martinez</t>
  </si>
  <si>
    <t>ellisonebony@yahoo.com</t>
  </si>
  <si>
    <t>288-382-6683</t>
  </si>
  <si>
    <t>74589 Brenda Neck, Brownhaven, KS 01925</t>
  </si>
  <si>
    <t>Arroyo, Warren and Woodward</t>
  </si>
  <si>
    <t>1967-07-01</t>
  </si>
  <si>
    <t>Stephen Hansen</t>
  </si>
  <si>
    <t>michaelhicks@yahoo.com</t>
  </si>
  <si>
    <t>001-424-131-8951x0297</t>
  </si>
  <si>
    <t>68497 Kelsey Well, Greenchester, AK 85041</t>
  </si>
  <si>
    <t>Rogers, Krueger and Shields</t>
  </si>
  <si>
    <t>1983-08-12</t>
  </si>
  <si>
    <t>2021-06-24</t>
  </si>
  <si>
    <t>Jeffrey Velasquez</t>
  </si>
  <si>
    <t>kimberly62@hotmail.com</t>
  </si>
  <si>
    <t>001-562-001-8006</t>
  </si>
  <si>
    <t>407 Raymond Ville, Valdezborough, HI 14779</t>
  </si>
  <si>
    <t>Nichols PLC</t>
  </si>
  <si>
    <t>2022-03-10</t>
  </si>
  <si>
    <t>Julie Wagner</t>
  </si>
  <si>
    <t>carlthomas@hotmail.com</t>
  </si>
  <si>
    <t>170-400-1412</t>
  </si>
  <si>
    <t>Unit 8617 Box 8528, DPO AA 24893</t>
  </si>
  <si>
    <t>Vaughan Ltd</t>
  </si>
  <si>
    <t>2000-02-20</t>
  </si>
  <si>
    <t>2018-12-21</t>
  </si>
  <si>
    <t>Sarah Elliott</t>
  </si>
  <si>
    <t>jeffreybullock@hernandez.com</t>
  </si>
  <si>
    <t>190-552-8110</t>
  </si>
  <si>
    <t>7049 Waller Viaduct Apt. 020, New Kathryn, MS 07992</t>
  </si>
  <si>
    <t>Television/film/video producer</t>
  </si>
  <si>
    <t>Garcia-Murphy</t>
  </si>
  <si>
    <t>1975-03-17</t>
  </si>
  <si>
    <t>2018-12-31</t>
  </si>
  <si>
    <t>Clinton Baxter</t>
  </si>
  <si>
    <t>qpeterson@aguilar.com</t>
  </si>
  <si>
    <t>480.965.9716x87271</t>
  </si>
  <si>
    <t>75281 Nelson Mews, South Chelseaville, MS 57855</t>
  </si>
  <si>
    <t>Armed forces technical officer</t>
  </si>
  <si>
    <t>Haney-Nguyen</t>
  </si>
  <si>
    <t>1961-01-05</t>
  </si>
  <si>
    <t>2024-06-26</t>
  </si>
  <si>
    <t>Michelle Johnson</t>
  </si>
  <si>
    <t>noblestephanie@yahoo.com</t>
  </si>
  <si>
    <t>669-713-4201</t>
  </si>
  <si>
    <t>74030 Johnson Fort, West Jamesport, OK 72727</t>
  </si>
  <si>
    <t>Liu PLC</t>
  </si>
  <si>
    <t>1975-08-16</t>
  </si>
  <si>
    <t>Andrew Nguyen</t>
  </si>
  <si>
    <t>shelly37@gmail.com</t>
  </si>
  <si>
    <t>+1-807-013-8220</t>
  </si>
  <si>
    <t>7811 Mary Drive Suite 081, Port Staceyport, NC 74648</t>
  </si>
  <si>
    <t>Watson-Koch</t>
  </si>
  <si>
    <t>Kim Wagner</t>
  </si>
  <si>
    <t>smithnorma@yahoo.com</t>
  </si>
  <si>
    <t>(206)017-8773x469</t>
  </si>
  <si>
    <t>0299 Emily Parkway, South Brandonberg, LA 68513</t>
  </si>
  <si>
    <t>Thomas-Miller</t>
  </si>
  <si>
    <t>1999-11-03</t>
  </si>
  <si>
    <t>2019-10-12</t>
  </si>
  <si>
    <t>Beth Brown</t>
  </si>
  <si>
    <t>scox@hotmail.com</t>
  </si>
  <si>
    <t>(106)129-6180</t>
  </si>
  <si>
    <t>50119 Jonathan Crossroad, Carpentermouth, CO 75450</t>
  </si>
  <si>
    <t>Young LLC</t>
  </si>
  <si>
    <t>2005-10-19</t>
  </si>
  <si>
    <t>2024-10-11</t>
  </si>
  <si>
    <t>Jennifer Mitchell</t>
  </si>
  <si>
    <t>bradleygraham@yahoo.com</t>
  </si>
  <si>
    <t>907-370-1909x9560</t>
  </si>
  <si>
    <t>143 Aguilar Motorway Suite 604, Michaelafurt, CT 36297</t>
  </si>
  <si>
    <t>Hawkins Ltd</t>
  </si>
  <si>
    <t>1965-05-04</t>
  </si>
  <si>
    <t>2019-09-22</t>
  </si>
  <si>
    <t>Mark Carpenter</t>
  </si>
  <si>
    <t>josephwilson@graham.biz</t>
  </si>
  <si>
    <t>(483)686-5457</t>
  </si>
  <si>
    <t>9689 Jessica Field, West Donna, MD 47432</t>
  </si>
  <si>
    <t>Compton, Williams and Hoffman</t>
  </si>
  <si>
    <t>1974-01-28</t>
  </si>
  <si>
    <t>Jamie Mitchell</t>
  </si>
  <si>
    <t>logandickerson@butler-ball.biz</t>
  </si>
  <si>
    <t>139-201-2319x318</t>
  </si>
  <si>
    <t>49381 Kimberly Mountains Suite 055, North Jeremy, WA 11716</t>
  </si>
  <si>
    <t>Davis-Vaughn</t>
  </si>
  <si>
    <t>2007-02-06</t>
  </si>
  <si>
    <t>2018-04-06</t>
  </si>
  <si>
    <t>Joel Harris</t>
  </si>
  <si>
    <t>dcameron@cortez.com</t>
  </si>
  <si>
    <t>(747)834-3177x0650</t>
  </si>
  <si>
    <t>671 Lopez Drive, New Teresa, DC 17655</t>
  </si>
  <si>
    <t>Gray-Moore</t>
  </si>
  <si>
    <t>1968-02-17</t>
  </si>
  <si>
    <t>2021-07-24</t>
  </si>
  <si>
    <t>ynelson@yahoo.com</t>
  </si>
  <si>
    <t>6732887521</t>
  </si>
  <si>
    <t>67871 Smith Squares Apt. 658, Marshallbury, AL 92143</t>
  </si>
  <si>
    <t>Hughes-Johnson</t>
  </si>
  <si>
    <t>1999-01-29</t>
  </si>
  <si>
    <t>2022-11-19</t>
  </si>
  <si>
    <t>Aaron Davenport</t>
  </si>
  <si>
    <t>qwarren@arnold-barton.com</t>
  </si>
  <si>
    <t>001-814-000-1978x6751</t>
  </si>
  <si>
    <t>87321 Stephanie Ramp, Yolandastad, IA 50923</t>
  </si>
  <si>
    <t>Lamb, Bowen and Freeman</t>
  </si>
  <si>
    <t>1984-11-20</t>
  </si>
  <si>
    <t>2016-04-02</t>
  </si>
  <si>
    <t>Suzanne Mills</t>
  </si>
  <si>
    <t>nwalton@gmail.com</t>
  </si>
  <si>
    <t>447-060-9769</t>
  </si>
  <si>
    <t>USNS Spencer, FPO AA 69967</t>
  </si>
  <si>
    <t>2022-07-16</t>
  </si>
  <si>
    <t>greenadriana@gmail.com</t>
  </si>
  <si>
    <t>5227159019</t>
  </si>
  <si>
    <t>USCGC Silva, FPO AP 58496</t>
  </si>
  <si>
    <t>Cross-English</t>
  </si>
  <si>
    <t>Derek Brown</t>
  </si>
  <si>
    <t>denisereyes@hotmail.com</t>
  </si>
  <si>
    <t>001-524-961-3912x9716</t>
  </si>
  <si>
    <t>PSC 8742, Box 1572, APO AA 80401</t>
  </si>
  <si>
    <t>2002-08-13</t>
  </si>
  <si>
    <t>2019-06-27</t>
  </si>
  <si>
    <t>Christina Mays Md</t>
  </si>
  <si>
    <t>ronaldtaylor@hotmail.com</t>
  </si>
  <si>
    <t>001-756-806-8986x352</t>
  </si>
  <si>
    <t>37141 Robert Cape Suite 411, Taylortown, NY 59239</t>
  </si>
  <si>
    <t>Patterson-Walter</t>
  </si>
  <si>
    <t>Samuel Ward</t>
  </si>
  <si>
    <t>carriewallace@patton-zuniga.biz</t>
  </si>
  <si>
    <t>001-963-885-9032x8109</t>
  </si>
  <si>
    <t>707 Michael Green, Boydport, WV 20571</t>
  </si>
  <si>
    <t>Hooper, Li and Hicks</t>
  </si>
  <si>
    <t>2020-04-09</t>
  </si>
  <si>
    <t>Jessica Lee</t>
  </si>
  <si>
    <t>daniel66@moore-gill.com</t>
  </si>
  <si>
    <t>+1-195-675-4496x8061</t>
  </si>
  <si>
    <t>257 James Crest Apt. 039, West James, NE 26368</t>
  </si>
  <si>
    <t>Mclean, Mcdaniel and Cline</t>
  </si>
  <si>
    <t>1984-09-04</t>
  </si>
  <si>
    <t>Mario Rivera</t>
  </si>
  <si>
    <t>jesusrusso@hunter.com</t>
  </si>
  <si>
    <t>+1-841-897-7565x0876</t>
  </si>
  <si>
    <t>19322 Mccarthy Extension, Michellebury, WI 43304</t>
  </si>
  <si>
    <t>1976-09-17</t>
  </si>
  <si>
    <t>2020-04-15</t>
  </si>
  <si>
    <t>Alexander Acevedo</t>
  </si>
  <si>
    <t>steven98@brooks.com</t>
  </si>
  <si>
    <t>973-276-2062x20597</t>
  </si>
  <si>
    <t>0332 Jonathan Unions Suite 127, Emilyport, ID 16801</t>
  </si>
  <si>
    <t>Stevenson, Smith and Manning</t>
  </si>
  <si>
    <t>2004-09-15</t>
  </si>
  <si>
    <t>2022-06-12</t>
  </si>
  <si>
    <t>Barbara Clark</t>
  </si>
  <si>
    <t>christinejensen@rosario.com</t>
  </si>
  <si>
    <t>809-292-6007x12565</t>
  </si>
  <si>
    <t>8497 Cory Valley Apt. 365, South Williammouth, KY 14716</t>
  </si>
  <si>
    <t>Bullock, Ramirez and Lyons</t>
  </si>
  <si>
    <t>1960-07-15</t>
  </si>
  <si>
    <t>2021-12-10</t>
  </si>
  <si>
    <t>Jon Cole</t>
  </si>
  <si>
    <t>barnesmegan@yahoo.com</t>
  </si>
  <si>
    <t>001-789-699-5376</t>
  </si>
  <si>
    <t>3084 Travis Green Apt. 728, Port Lisaside, CA 89081</t>
  </si>
  <si>
    <t>Gordon PLC</t>
  </si>
  <si>
    <t>1988-06-02</t>
  </si>
  <si>
    <t>Devin Knight</t>
  </si>
  <si>
    <t>marklong@hotmail.com</t>
  </si>
  <si>
    <t>036.526.9943</t>
  </si>
  <si>
    <t>9218 Pruitt Wall Apt. 628, Meyerland, OK 00854</t>
  </si>
  <si>
    <t>Robinson, Johnson and Garcia</t>
  </si>
  <si>
    <t>2007-05-29</t>
  </si>
  <si>
    <t>Robert Brooks</t>
  </si>
  <si>
    <t>whitemichael@hotmail.com</t>
  </si>
  <si>
    <t>587.997.3657</t>
  </si>
  <si>
    <t>6715 Perry Tunnel Apt. 508, North Martinshire, ID 58659</t>
  </si>
  <si>
    <t>Kemp, Rasmussen and Adkins</t>
  </si>
  <si>
    <t>1960-11-26</t>
  </si>
  <si>
    <t>2024-04-17</t>
  </si>
  <si>
    <t>Tiffany Briggs</t>
  </si>
  <si>
    <t>stephaniemendoza@graves.org</t>
  </si>
  <si>
    <t>756.087.8286x1613</t>
  </si>
  <si>
    <t>84682 Summers Key, Cohenborough, CO 56607</t>
  </si>
  <si>
    <t>Murray PLC</t>
  </si>
  <si>
    <t>2019-12-16</t>
  </si>
  <si>
    <t>Daniel Melendez</t>
  </si>
  <si>
    <t>bonnieaustin@yahoo.com</t>
  </si>
  <si>
    <t>001-572-601-5540x391</t>
  </si>
  <si>
    <t>582 Middleton Row Apt. 452, Port Jill, OH 79921</t>
  </si>
  <si>
    <t>1997-05-31</t>
  </si>
  <si>
    <t>2025-05-15</t>
  </si>
  <si>
    <t>Andrea Fuller</t>
  </si>
  <si>
    <t>laurenjackson@miller-jefferson.com</t>
  </si>
  <si>
    <t>678-586-6080x719</t>
  </si>
  <si>
    <t>PSC 2976, Box 3567, APO AP 59961</t>
  </si>
  <si>
    <t>Patrick Inc</t>
  </si>
  <si>
    <t>1964-12-05</t>
  </si>
  <si>
    <t>Sara Bell</t>
  </si>
  <si>
    <t>morrisdana@lawrence.com</t>
  </si>
  <si>
    <t>9064198198</t>
  </si>
  <si>
    <t>625 Buck Hollow, Collinshaven, NC 33799</t>
  </si>
  <si>
    <t>Beck-Powell</t>
  </si>
  <si>
    <t>1988-05-02</t>
  </si>
  <si>
    <t>Martin Booth</t>
  </si>
  <si>
    <t>patricia52@gmail.com</t>
  </si>
  <si>
    <t>001-128-417-4919</t>
  </si>
  <si>
    <t>4494 Timothy Inlet Apt. 252, Port Jason, MO 55631</t>
  </si>
  <si>
    <t>Smith-Rodriguez</t>
  </si>
  <si>
    <t>2016-10-22</t>
  </si>
  <si>
    <t>Patricia Sellers</t>
  </si>
  <si>
    <t>angela11@mccullough.biz</t>
  </si>
  <si>
    <t>+1-798-976-9184x0894</t>
  </si>
  <si>
    <t>40141 Villarreal Glens Suite 831, Parkerbury, OK 88500</t>
  </si>
  <si>
    <t>Harding Group</t>
  </si>
  <si>
    <t>1985-05-16</t>
  </si>
  <si>
    <t>Maria Stewart</t>
  </si>
  <si>
    <t>smithkevin@hensley.com</t>
  </si>
  <si>
    <t>028.518.4284x939</t>
  </si>
  <si>
    <t>9057 Thompson Throughway Apt. 407, Port Williamberg, NM 53934</t>
  </si>
  <si>
    <t>Peters-Pruitt</t>
  </si>
  <si>
    <t>1993-10-03</t>
  </si>
  <si>
    <t>wendy33@ballard.com</t>
  </si>
  <si>
    <t>+1-312-786-7760x642</t>
  </si>
  <si>
    <t>USCGC Davis, FPO AE 76083</t>
  </si>
  <si>
    <t>Ecologist</t>
  </si>
  <si>
    <t>1999-11-25</t>
  </si>
  <si>
    <t>Danny Jimenez</t>
  </si>
  <si>
    <t>dnolan@harvey-smith.net</t>
  </si>
  <si>
    <t>902-398-3237</t>
  </si>
  <si>
    <t>5504 Dylan Rapid, Richardchester, OR 68764</t>
  </si>
  <si>
    <t>Delgado, Wilson and Ryan</t>
  </si>
  <si>
    <t>1981-08-13</t>
  </si>
  <si>
    <t>Tiffany Morgan</t>
  </si>
  <si>
    <t>tyler10@mejia.com</t>
  </si>
  <si>
    <t>(416)802-0048</t>
  </si>
  <si>
    <t>152 Sarah Inlet, North Glennport, ND 44980</t>
  </si>
  <si>
    <t>Smith, Collins and Robinson</t>
  </si>
  <si>
    <t>1968-12-02</t>
  </si>
  <si>
    <t>2015-08-23</t>
  </si>
  <si>
    <t>Steven Sweeney</t>
  </si>
  <si>
    <t>elarsen@kim-ross.net</t>
  </si>
  <si>
    <t>001-943-939-2010x5922</t>
  </si>
  <si>
    <t>71299 Foster Mountains Suite 744, Williamfort, VA 86024</t>
  </si>
  <si>
    <t>Dixon PLC</t>
  </si>
  <si>
    <t>1959-10-27</t>
  </si>
  <si>
    <t>Eric Mack</t>
  </si>
  <si>
    <t>carrollchristy@hotmail.com</t>
  </si>
  <si>
    <t>294.996.4786</t>
  </si>
  <si>
    <t>106 Herrera Common, Donnashire, SD 56280</t>
  </si>
  <si>
    <t>Castro-Hernandez</t>
  </si>
  <si>
    <t>2021-05-22</t>
  </si>
  <si>
    <t>Hannah Garner</t>
  </si>
  <si>
    <t>alexander43@kelley-salas.net</t>
  </si>
  <si>
    <t>896.269.7035x68982</t>
  </si>
  <si>
    <t>164 Wu Knolls, Lake Margaretside, OR 08134</t>
  </si>
  <si>
    <t>Newman-Lee</t>
  </si>
  <si>
    <t>1981-10-27</t>
  </si>
  <si>
    <t>Tony Garcia</t>
  </si>
  <si>
    <t>achung@freeman.com</t>
  </si>
  <si>
    <t>+1-977-200-3298x2097</t>
  </si>
  <si>
    <t>3883 Conrad Summit, Rodriguezbury, MN 84749</t>
  </si>
  <si>
    <t>Donaldson, Wilson and Duke</t>
  </si>
  <si>
    <t>1972-03-22</t>
  </si>
  <si>
    <t>Christopher Davila</t>
  </si>
  <si>
    <t>hoodkendra@hotmail.com</t>
  </si>
  <si>
    <t>+1-066-510-4887</t>
  </si>
  <si>
    <t>24796 Lopez Ramp Suite 651, Angelatown, LA 96518</t>
  </si>
  <si>
    <t>Editorial assistant</t>
  </si>
  <si>
    <t>Randolph, Williams and Faulkner</t>
  </si>
  <si>
    <t>Charles Campbell</t>
  </si>
  <si>
    <t>brianhenry@hotmail.com</t>
  </si>
  <si>
    <t>030-113-9126x952</t>
  </si>
  <si>
    <t>0022 Jessica Highway Suite 071, Derekberg, MI 92262</t>
  </si>
  <si>
    <t>Garcia LLC</t>
  </si>
  <si>
    <t>1980-09-25</t>
  </si>
  <si>
    <t>Brian May</t>
  </si>
  <si>
    <t>leah62@yahoo.com</t>
  </si>
  <si>
    <t>389-195-8382</t>
  </si>
  <si>
    <t>USNV Cannon, FPO AE 23825</t>
  </si>
  <si>
    <t>Nichols, Alvarez and Phillips</t>
  </si>
  <si>
    <t>1997-04-27</t>
  </si>
  <si>
    <t>2024-05-19</t>
  </si>
  <si>
    <t>George Crawford</t>
  </si>
  <si>
    <t>wagnervictoria@fisher-medina.info</t>
  </si>
  <si>
    <t>970-782-1544</t>
  </si>
  <si>
    <t>380 Holder Skyway, Shawmouth, OK 16637</t>
  </si>
  <si>
    <t>Hahn-Turner</t>
  </si>
  <si>
    <t>1960-04-26</t>
  </si>
  <si>
    <t>2018-01-13</t>
  </si>
  <si>
    <t>Derrick Bennett</t>
  </si>
  <si>
    <t>qvalentine@yahoo.com</t>
  </si>
  <si>
    <t>001-800-632-2584x4128</t>
  </si>
  <si>
    <t>6350 Lee Mountain Apt. 017, Lake Katherineberg, OK 94910</t>
  </si>
  <si>
    <t>Parsons, Stevens and Phillips</t>
  </si>
  <si>
    <t>1977-03-11</t>
  </si>
  <si>
    <t>Elizabeth Benjamin</t>
  </si>
  <si>
    <t>joseph54@brown-russell.biz</t>
  </si>
  <si>
    <t>(436)593-3184x64108</t>
  </si>
  <si>
    <t>992 Erica Place Suite 408, Derekchester, MS 99061</t>
  </si>
  <si>
    <t>Barnes, Henderson and Miller</t>
  </si>
  <si>
    <t>1989-01-11</t>
  </si>
  <si>
    <t>2024-12-09</t>
  </si>
  <si>
    <t>Elizabeth West</t>
  </si>
  <si>
    <t>justinpatterson@banks.biz</t>
  </si>
  <si>
    <t>(512)941-7355x984</t>
  </si>
  <si>
    <t>0635 Ward Coves Apt. 421, Ramirezfort, MS 54387</t>
  </si>
  <si>
    <t>Aguilar Ltd</t>
  </si>
  <si>
    <t>1965-11-13</t>
  </si>
  <si>
    <t>2024-02-28</t>
  </si>
  <si>
    <t>Kimberly Walton</t>
  </si>
  <si>
    <t>farmerjohn@gmail.com</t>
  </si>
  <si>
    <t>+1-239-112-6196</t>
  </si>
  <si>
    <t>714 White Canyon Suite 139, West Ericton, MT 27313</t>
  </si>
  <si>
    <t>1988-01-11</t>
  </si>
  <si>
    <t>2018-06-17</t>
  </si>
  <si>
    <t>Richard Cox</t>
  </si>
  <si>
    <t>castrodaniel@henry.net</t>
  </si>
  <si>
    <t>001-573-457-6585</t>
  </si>
  <si>
    <t>3142 Gregory Point, Brandonchester, VA 45296</t>
  </si>
  <si>
    <t>1977-01-17</t>
  </si>
  <si>
    <t>2021-02-11</t>
  </si>
  <si>
    <t>Shane Vargas</t>
  </si>
  <si>
    <t>lucaschristine@yahoo.com</t>
  </si>
  <si>
    <t>+1-214-280-8602x2504</t>
  </si>
  <si>
    <t>34084 Mitchell Creek, Matthewmouth, MN 64555</t>
  </si>
  <si>
    <t>Reid, Knox and Wyatt</t>
  </si>
  <si>
    <t>1964-11-20</t>
  </si>
  <si>
    <t>2022-12-07</t>
  </si>
  <si>
    <t>Allison Martinez</t>
  </si>
  <si>
    <t>onguyen@zhang-nicholson.biz</t>
  </si>
  <si>
    <t>+1-676-208-2624</t>
  </si>
  <si>
    <t>349 Tammy Parks, West Jamesview, MN 15252</t>
  </si>
  <si>
    <t>Garcia, Hicks and Thornton</t>
  </si>
  <si>
    <t>1972-02-24</t>
  </si>
  <si>
    <t>Mr. Steven Gomez</t>
  </si>
  <si>
    <t>hobbsapril@hotmail.com</t>
  </si>
  <si>
    <t>487-585-6224x925</t>
  </si>
  <si>
    <t>9690 Aimee Key, Murphyfurt, ME 34091</t>
  </si>
  <si>
    <t>1995-07-31</t>
  </si>
  <si>
    <t>2024-07-28</t>
  </si>
  <si>
    <t>Whitney Rios Dds</t>
  </si>
  <si>
    <t>wrowland@hall-smith.com</t>
  </si>
  <si>
    <t>237-066-1122x7756</t>
  </si>
  <si>
    <t>623 Griffin Manor, Cooperville, MO 56633</t>
  </si>
  <si>
    <t>Perez LLC</t>
  </si>
  <si>
    <t>2022-10-06</t>
  </si>
  <si>
    <t>Latoya Thompson</t>
  </si>
  <si>
    <t>wheelercarly@tyler-walls.com</t>
  </si>
  <si>
    <t>+1-754-151-1274x478</t>
  </si>
  <si>
    <t>042 Susan Highway, East Vanessaside, CO 09837</t>
  </si>
  <si>
    <t>Williams-Brock</t>
  </si>
  <si>
    <t>2003-10-03</t>
  </si>
  <si>
    <t>Jason Carroll</t>
  </si>
  <si>
    <t>castromarissa@gallegos.biz</t>
  </si>
  <si>
    <t>673.508.0309</t>
  </si>
  <si>
    <t>361 Watkins Place, Jasminehaven, AK 36380</t>
  </si>
  <si>
    <t>Berry-Dalton</t>
  </si>
  <si>
    <t>1976-04-05</t>
  </si>
  <si>
    <t>2020-06-19</t>
  </si>
  <si>
    <t>Bradley Brown</t>
  </si>
  <si>
    <t>michael62@yahoo.com</t>
  </si>
  <si>
    <t>+1-221-978-0179x62070</t>
  </si>
  <si>
    <t>659 Glover Locks Suite 804, South Lindsay, WY 81030</t>
  </si>
  <si>
    <t>Bishop, Thompson and Burns</t>
  </si>
  <si>
    <t>2017-07-22</t>
  </si>
  <si>
    <t>Bradley Price</t>
  </si>
  <si>
    <t>colemark@gmail.com</t>
  </si>
  <si>
    <t>+1-223-463-2444x259</t>
  </si>
  <si>
    <t>41335 Grimes View Suite 262, Lake Matthewton, ND 45508</t>
  </si>
  <si>
    <t>Douglas, Chang and Jones</t>
  </si>
  <si>
    <t>1978-07-13</t>
  </si>
  <si>
    <t>2018-05-14</t>
  </si>
  <si>
    <t>xmartinez@gmail.com</t>
  </si>
  <si>
    <t>(617)529-6125x049</t>
  </si>
  <si>
    <t>USNS Pollard, FPO AA 70114</t>
  </si>
  <si>
    <t>Nguyen-Kennedy</t>
  </si>
  <si>
    <t>1971-09-17</t>
  </si>
  <si>
    <t>2020-06-03</t>
  </si>
  <si>
    <t>Kelly Bridges</t>
  </si>
  <si>
    <t>pharris@carter.net</t>
  </si>
  <si>
    <t>(250)384-5958</t>
  </si>
  <si>
    <t>53078 Mary Island, Johnmouth, RI 53625</t>
  </si>
  <si>
    <t>1990-07-26</t>
  </si>
  <si>
    <t>Corey Leon</t>
  </si>
  <si>
    <t>james45@martinez.com</t>
  </si>
  <si>
    <t>584-621-5677x7580</t>
  </si>
  <si>
    <t>108 Johnson Expressway, Jacksonshire, AZ 41109</t>
  </si>
  <si>
    <t>Cook-Johnson</t>
  </si>
  <si>
    <t>1971-12-11</t>
  </si>
  <si>
    <t>Kimberly Mccarty</t>
  </si>
  <si>
    <t>pherrera@yahoo.com</t>
  </si>
  <si>
    <t>+1-691-816-7851x04186</t>
  </si>
  <si>
    <t>494 Jonathan Fords, Lake Douglaschester, IL 83868</t>
  </si>
  <si>
    <t>Adams PLC</t>
  </si>
  <si>
    <t>2016-02-10</t>
  </si>
  <si>
    <t>Carl Bautista</t>
  </si>
  <si>
    <t>davisjeffrey@yahoo.com</t>
  </si>
  <si>
    <t>+1-688-716-6086</t>
  </si>
  <si>
    <t>945 Johnny Crossing Apt. 988, Scottberg, OK 97488</t>
  </si>
  <si>
    <t>Spence Inc</t>
  </si>
  <si>
    <t>1980-10-13</t>
  </si>
  <si>
    <t>Amy Watkins</t>
  </si>
  <si>
    <t>flowe@martin.biz</t>
  </si>
  <si>
    <t>290-005-8403x9371</t>
  </si>
  <si>
    <t>323 Kevin Lakes, New Richard, IL 46702</t>
  </si>
  <si>
    <t>Flores, Moore and Hoffman</t>
  </si>
  <si>
    <t>2003-09-17</t>
  </si>
  <si>
    <t>Rebecca Patel</t>
  </si>
  <si>
    <t>arnoldstephanie@brown-webster.com</t>
  </si>
  <si>
    <t>(239)229-7513</t>
  </si>
  <si>
    <t>52110 Donald Creek Suite 750, Velasquezshire, WV 91151</t>
  </si>
  <si>
    <t>Hoover-Sexton</t>
  </si>
  <si>
    <t>1972-10-18</t>
  </si>
  <si>
    <t>Shawn Bass</t>
  </si>
  <si>
    <t>wbarber@haynes.com</t>
  </si>
  <si>
    <t>001-681-756-1032</t>
  </si>
  <si>
    <t>46202 Young Keys Apt. 395, Victoriabury, WV 88189</t>
  </si>
  <si>
    <t>Watson, Brown and Ramirez</t>
  </si>
  <si>
    <t>1972-05-27</t>
  </si>
  <si>
    <t>Scott Butler</t>
  </si>
  <si>
    <t>christopher58@barker.org</t>
  </si>
  <si>
    <t>001-910-478-0164x2231</t>
  </si>
  <si>
    <t>93165 Maria Green Suite 026, South Blake, PA 06581</t>
  </si>
  <si>
    <t>Dunn-Thornton</t>
  </si>
  <si>
    <t>1985-10-18</t>
  </si>
  <si>
    <t>James Moss</t>
  </si>
  <si>
    <t>dave42@beck-hayden.com</t>
  </si>
  <si>
    <t>352.389.1554</t>
  </si>
  <si>
    <t>59617 Angelica Camp Apt. 002, Wagnerstad, SD 82262</t>
  </si>
  <si>
    <t>Lowe-Kelly</t>
  </si>
  <si>
    <t>2001-07-26</t>
  </si>
  <si>
    <t>Cheryl Jackson</t>
  </si>
  <si>
    <t>christophermorales@hotmail.com</t>
  </si>
  <si>
    <t>532-392-9317x637</t>
  </si>
  <si>
    <t>USS Powers, FPO AE 05895</t>
  </si>
  <si>
    <t>Johnson-Kelley</t>
  </si>
  <si>
    <t>Dustin Jackson</t>
  </si>
  <si>
    <t>donna14@higgins-gardner.com</t>
  </si>
  <si>
    <t>+1-053-156-2246x89637</t>
  </si>
  <si>
    <t>70055 Christine River Apt. 928, Kellyville, SD 29663</t>
  </si>
  <si>
    <t>Rasmussen, Garcia and Lynch</t>
  </si>
  <si>
    <t>2018-11-21</t>
  </si>
  <si>
    <t>Colleen Harrison</t>
  </si>
  <si>
    <t>linda26@gmail.com</t>
  </si>
  <si>
    <t>(247)655-2319</t>
  </si>
  <si>
    <t>8335 Jonathan Glens Apt. 101, Jeffreyland, ID 34118</t>
  </si>
  <si>
    <t>Lee, Collins and Williams</t>
  </si>
  <si>
    <t>1985-02-20</t>
  </si>
  <si>
    <t>2019-02-21</t>
  </si>
  <si>
    <t>Emily Bates</t>
  </si>
  <si>
    <t>cbrewer@steele-jennings.org</t>
  </si>
  <si>
    <t>(341)832-8267</t>
  </si>
  <si>
    <t>4320 Diane Crossroad, Tateport, NE 38397</t>
  </si>
  <si>
    <t>Mcguire PLC</t>
  </si>
  <si>
    <t>1991-06-22</t>
  </si>
  <si>
    <t>2017-06-09</t>
  </si>
  <si>
    <t>Adrienne Torres</t>
  </si>
  <si>
    <t>anthony21@yahoo.com</t>
  </si>
  <si>
    <t>(470)702-2373x611</t>
  </si>
  <si>
    <t>9643 Patel Lights Suite 421, Davenportport, AZ 23899</t>
  </si>
  <si>
    <t>Dudley and Sons</t>
  </si>
  <si>
    <t>1981-12-22</t>
  </si>
  <si>
    <t>2018-05-10</t>
  </si>
  <si>
    <t>Alan Blair</t>
  </si>
  <si>
    <t>danielle81@kelly-ponce.info</t>
  </si>
  <si>
    <t>001-252-426-0302x875</t>
  </si>
  <si>
    <t>84092 Julie Estates, Lake Darrenfurt, NE 19103</t>
  </si>
  <si>
    <t>Conrad, Peck and Smith</t>
  </si>
  <si>
    <t>1961-10-19</t>
  </si>
  <si>
    <t>2020-10-17</t>
  </si>
  <si>
    <t>Lisa Koch</t>
  </si>
  <si>
    <t>brownchristopher@obrien.biz</t>
  </si>
  <si>
    <t>001-693-821-5441x2523</t>
  </si>
  <si>
    <t>38412 Horton Mission, East Ryanstad, AR 93546</t>
  </si>
  <si>
    <t>1991-06-10</t>
  </si>
  <si>
    <t>Cynthia Black Dds</t>
  </si>
  <si>
    <t>anthonywilliams@valdez.com</t>
  </si>
  <si>
    <t>+1-978-629-5095x831</t>
  </si>
  <si>
    <t>570 Laura Rest, South Jill, WA 56520</t>
  </si>
  <si>
    <t>Barrera-Chen</t>
  </si>
  <si>
    <t>1972-01-03</t>
  </si>
  <si>
    <t>Rebecca Morgan</t>
  </si>
  <si>
    <t>cshaffer@sanchez.com</t>
  </si>
  <si>
    <t>3232910125</t>
  </si>
  <si>
    <t>108 Monica Roads, East Justinburgh, DC 38809</t>
  </si>
  <si>
    <t>Foster-Holland</t>
  </si>
  <si>
    <t>1961-12-09</t>
  </si>
  <si>
    <t>Teresa Davis</t>
  </si>
  <si>
    <t>oconnoralexandria@smith.com</t>
  </si>
  <si>
    <t>001-587-085-0135x28756</t>
  </si>
  <si>
    <t>599 Anderson Summit, Taylorview, MD 13002</t>
  </si>
  <si>
    <t>Cooley-Eaton</t>
  </si>
  <si>
    <t>1991-12-19</t>
  </si>
  <si>
    <t>Tiffany Haley</t>
  </si>
  <si>
    <t>brian22@yahoo.com</t>
  </si>
  <si>
    <t>001-786-155-7851</t>
  </si>
  <si>
    <t>2472 Steele Garden, South Bruce, AR 21502</t>
  </si>
  <si>
    <t>Brown LLC</t>
  </si>
  <si>
    <t>Jennifer Roberson</t>
  </si>
  <si>
    <t>fmiller@stone-snyder.com</t>
  </si>
  <si>
    <t>134.083.4408x2268</t>
  </si>
  <si>
    <t>7209 Susan Row, Linland, KY 34455</t>
  </si>
  <si>
    <t>Rollins, Austin and Hammond</t>
  </si>
  <si>
    <t>1962-04-10</t>
  </si>
  <si>
    <t>Chelsea Hoffman</t>
  </si>
  <si>
    <t>wyattkimberly@hotmail.com</t>
  </si>
  <si>
    <t>(490)753-8284</t>
  </si>
  <si>
    <t>30193 Thompson Fall Apt. 302, West Patrickbury, GA 65017</t>
  </si>
  <si>
    <t>Warren, Rios and Phelps</t>
  </si>
  <si>
    <t>1999-05-04</t>
  </si>
  <si>
    <t>Jennifer Nolan</t>
  </si>
  <si>
    <t>campbellalexander@cruz.biz</t>
  </si>
  <si>
    <t>856-982-6726x1124</t>
  </si>
  <si>
    <t>7063 Brown Crossing Apt. 954, Calderonchester, UT 42125</t>
  </si>
  <si>
    <t>Huff-Boone</t>
  </si>
  <si>
    <t>1973-12-05</t>
  </si>
  <si>
    <t>Natalie Thomas</t>
  </si>
  <si>
    <t>dennisfitzgerald@hotmail.com</t>
  </si>
  <si>
    <t>+1-168-620-8739x1150</t>
  </si>
  <si>
    <t>286 Jesse Mount Apt. 641, West Briannamouth, MO 24175</t>
  </si>
  <si>
    <t>Davis-Walters</t>
  </si>
  <si>
    <t>1977-02-18</t>
  </si>
  <si>
    <t>2023-03-09</t>
  </si>
  <si>
    <t>Luis Hooper</t>
  </si>
  <si>
    <t>paul92@glover-vargas.com</t>
  </si>
  <si>
    <t>9480385786</t>
  </si>
  <si>
    <t>7738 Stacey Divide Suite 056, Lake Shellyville, UT 61657</t>
  </si>
  <si>
    <t>Reynolds-Webb</t>
  </si>
  <si>
    <t>2006-07-09</t>
  </si>
  <si>
    <t>Jared Mendez</t>
  </si>
  <si>
    <t>owenskatie@yahoo.com</t>
  </si>
  <si>
    <t>(675)377-8804</t>
  </si>
  <si>
    <t>45874 Fowler River Apt. 838, Solomonstad, SD 48804</t>
  </si>
  <si>
    <t>Barnes-Blankenship</t>
  </si>
  <si>
    <t>Miranda Castro</t>
  </si>
  <si>
    <t>alex79@hunt.com</t>
  </si>
  <si>
    <t>+1-019-129-3729</t>
  </si>
  <si>
    <t>1335 Bates Views Apt. 193, Lake Joshuachester, SC 15410</t>
  </si>
  <si>
    <t>Evans-Hart</t>
  </si>
  <si>
    <t>1963-07-11</t>
  </si>
  <si>
    <t>Autumn Klein</t>
  </si>
  <si>
    <t>yjohnson@oconnor-hart.com</t>
  </si>
  <si>
    <t>+1-356-947-8391</t>
  </si>
  <si>
    <t>305 Sandra Drive Suite 218, West Justinstad, IN 94276</t>
  </si>
  <si>
    <t>Administrator, sports</t>
  </si>
  <si>
    <t>Hobbs-Scott</t>
  </si>
  <si>
    <t>1971-12-23</t>
  </si>
  <si>
    <t>Allen Hernandez</t>
  </si>
  <si>
    <t>owilson@hotmail.com</t>
  </si>
  <si>
    <t>5809313600</t>
  </si>
  <si>
    <t>307 Smith Inlet Apt. 778, Jamesborough, ME 78732</t>
  </si>
  <si>
    <t>Tucker Ltd</t>
  </si>
  <si>
    <t>1972-10-01</t>
  </si>
  <si>
    <t>2017-12-23</t>
  </si>
  <si>
    <t>Denise Riddle</t>
  </si>
  <si>
    <t>heidi47@gmail.com</t>
  </si>
  <si>
    <t>490-652-7011</t>
  </si>
  <si>
    <t>114 Sparks Pines, East Catherine, AL 95017</t>
  </si>
  <si>
    <t>Huang-Lara</t>
  </si>
  <si>
    <t>2005-10-20</t>
  </si>
  <si>
    <t>2024-06-18</t>
  </si>
  <si>
    <t>William Wade</t>
  </si>
  <si>
    <t>taylor99@yahoo.com</t>
  </si>
  <si>
    <t>(745)409-5159</t>
  </si>
  <si>
    <t>50201 Walker Crossing Suite 144, New Tammyborough, NM 93810</t>
  </si>
  <si>
    <t>Lambert, Ramirez and Branch</t>
  </si>
  <si>
    <t>1993-08-27</t>
  </si>
  <si>
    <t>2019-05-19</t>
  </si>
  <si>
    <t>Zachary Hart</t>
  </si>
  <si>
    <t>jorgenelson@gmail.com</t>
  </si>
  <si>
    <t>334-530-3929x91365</t>
  </si>
  <si>
    <t>8067 Alyssa Loaf Apt. 327, Lake Aliciaville, WV 81271</t>
  </si>
  <si>
    <t>Robinson, Davis and Taylor</t>
  </si>
  <si>
    <t>1966-03-24</t>
  </si>
  <si>
    <t>2022-08-12</t>
  </si>
  <si>
    <t>Valerie Lopez Dvm</t>
  </si>
  <si>
    <t>amyadams@kim-stevens.info</t>
  </si>
  <si>
    <t>(464)130-2523</t>
  </si>
  <si>
    <t>538 Munoz Bridge, Brandonchester, FL 21880</t>
  </si>
  <si>
    <t>Wolfe, King and Potter</t>
  </si>
  <si>
    <t>1974-06-14</t>
  </si>
  <si>
    <t>2016-03-11</t>
  </si>
  <si>
    <t>browningmichael@jennings-frye.net</t>
  </si>
  <si>
    <t>001-201-477-6661x92899</t>
  </si>
  <si>
    <t>0176 Salazar Heights Apt. 597, Woodburgh, LA 64494</t>
  </si>
  <si>
    <t>Krause and Sons</t>
  </si>
  <si>
    <t>2007-05-16</t>
  </si>
  <si>
    <t>Maria Gomez</t>
  </si>
  <si>
    <t>sarahcrane@gmail.com</t>
  </si>
  <si>
    <t>(834)289-6589x430</t>
  </si>
  <si>
    <t>USS Harper, FPO AE 51802</t>
  </si>
  <si>
    <t>Volunteer coordinator</t>
  </si>
  <si>
    <t>Torres Group</t>
  </si>
  <si>
    <t>1999-09-25</t>
  </si>
  <si>
    <t>2023-01-17</t>
  </si>
  <si>
    <t>Wendy Bennett</t>
  </si>
  <si>
    <t>alanbailey@harrison-ruiz.com</t>
  </si>
  <si>
    <t>(028)170-2041x39757</t>
  </si>
  <si>
    <t>7036 Blanchard Alley, Port Mark, WY 77702</t>
  </si>
  <si>
    <t>Johnson-Atkins</t>
  </si>
  <si>
    <t>1989-01-19</t>
  </si>
  <si>
    <t>Susan Nichols</t>
  </si>
  <si>
    <t>morrisgary@yahoo.com</t>
  </si>
  <si>
    <t>+1-764-009-1738x41823</t>
  </si>
  <si>
    <t>212 Ramirez Mountains, South Dominique, NH 56326</t>
  </si>
  <si>
    <t>Patton LLC</t>
  </si>
  <si>
    <t>1964-10-05</t>
  </si>
  <si>
    <t>2016-04-22</t>
  </si>
  <si>
    <t>Nicholas Cervantes</t>
  </si>
  <si>
    <t>amanda38@english.com</t>
  </si>
  <si>
    <t>+1-385-033-6745x7416</t>
  </si>
  <si>
    <t>3113 Jose Via Suite 706, South Curtis, ME 14093</t>
  </si>
  <si>
    <t>Thomas-Vega</t>
  </si>
  <si>
    <t>1975-09-29</t>
  </si>
  <si>
    <t>Nichole Schmidt</t>
  </si>
  <si>
    <t>oramsey@tate.info</t>
  </si>
  <si>
    <t>001-644-733-5114x2065</t>
  </si>
  <si>
    <t>247 Elizabeth Isle Suite 087, North Zachary, MA 03411</t>
  </si>
  <si>
    <t>Harrison PLC</t>
  </si>
  <si>
    <t>1977-01-28</t>
  </si>
  <si>
    <t>2022-04-08</t>
  </si>
  <si>
    <t>Christopher Gonzalez</t>
  </si>
  <si>
    <t>jessica25@wilson.com</t>
  </si>
  <si>
    <t>0372984709</t>
  </si>
  <si>
    <t>621 Velazquez Forge Suite 675, New Chloe, MO 23371</t>
  </si>
  <si>
    <t>Campos, Graham and Koch</t>
  </si>
  <si>
    <t>1986-08-18</t>
  </si>
  <si>
    <t>Kelsey Johnson</t>
  </si>
  <si>
    <t>robertboyer@carr.com</t>
  </si>
  <si>
    <t>649.381.0400x426</t>
  </si>
  <si>
    <t>799 Sarah Village Suite 161, New Charlesfurt, ND 38775</t>
  </si>
  <si>
    <t>Odom LLC</t>
  </si>
  <si>
    <t>1970-04-20</t>
  </si>
  <si>
    <t>Juan Wilkins</t>
  </si>
  <si>
    <t>gregoryjeff@yahoo.com</t>
  </si>
  <si>
    <t>7386594132</t>
  </si>
  <si>
    <t>790 Jimenez Ferry, North Tamara, NE 76870</t>
  </si>
  <si>
    <t>Wilkinson Ltd</t>
  </si>
  <si>
    <t>1972-11-01</t>
  </si>
  <si>
    <t>2020-02-10</t>
  </si>
  <si>
    <t>Misty Oliver</t>
  </si>
  <si>
    <t>howellstephanie@gmail.com</t>
  </si>
  <si>
    <t>+1-606-898-4603</t>
  </si>
  <si>
    <t>0449 Christopher Walks Suite 890, Lake Russellhaven, ID 38357</t>
  </si>
  <si>
    <t>Bennett, Cox and Fitzgerald</t>
  </si>
  <si>
    <t>1991-02-27</t>
  </si>
  <si>
    <t>Heidi Rodriguez</t>
  </si>
  <si>
    <t>wilsonjoyce@gmail.com</t>
  </si>
  <si>
    <t>866-026-9432</t>
  </si>
  <si>
    <t>67310 Andrew Islands, Pinedabury, CT 66608</t>
  </si>
  <si>
    <t>1968-05-08</t>
  </si>
  <si>
    <t>2022-09-27</t>
  </si>
  <si>
    <t>Kristy Murphy</t>
  </si>
  <si>
    <t>aanderson@whitney-morton.biz</t>
  </si>
  <si>
    <t>086-798-3829</t>
  </si>
  <si>
    <t>4226 Ramos Inlet, Friedmanburgh, IN 10802</t>
  </si>
  <si>
    <t>Cortez Ltd</t>
  </si>
  <si>
    <t>1983-01-05</t>
  </si>
  <si>
    <t>2021-12-22</t>
  </si>
  <si>
    <t>Steven Leon</t>
  </si>
  <si>
    <t>davidsonrichard@smith-williams.com</t>
  </si>
  <si>
    <t>(567)223-3228x0123</t>
  </si>
  <si>
    <t>5953 Myers Heights, West Nathanstad, MI 24598</t>
  </si>
  <si>
    <t>Ellis, Ward and Scott</t>
  </si>
  <si>
    <t>1963-06-30</t>
  </si>
  <si>
    <t>Destiny Smith</t>
  </si>
  <si>
    <t>robert58@yahoo.com</t>
  </si>
  <si>
    <t>(108)871-6838x142</t>
  </si>
  <si>
    <t>88980 Lawrence Greens Apt. 024, New Staceymouth, NJ 02283</t>
  </si>
  <si>
    <t>Cole, Robinson and Vega</t>
  </si>
  <si>
    <t>2017-03-09</t>
  </si>
  <si>
    <t>Laurie Haley</t>
  </si>
  <si>
    <t>edwardadams@mendoza.com</t>
  </si>
  <si>
    <t>(211)498-0584</t>
  </si>
  <si>
    <t>0112 Ruth Locks, Lake Jessicaview, AZ 58048</t>
  </si>
  <si>
    <t>Jennings, Munoz and Nichols</t>
  </si>
  <si>
    <t>2007-01-12</t>
  </si>
  <si>
    <t>Andrew Perez</t>
  </si>
  <si>
    <t>brenda93@yahoo.com</t>
  </si>
  <si>
    <t>667-566-0798x511</t>
  </si>
  <si>
    <t>372 Dixon Manor, Nicholsborough, NY 78031</t>
  </si>
  <si>
    <t>Torres and Sons</t>
  </si>
  <si>
    <t>1966-05-07</t>
  </si>
  <si>
    <t>Abigail Howard</t>
  </si>
  <si>
    <t>crystalcruz@gmail.com</t>
  </si>
  <si>
    <t>(262)977-2337</t>
  </si>
  <si>
    <t>84990 Mcfarland Neck, South Teresaberg, VT 02080</t>
  </si>
  <si>
    <t>1975-12-22</t>
  </si>
  <si>
    <t>Karen Page</t>
  </si>
  <si>
    <t>tperez@gmail.com</t>
  </si>
  <si>
    <t>045.995.9776x8957</t>
  </si>
  <si>
    <t>72837 John Heights, Weavertown, CO 03478</t>
  </si>
  <si>
    <t>Davis, Morgan and Wagner</t>
  </si>
  <si>
    <t>1982-01-20</t>
  </si>
  <si>
    <t>Jermaine Fleming</t>
  </si>
  <si>
    <t>jerry35@yahoo.com</t>
  </si>
  <si>
    <t>(074)347-0733</t>
  </si>
  <si>
    <t>5154 Lydia Via Suite 290, Lake Brooketown, ID 35777</t>
  </si>
  <si>
    <t>Owens, Torres and Mcneil</t>
  </si>
  <si>
    <t>1982-11-25</t>
  </si>
  <si>
    <t>Phillip Obrien</t>
  </si>
  <si>
    <t>amandaramirez@gmail.com</t>
  </si>
  <si>
    <t>326.407.8737x835</t>
  </si>
  <si>
    <t>89037 Tracy Land, Olsonshire, OH 03759</t>
  </si>
  <si>
    <t>Esparza-Smith</t>
  </si>
  <si>
    <t>1996-08-25</t>
  </si>
  <si>
    <t>Dylan Beard</t>
  </si>
  <si>
    <t>thomasfreeman@lee.info</t>
  </si>
  <si>
    <t>(161)640-4400</t>
  </si>
  <si>
    <t>6173 Pugh Way, Jacksonhaven, AZ 64582</t>
  </si>
  <si>
    <t>Smith-Odonnell</t>
  </si>
  <si>
    <t>1989-02-15</t>
  </si>
  <si>
    <t>2024-02-22</t>
  </si>
  <si>
    <t>James Porter</t>
  </si>
  <si>
    <t>perezkimberly@smith.com</t>
  </si>
  <si>
    <t>+1-335-874-7639x32291</t>
  </si>
  <si>
    <t>01608 Thompson Circles Suite 353, New Emily, AK 38468</t>
  </si>
  <si>
    <t>Stein Group</t>
  </si>
  <si>
    <t>2025-02-24</t>
  </si>
  <si>
    <t>Emily Thompson</t>
  </si>
  <si>
    <t>whitematthew@hotmail.com</t>
  </si>
  <si>
    <t>001-885-606-1341x8733</t>
  </si>
  <si>
    <t>65369 Steele Pike Suite 520, West Williamchester, OK 58949</t>
  </si>
  <si>
    <t>Gonzalez PLC</t>
  </si>
  <si>
    <t>1988-05-27</t>
  </si>
  <si>
    <t>Amber Mills Dvm</t>
  </si>
  <si>
    <t>lsmith@parker.com</t>
  </si>
  <si>
    <t>+1-299-985-0532x311</t>
  </si>
  <si>
    <t>4465 Shaw Overpass, Charlesville, CA 41752</t>
  </si>
  <si>
    <t>Barry, Young and Reed</t>
  </si>
  <si>
    <t>2003-09-22</t>
  </si>
  <si>
    <t>2019-06-04</t>
  </si>
  <si>
    <t>Teresa Berry</t>
  </si>
  <si>
    <t>fjones@hotmail.com</t>
  </si>
  <si>
    <t>433-643-7157</t>
  </si>
  <si>
    <t>8665 Charles Lodge, East Kathryn, AR 37820</t>
  </si>
  <si>
    <t>Warren-Hill</t>
  </si>
  <si>
    <t>1972-04-07</t>
  </si>
  <si>
    <t>Alexandra Parks</t>
  </si>
  <si>
    <t>jmiller@hotmail.com</t>
  </si>
  <si>
    <t>072-808-8406x583</t>
  </si>
  <si>
    <t>Unit 8230 Box 2756, DPO AE 25530</t>
  </si>
  <si>
    <t>Adkins PLC</t>
  </si>
  <si>
    <t>1972-06-24</t>
  </si>
  <si>
    <t>Kenneth Allen</t>
  </si>
  <si>
    <t>uhorton@gmail.com</t>
  </si>
  <si>
    <t>291-579-4048x125</t>
  </si>
  <si>
    <t>0912 Joseph Gateway Apt. 297, Lake Rebecca, IA 31465</t>
  </si>
  <si>
    <t>Christensen, Carrillo and Burke</t>
  </si>
  <si>
    <t>1985-02-16</t>
  </si>
  <si>
    <t>Shawn Watson</t>
  </si>
  <si>
    <t>xjackson@gmail.com</t>
  </si>
  <si>
    <t>+1-247-498-5744</t>
  </si>
  <si>
    <t>40991 Justin Causeway Suite 640, Smithchester, CT 81218</t>
  </si>
  <si>
    <t>Davis-Thornton</t>
  </si>
  <si>
    <t>1968-01-31</t>
  </si>
  <si>
    <t>Danny Hernandez</t>
  </si>
  <si>
    <t>justingraham@roberts.com</t>
  </si>
  <si>
    <t>001-995-243-0654</t>
  </si>
  <si>
    <t>53423 Christopher Ville Apt. 126, Frankland, IL 43070</t>
  </si>
  <si>
    <t>Gamble, Herring and Rivera</t>
  </si>
  <si>
    <t>2024-03-27</t>
  </si>
  <si>
    <t>Adam Murphy</t>
  </si>
  <si>
    <t>cbenitez@spencer-nichols.com</t>
  </si>
  <si>
    <t>(375)743-7776x03279</t>
  </si>
  <si>
    <t>094 Vargas Light Apt. 707, New Joshuamouth, MI 23288</t>
  </si>
  <si>
    <t>Decker LLC</t>
  </si>
  <si>
    <t>1978-09-01</t>
  </si>
  <si>
    <t>2017-08-20</t>
  </si>
  <si>
    <t>Brenda Curtis</t>
  </si>
  <si>
    <t>elizabeth15@gmail.com</t>
  </si>
  <si>
    <t>790-638-7434</t>
  </si>
  <si>
    <t>529 Morrow Summit, New Brenda, HI 88203</t>
  </si>
  <si>
    <t>Spence LLC</t>
  </si>
  <si>
    <t>1996-07-03</t>
  </si>
  <si>
    <t>2023-01-12</t>
  </si>
  <si>
    <t>Marcia Gamble</t>
  </si>
  <si>
    <t>sarahhenderson@hotmail.com</t>
  </si>
  <si>
    <t>172-221-6724</t>
  </si>
  <si>
    <t>USNV Patterson, FPO AP 86352</t>
  </si>
  <si>
    <t>Rivers and Sons</t>
  </si>
  <si>
    <t>1990-02-01</t>
  </si>
  <si>
    <t>2024-12-23</t>
  </si>
  <si>
    <t>James Benjamin</t>
  </si>
  <si>
    <t>rodney84@hotmail.com</t>
  </si>
  <si>
    <t>+1-473-332-9983x83283</t>
  </si>
  <si>
    <t>317 Matthew Harbors, Michaelview, TX 14449</t>
  </si>
  <si>
    <t>1980-07-16</t>
  </si>
  <si>
    <t>Fernando Roberts</t>
  </si>
  <si>
    <t>john76@hotmail.com</t>
  </si>
  <si>
    <t>747-853-7083x11835</t>
  </si>
  <si>
    <t>7476 Hoffman Cliffs Apt. 137, New Crystaltown, DC 40679</t>
  </si>
  <si>
    <t>Russell LLC</t>
  </si>
  <si>
    <t>2002-12-25</t>
  </si>
  <si>
    <t>2019-05-03</t>
  </si>
  <si>
    <t>Alison Blankenship</t>
  </si>
  <si>
    <t>richmary@wolfe.com</t>
  </si>
  <si>
    <t>605-130-2865x6152</t>
  </si>
  <si>
    <t>880 Victoria Well, Henryfort, WI 19098</t>
  </si>
  <si>
    <t>Wagner PLC</t>
  </si>
  <si>
    <t>Gabriel Ross</t>
  </si>
  <si>
    <t>rebecca78@gmail.com</t>
  </si>
  <si>
    <t>749-253-0136x55657</t>
  </si>
  <si>
    <t>260 Brady Summit Suite 291, Hunterborough, AK 91161</t>
  </si>
  <si>
    <t>Taylor, Elliott and Spears</t>
  </si>
  <si>
    <t>1991-02-07</t>
  </si>
  <si>
    <t>2018-10-23</t>
  </si>
  <si>
    <t>Bonnie Gomez</t>
  </si>
  <si>
    <t>christopher90@gmail.com</t>
  </si>
  <si>
    <t>782-940-2011x62777</t>
  </si>
  <si>
    <t>05345 Christopher Bypass Apt. 542, East Edward, ND 35542</t>
  </si>
  <si>
    <t>Richard, Hendricks and Williams</t>
  </si>
  <si>
    <t>1971-03-17</t>
  </si>
  <si>
    <t>2021-11-07</t>
  </si>
  <si>
    <t>Charles Davis</t>
  </si>
  <si>
    <t>eric15@hotmail.com</t>
  </si>
  <si>
    <t>638.328.7805</t>
  </si>
  <si>
    <t>36799 Baker Common, North Robertside, IL 70415</t>
  </si>
  <si>
    <t>1976-11-01</t>
  </si>
  <si>
    <t>Jordan Holmes</t>
  </si>
  <si>
    <t>rossregina@jones.com</t>
  </si>
  <si>
    <t>+1-714-359-4026x61161</t>
  </si>
  <si>
    <t>481 Shelly Glens Suite 969, New Robert, MA 06891</t>
  </si>
  <si>
    <t>Leblanc, Cook and Martin</t>
  </si>
  <si>
    <t>1965-04-06</t>
  </si>
  <si>
    <t>2019-02-22</t>
  </si>
  <si>
    <t>Monica Potter</t>
  </si>
  <si>
    <t>emily88@shaw-hughes.com</t>
  </si>
  <si>
    <t>(122)303-2318</t>
  </si>
  <si>
    <t>06788 Amanda Coves, North Michael, WY 91975</t>
  </si>
  <si>
    <t>Neal-Jordan</t>
  </si>
  <si>
    <t>Mrs. Madeline Potter</t>
  </si>
  <si>
    <t>kmartinez@gmail.com</t>
  </si>
  <si>
    <t>682.359.2135x18374</t>
  </si>
  <si>
    <t>8885 Natalie Creek Apt. 971, Kellyberg, WV 01912</t>
  </si>
  <si>
    <t>Psychologist, counselling</t>
  </si>
  <si>
    <t>George-Solomon</t>
  </si>
  <si>
    <t>1969-11-29</t>
  </si>
  <si>
    <t>2019-08-25</t>
  </si>
  <si>
    <t>Joseph Bryant</t>
  </si>
  <si>
    <t>marisa45@garrett-munoz.net</t>
  </si>
  <si>
    <t>850.365.3414</t>
  </si>
  <si>
    <t>48940 Jessica Port, New Daniel, SD 68731</t>
  </si>
  <si>
    <t>Martinez, Schultz and Lee</t>
  </si>
  <si>
    <t>1969-05-10</t>
  </si>
  <si>
    <t>James Hamilton</t>
  </si>
  <si>
    <t>wayne38@gmail.com</t>
  </si>
  <si>
    <t>+1-827-185-1780</t>
  </si>
  <si>
    <t>607 Bowers Throughway, Riveraberg, KS 28686</t>
  </si>
  <si>
    <t>Norman-Martin</t>
  </si>
  <si>
    <t>2019-06-20</t>
  </si>
  <si>
    <t>Joshua Grant</t>
  </si>
  <si>
    <t>phays@long.com</t>
  </si>
  <si>
    <t>(585)451-7188x99972</t>
  </si>
  <si>
    <t>Unit 2999 Box 8129, DPO AA 58948</t>
  </si>
  <si>
    <t>Radiographer, therapeutic</t>
  </si>
  <si>
    <t>Patterson-Jackson</t>
  </si>
  <si>
    <t>2002-10-03</t>
  </si>
  <si>
    <t>Elizabeth Tanner</t>
  </si>
  <si>
    <t>scott97@yahoo.com</t>
  </si>
  <si>
    <t>+1-621-838-4046x30545</t>
  </si>
  <si>
    <t>1852 Brenda Villages Apt. 374, Port Kim, IA 39433</t>
  </si>
  <si>
    <t>Smith-Porter</t>
  </si>
  <si>
    <t>1986-04-30</t>
  </si>
  <si>
    <t>Garrett Alexander Dds</t>
  </si>
  <si>
    <t>fergusonjoseph@hotmail.com</t>
  </si>
  <si>
    <t>615-755-9378x224</t>
  </si>
  <si>
    <t>73164 Schmidt Fork, Port Amber, IN 99660</t>
  </si>
  <si>
    <t>Goodman Inc</t>
  </si>
  <si>
    <t>1966-01-20</t>
  </si>
  <si>
    <t>Julie Cochran</t>
  </si>
  <si>
    <t>edunn@hotmail.com</t>
  </si>
  <si>
    <t>001-053-801-1669x188</t>
  </si>
  <si>
    <t>2741 Cody Path, Howechester, MS 19707</t>
  </si>
  <si>
    <t>Perry PLC</t>
  </si>
  <si>
    <t>1967-11-29</t>
  </si>
  <si>
    <t>Nancy Murray</t>
  </si>
  <si>
    <t>jennifermcdaniel@yahoo.com</t>
  </si>
  <si>
    <t>+1-007-328-3969x8982</t>
  </si>
  <si>
    <t>58664 Wilcox Junction, West Justin, WY 75639</t>
  </si>
  <si>
    <t>Ramirez, Kirby and Day</t>
  </si>
  <si>
    <t>1998-10-18</t>
  </si>
  <si>
    <t>2018-09-26</t>
  </si>
  <si>
    <t>Terri Alexander</t>
  </si>
  <si>
    <t>mike57@wilson-thomas.net</t>
  </si>
  <si>
    <t>+1-986-315-9635x0269</t>
  </si>
  <si>
    <t>6944 Tran Plain Suite 226, Larsenshire, CO 25762</t>
  </si>
  <si>
    <t>1984-10-05</t>
  </si>
  <si>
    <t>2017-02-23</t>
  </si>
  <si>
    <t>James Bowers</t>
  </si>
  <si>
    <t>jeremiah79@myers-bowman.net</t>
  </si>
  <si>
    <t>942-936-3864x011</t>
  </si>
  <si>
    <t>5574 Maria Course Suite 990, Port Maryland, IA 60312</t>
  </si>
  <si>
    <t>Anderson-Bowman</t>
  </si>
  <si>
    <t>1967-10-27</t>
  </si>
  <si>
    <t>Vincent Medina</t>
  </si>
  <si>
    <t>ljohnson@hotmail.com</t>
  </si>
  <si>
    <t>463-335-4861x267</t>
  </si>
  <si>
    <t>USNV Taylor, FPO AA 56144</t>
  </si>
  <si>
    <t>Butler-Tate</t>
  </si>
  <si>
    <t>1992-04-16</t>
  </si>
  <si>
    <t>Angela Hess</t>
  </si>
  <si>
    <t>brendalarsen@lewis.com</t>
  </si>
  <si>
    <t>849-621-9352x03416</t>
  </si>
  <si>
    <t>22688 French Rest Apt. 505, Bethanyhaven, ND 62524</t>
  </si>
  <si>
    <t>Harrington Group</t>
  </si>
  <si>
    <t>1998-01-01</t>
  </si>
  <si>
    <t>Denise Davis</t>
  </si>
  <si>
    <t>blanchardsamuel@yahoo.com</t>
  </si>
  <si>
    <t>985.456.8647x3679</t>
  </si>
  <si>
    <t>5789 Brenda Views Suite 912, Mejiafurt, CO 82479</t>
  </si>
  <si>
    <t>2006-07-31</t>
  </si>
  <si>
    <t>2015-11-22</t>
  </si>
  <si>
    <t>Robert Robinson</t>
  </si>
  <si>
    <t>jerrycruz@melton.com</t>
  </si>
  <si>
    <t>+1-792-904-6394x776</t>
  </si>
  <si>
    <t>87112 Melanie Track Suite 346, Rodriguezchester, HI 12624</t>
  </si>
  <si>
    <t>Hall-Figueroa</t>
  </si>
  <si>
    <t>1962-09-24</t>
  </si>
  <si>
    <t>2016-08-20</t>
  </si>
  <si>
    <t>Allen Patterson</t>
  </si>
  <si>
    <t>lbrown@gmail.com</t>
  </si>
  <si>
    <t>6841519130</t>
  </si>
  <si>
    <t>49275 Theresa Land, Mcneilfurt, OR 68545</t>
  </si>
  <si>
    <t>Wilson-Hogan</t>
  </si>
  <si>
    <t>1991-11-01</t>
  </si>
  <si>
    <t>2022-03-20</t>
  </si>
  <si>
    <t>Leah Lewis</t>
  </si>
  <si>
    <t>erinrobinson@gmail.com</t>
  </si>
  <si>
    <t>307-641-8557x2400</t>
  </si>
  <si>
    <t>5324 Eric Junction, Perezborough, RI 15923</t>
  </si>
  <si>
    <t>Cox Group</t>
  </si>
  <si>
    <t>1968-10-06</t>
  </si>
  <si>
    <t>Joshua Velasquez</t>
  </si>
  <si>
    <t>ckoch@gmail.com</t>
  </si>
  <si>
    <t>184.741.5479x293</t>
  </si>
  <si>
    <t>Unit 2005 Box 2599, DPO AP 53501</t>
  </si>
  <si>
    <t>Graves Inc</t>
  </si>
  <si>
    <t>1991-04-09</t>
  </si>
  <si>
    <t>2023-06-27</t>
  </si>
  <si>
    <t>David Davis</t>
  </si>
  <si>
    <t>xsmith@hotmail.com</t>
  </si>
  <si>
    <t>+1-039-750-3385</t>
  </si>
  <si>
    <t>701 Erin Manor Apt. 902, Lake Erika, IN 98577</t>
  </si>
  <si>
    <t>Schultz, Barrett and Campbell</t>
  </si>
  <si>
    <t>1991-03-01</t>
  </si>
  <si>
    <t>2016-08-19</t>
  </si>
  <si>
    <t>Amanda Franklin</t>
  </si>
  <si>
    <t>ryanperez@miller-walker.com</t>
  </si>
  <si>
    <t>867.764.8277</t>
  </si>
  <si>
    <t>00721 Wilson Harbor, Parkerborough, IN 50148</t>
  </si>
  <si>
    <t>Harris, Ferguson and Franco</t>
  </si>
  <si>
    <t>1984-12-16</t>
  </si>
  <si>
    <t>Nicholas Miller</t>
  </si>
  <si>
    <t>christopher74@marks.com</t>
  </si>
  <si>
    <t>001-542-161-4673</t>
  </si>
  <si>
    <t>71795 Tristan Underpass Suite 851, Brooksport, LA 35893</t>
  </si>
  <si>
    <t>Smith, Martinez and Allen</t>
  </si>
  <si>
    <t>2002-11-25</t>
  </si>
  <si>
    <t>Meghan Mitchell</t>
  </si>
  <si>
    <t>flemingrobyn@singleton-cross.com</t>
  </si>
  <si>
    <t>765.944.8068</t>
  </si>
  <si>
    <t>09905 Crawford Stravenue Apt. 445, Swansonmouth, WY 56266</t>
  </si>
  <si>
    <t>Bailey Inc</t>
  </si>
  <si>
    <t>1983-12-23</t>
  </si>
  <si>
    <t>2021-08-16</t>
  </si>
  <si>
    <t>Ryan Braun</t>
  </si>
  <si>
    <t>deborah01@stevens.com</t>
  </si>
  <si>
    <t>6962062810</t>
  </si>
  <si>
    <t>6399 Maureen Locks, Port Patriciaberg, GA 38600</t>
  </si>
  <si>
    <t>1962-12-01</t>
  </si>
  <si>
    <t>Adrian Wilson</t>
  </si>
  <si>
    <t>andrewbenson@gmail.com</t>
  </si>
  <si>
    <t>001-910-316-1132x21188</t>
  </si>
  <si>
    <t>631 Meyer Center, East Michael, MN 61347</t>
  </si>
  <si>
    <t>Moore Group</t>
  </si>
  <si>
    <t>1992-04-21</t>
  </si>
  <si>
    <t>Laura Duke</t>
  </si>
  <si>
    <t>victoriamcclure@johnson.info</t>
  </si>
  <si>
    <t>+1-469-404-5321x8285</t>
  </si>
  <si>
    <t>6298 Miller Flat, Allenmouth, MI 84145</t>
  </si>
  <si>
    <t>Holland-Walker</t>
  </si>
  <si>
    <t>1977-06-09</t>
  </si>
  <si>
    <t>Tracy Thomas</t>
  </si>
  <si>
    <t>martinezkatherine@yahoo.com</t>
  </si>
  <si>
    <t>(894)038-0299x256</t>
  </si>
  <si>
    <t>3803 Gary Canyon Suite 362, South Michaelbury, TX 58612</t>
  </si>
  <si>
    <t>Sheppard-Bowen</t>
  </si>
  <si>
    <t>1989-11-27</t>
  </si>
  <si>
    <t>2017-04-10</t>
  </si>
  <si>
    <t>Andrew Gonzales</t>
  </si>
  <si>
    <t>julie33@gmail.com</t>
  </si>
  <si>
    <t>+1-832-156-2802</t>
  </si>
  <si>
    <t>USS Donaldson, FPO AA 29126</t>
  </si>
  <si>
    <t>Sullivan and Sons</t>
  </si>
  <si>
    <t>1981-04-20</t>
  </si>
  <si>
    <t>Brittany Bridges</t>
  </si>
  <si>
    <t>russell70@yahoo.com</t>
  </si>
  <si>
    <t>001-153-070-4613x21415</t>
  </si>
  <si>
    <t>19463 Smith Run Apt. 044, Schwartzbury, NC 17340</t>
  </si>
  <si>
    <t>Anderson-Hunter</t>
  </si>
  <si>
    <t>2015-09-09</t>
  </si>
  <si>
    <t>John Simpson</t>
  </si>
  <si>
    <t>jonathansims@gmail.com</t>
  </si>
  <si>
    <t>+1-078-993-0464x1789</t>
  </si>
  <si>
    <t>79166 Hampton Walks, Martinfort, RI 62493</t>
  </si>
  <si>
    <t>Kline and Sons</t>
  </si>
  <si>
    <t>2000-02-16</t>
  </si>
  <si>
    <t>Patrick Roth</t>
  </si>
  <si>
    <t>evanskenneth@morgan.net</t>
  </si>
  <si>
    <t>506-504-0024x40141</t>
  </si>
  <si>
    <t>810 Jennifer Mountain, North Heather, MS 13372</t>
  </si>
  <si>
    <t>Mendoza Inc</t>
  </si>
  <si>
    <t>1985-02-04</t>
  </si>
  <si>
    <t>Christopher Hampton</t>
  </si>
  <si>
    <t>smithmisty@hotmail.com</t>
  </si>
  <si>
    <t>645.326.1021x4797</t>
  </si>
  <si>
    <t>6769 Adams Canyon, East Garymouth, IA 95091</t>
  </si>
  <si>
    <t>Warren and Sons</t>
  </si>
  <si>
    <t>1984-12-22</t>
  </si>
  <si>
    <t>2024-05-03</t>
  </si>
  <si>
    <t>Matthew Palmer</t>
  </si>
  <si>
    <t>mcmahontina@yahoo.com</t>
  </si>
  <si>
    <t>(008)416-8761</t>
  </si>
  <si>
    <t>PSC 8176, Box 5733, APO AA 18774</t>
  </si>
  <si>
    <t>Johnson, Esparza and Wood</t>
  </si>
  <si>
    <t>1981-05-05</t>
  </si>
  <si>
    <t>Teresa Salinas</t>
  </si>
  <si>
    <t>tyler64@holloway.com</t>
  </si>
  <si>
    <t>(251)014-3461</t>
  </si>
  <si>
    <t>8024 Yolanda Course, Lake Christopher, FL 51965</t>
  </si>
  <si>
    <t>Taylor LLC</t>
  </si>
  <si>
    <t>1998-10-25</t>
  </si>
  <si>
    <t>Kelly Martinez</t>
  </si>
  <si>
    <t>jeffrey22@yahoo.com</t>
  </si>
  <si>
    <t>408-210-0147</t>
  </si>
  <si>
    <t>850 Clinton Grove Apt. 504, South James, LA 96663</t>
  </si>
  <si>
    <t>Osborn-Sullivan</t>
  </si>
  <si>
    <t>1999-01-12</t>
  </si>
  <si>
    <t>2020-01-06</t>
  </si>
  <si>
    <t>Ryan Kelly</t>
  </si>
  <si>
    <t>velazquezrhonda@benton.com</t>
  </si>
  <si>
    <t>351-060-9950x405</t>
  </si>
  <si>
    <t>24405 Matthew Islands Apt. 190, Lake Meredithmouth, NC 50436</t>
  </si>
  <si>
    <t>Gray Inc</t>
  </si>
  <si>
    <t>1963-11-28</t>
  </si>
  <si>
    <t>2019-05-26</t>
  </si>
  <si>
    <t>Terri Davidson</t>
  </si>
  <si>
    <t>angela21@hotmail.com</t>
  </si>
  <si>
    <t>054-454-9762x518</t>
  </si>
  <si>
    <t>04209 Mitchell Mall, Thomasshire, AK 37520</t>
  </si>
  <si>
    <t>Cabrera-Tran</t>
  </si>
  <si>
    <t>2025-06-17</t>
  </si>
  <si>
    <t>Michael Moody</t>
  </si>
  <si>
    <t>daviselaine@hotmail.com</t>
  </si>
  <si>
    <t>(098)972-4139</t>
  </si>
  <si>
    <t>64080 Barnes Village, Josephmouth, IL 21293</t>
  </si>
  <si>
    <t>Hanson, Goodwin and Barnes</t>
  </si>
  <si>
    <t>1984-10-01</t>
  </si>
  <si>
    <t>2024-02-04</t>
  </si>
  <si>
    <t>Jared Cox</t>
  </si>
  <si>
    <t>smithwilliam@barnes.org</t>
  </si>
  <si>
    <t>+1-045-557-1534x7746</t>
  </si>
  <si>
    <t>6335 King Place Suite 947, New Katie, MA 03046</t>
  </si>
  <si>
    <t>Social worker</t>
  </si>
  <si>
    <t>Ruiz, Jones and Kane</t>
  </si>
  <si>
    <t>1997-11-30</t>
  </si>
  <si>
    <t>2022-05-09</t>
  </si>
  <si>
    <t>Angel Thomas</t>
  </si>
  <si>
    <t>nataliemorgan@hotmail.com</t>
  </si>
  <si>
    <t>024.484.4156x095</t>
  </si>
  <si>
    <t>3479 Ashley Center, Campbellborough, DE 85472</t>
  </si>
  <si>
    <t>1967-06-02</t>
  </si>
  <si>
    <t>2022-07-09</t>
  </si>
  <si>
    <t>Julie Johns</t>
  </si>
  <si>
    <t>amy98@hotmail.com</t>
  </si>
  <si>
    <t>157.949.9943</t>
  </si>
  <si>
    <t>7628 Wilson Villages Suite 953, Michellebury, HI 57035</t>
  </si>
  <si>
    <t>Fernandez-Johnson</t>
  </si>
  <si>
    <t>1996-03-20</t>
  </si>
  <si>
    <t>Samuel Benson</t>
  </si>
  <si>
    <t>stephenwatkins@gmail.com</t>
  </si>
  <si>
    <t>+1-314-474-4834x85385</t>
  </si>
  <si>
    <t>5056 Patricia Springs Apt. 416, West Gregoryhaven, TN 66319</t>
  </si>
  <si>
    <t>Oconnor-Clark</t>
  </si>
  <si>
    <t>frederickjoy@hotmail.com</t>
  </si>
  <si>
    <t>479-528-6822</t>
  </si>
  <si>
    <t>37549 Miranda Unions Apt. 231, Lake Paul, OH 09785</t>
  </si>
  <si>
    <t>Thompson-Hernandez</t>
  </si>
  <si>
    <t>1991-12-03</t>
  </si>
  <si>
    <t>2017-08-09</t>
  </si>
  <si>
    <t>Brian Marquez</t>
  </si>
  <si>
    <t>william65@bennett.com</t>
  </si>
  <si>
    <t>+1-801-941-7545</t>
  </si>
  <si>
    <t>21199 Joshua Forest Suite 664, Mollyport, VA 72158</t>
  </si>
  <si>
    <t>Garner-Gray</t>
  </si>
  <si>
    <t>1996-02-18</t>
  </si>
  <si>
    <t>Michael Lang</t>
  </si>
  <si>
    <t>elizabethduncan@gmail.com</t>
  </si>
  <si>
    <t>+1-472-045-8103x3373</t>
  </si>
  <si>
    <t>559 Stephen Viaduct Apt. 760, New David, WY 25188</t>
  </si>
  <si>
    <t>Mercado PLC</t>
  </si>
  <si>
    <t>1979-07-05</t>
  </si>
  <si>
    <t>2020-04-18</t>
  </si>
  <si>
    <t>Alexandria Barrett</t>
  </si>
  <si>
    <t>shill@hotmail.com</t>
  </si>
  <si>
    <t>001-884-493-4612x53201</t>
  </si>
  <si>
    <t>USNV Stevens, FPO AE 96759</t>
  </si>
  <si>
    <t>Ramos, Vazquez and Sloan</t>
  </si>
  <si>
    <t>1971-07-12</t>
  </si>
  <si>
    <t>Michael Newman</t>
  </si>
  <si>
    <t>dbooker@thomas.com</t>
  </si>
  <si>
    <t>594.485.2869</t>
  </si>
  <si>
    <t>Unit 6791 Box 6865, DPO AP 26415</t>
  </si>
  <si>
    <t>Hardin, Lopez and Parker</t>
  </si>
  <si>
    <t>1989-04-01</t>
  </si>
  <si>
    <t>Tony Lucas</t>
  </si>
  <si>
    <t>atkinsonedward@yahoo.com</t>
  </si>
  <si>
    <t>+1-146-913-4020x4506</t>
  </si>
  <si>
    <t>77569 Theresa Forks Suite 067, Bowmanstad, NV 02236</t>
  </si>
  <si>
    <t>Mcmillan PLC</t>
  </si>
  <si>
    <t>1971-10-11</t>
  </si>
  <si>
    <t>2023-02-28</t>
  </si>
  <si>
    <t>Debra Graham</t>
  </si>
  <si>
    <t>jessicawood@yahoo.com</t>
  </si>
  <si>
    <t>2743117285</t>
  </si>
  <si>
    <t>667 Ortiz Rest Apt. 321, Lopezland, OR 61578</t>
  </si>
  <si>
    <t>Melton, Elliott and Lopez</t>
  </si>
  <si>
    <t>1990-05-27</t>
  </si>
  <si>
    <t>Stephen Powell</t>
  </si>
  <si>
    <t>boydjon@gibson.com</t>
  </si>
  <si>
    <t>+1-390-653-3267x76047</t>
  </si>
  <si>
    <t>50519 John Village Apt. 485, Port Joseph, NC 34119</t>
  </si>
  <si>
    <t>Allen-Scott</t>
  </si>
  <si>
    <t>1983-12-26</t>
  </si>
  <si>
    <t>2023-08-07</t>
  </si>
  <si>
    <t>Ethan May</t>
  </si>
  <si>
    <t>brian94@gmail.com</t>
  </si>
  <si>
    <t>(314)491-1142x06574</t>
  </si>
  <si>
    <t>5450 Elizabeth Stream Apt. 601, Port Julie, ME 01540</t>
  </si>
  <si>
    <t>Mitchell Group</t>
  </si>
  <si>
    <t>1986-11-09</t>
  </si>
  <si>
    <t>2015-10-13</t>
  </si>
  <si>
    <t>Andrea Jones</t>
  </si>
  <si>
    <t>maloneangel@cooper.biz</t>
  </si>
  <si>
    <t>865.543.1354x6586</t>
  </si>
  <si>
    <t>555 Fisher Wells, North Jeanette, NJ 36045</t>
  </si>
  <si>
    <t>Patel PLC</t>
  </si>
  <si>
    <t>1964-06-28</t>
  </si>
  <si>
    <t>Mr. George Clarke</t>
  </si>
  <si>
    <t>markwilson@vega.com</t>
  </si>
  <si>
    <t>0169927525</t>
  </si>
  <si>
    <t>4159 Roger Bypass Suite 309, Micheletown, CT 18235</t>
  </si>
  <si>
    <t>Daugherty-Villa</t>
  </si>
  <si>
    <t>1992-08-19</t>
  </si>
  <si>
    <t>susan56@yahoo.com</t>
  </si>
  <si>
    <t>585-556-0332</t>
  </si>
  <si>
    <t>9846 Lisa Mountain, New Joshuaview, OH 70784</t>
  </si>
  <si>
    <t>Steven Walsh</t>
  </si>
  <si>
    <t>tanyascott@santiago.info</t>
  </si>
  <si>
    <t>1769414980</t>
  </si>
  <si>
    <t>34218 Goodwin Avenue Apt. 826, Garciaton, VT 14313</t>
  </si>
  <si>
    <t>Bell, Reyes and Harrison</t>
  </si>
  <si>
    <t>1965-03-11</t>
  </si>
  <si>
    <t>2016-09-20</t>
  </si>
  <si>
    <t>Maria Johnson</t>
  </si>
  <si>
    <t>srobertson@vasquez.com</t>
  </si>
  <si>
    <t>+1-539-085-6028x070</t>
  </si>
  <si>
    <t>679 Spence Circle Suite 445, Reynoldsmouth, MD 73983</t>
  </si>
  <si>
    <t>Floyd Group</t>
  </si>
  <si>
    <t>2001-01-27</t>
  </si>
  <si>
    <t>Barbara Bowman</t>
  </si>
  <si>
    <t>melanie87@neal.com</t>
  </si>
  <si>
    <t>(791)978-2901</t>
  </si>
  <si>
    <t>785 Matthew Land, Laurenton, TX 25759</t>
  </si>
  <si>
    <t>Jones Group</t>
  </si>
  <si>
    <t>1977-08-19</t>
  </si>
  <si>
    <t>James Gallagher</t>
  </si>
  <si>
    <t>knichols@gmail.com</t>
  </si>
  <si>
    <t>550-702-3503</t>
  </si>
  <si>
    <t>72076 Dominguez Mews Apt. 288, South Reginastad, MA 49066</t>
  </si>
  <si>
    <t>Lynch, Scott and Morris</t>
  </si>
  <si>
    <t>1967-11-18</t>
  </si>
  <si>
    <t>2016-06-30</t>
  </si>
  <si>
    <t>Anthony Mercer</t>
  </si>
  <si>
    <t>tiffanycunningham@matthews-woodward.com</t>
  </si>
  <si>
    <t>0953685908</t>
  </si>
  <si>
    <t>01575 Duran Mission, Olivermouth, WV 35104</t>
  </si>
  <si>
    <t>Rodriguez, Snyder and Anderson</t>
  </si>
  <si>
    <t>2005-08-11</t>
  </si>
  <si>
    <t>2015-07-14</t>
  </si>
  <si>
    <t>Michael Wood</t>
  </si>
  <si>
    <t>terrybaldwin@anderson.com</t>
  </si>
  <si>
    <t>(456)414-0143x45247</t>
  </si>
  <si>
    <t>0011 Jessica Port Suite 086, Brendaburgh, AK 99766</t>
  </si>
  <si>
    <t>Harris Ltd</t>
  </si>
  <si>
    <t>1983-06-04</t>
  </si>
  <si>
    <t>Jason Mason</t>
  </si>
  <si>
    <t>mnixon@gmail.com</t>
  </si>
  <si>
    <t>514.835.4175</t>
  </si>
  <si>
    <t>7211 John Club, Port Sarah, GA 13699</t>
  </si>
  <si>
    <t>Morgan-Copeland</t>
  </si>
  <si>
    <t>1978-08-07</t>
  </si>
  <si>
    <t>Alisha Gibson</t>
  </si>
  <si>
    <t>tblevins@hotmail.com</t>
  </si>
  <si>
    <t>+1-036-286-7457</t>
  </si>
  <si>
    <t>7711 Dixon Village Apt. 546, West Josephville, WV 95118</t>
  </si>
  <si>
    <t>Sampson-Mills</t>
  </si>
  <si>
    <t>2002-02-03</t>
  </si>
  <si>
    <t>2020-11-08</t>
  </si>
  <si>
    <t>Elizabeth Terrell</t>
  </si>
  <si>
    <t>churchjohn@hotmail.com</t>
  </si>
  <si>
    <t>892-373-2755x8320</t>
  </si>
  <si>
    <t>567 Mcdaniel Ports Suite 783, West Michael, MA 44395</t>
  </si>
  <si>
    <t>Harrell Group</t>
  </si>
  <si>
    <t>1960-10-22</t>
  </si>
  <si>
    <t>Tony Berry</t>
  </si>
  <si>
    <t>fwu@gmail.com</t>
  </si>
  <si>
    <t>638.436.7585x53552</t>
  </si>
  <si>
    <t>8253 Cole Underpass Suite 476, Port Courtney, WI 63725</t>
  </si>
  <si>
    <t>Allen-Kemp</t>
  </si>
  <si>
    <t>2022-05-18</t>
  </si>
  <si>
    <t>Samuel Stevens</t>
  </si>
  <si>
    <t>steven56@price.com</t>
  </si>
  <si>
    <t>(986)613-3589x04543</t>
  </si>
  <si>
    <t>84705 Moore Centers Apt. 006, New Brent, CA 91685</t>
  </si>
  <si>
    <t>Mcdonald-Adams</t>
  </si>
  <si>
    <t>1996-08-05</t>
  </si>
  <si>
    <t>2018-06-09</t>
  </si>
  <si>
    <t>Robert Graves</t>
  </si>
  <si>
    <t>pjackson@livingston-duncan.com</t>
  </si>
  <si>
    <t>835.441.9874</t>
  </si>
  <si>
    <t>71436 Vicki Locks Apt. 230, Seanfort, ID 81784</t>
  </si>
  <si>
    <t>Floyd, Clark and Malone</t>
  </si>
  <si>
    <t>1996-11-01</t>
  </si>
  <si>
    <t>2021-08-13</t>
  </si>
  <si>
    <t>Christine Price</t>
  </si>
  <si>
    <t>millersandra@gmail.com</t>
  </si>
  <si>
    <t>(359)735-6332</t>
  </si>
  <si>
    <t>625 Katherine Harbor Apt. 331, Perezborough, MD 41609</t>
  </si>
  <si>
    <t>Rogers, King and Hardin</t>
  </si>
  <si>
    <t>2001-12-06</t>
  </si>
  <si>
    <t>Alexis Hicks</t>
  </si>
  <si>
    <t>stephanie47@hotmail.com</t>
  </si>
  <si>
    <t>803.161.4803x560</t>
  </si>
  <si>
    <t>0073 Cristina Path, Port Ericmouth, PA 35208</t>
  </si>
  <si>
    <t>Butler-Shea</t>
  </si>
  <si>
    <t>1998-09-08</t>
  </si>
  <si>
    <t>2020-08-02</t>
  </si>
  <si>
    <t>Dwayne Hurley</t>
  </si>
  <si>
    <t>sarah88@yahoo.com</t>
  </si>
  <si>
    <t>001-010-488-8034x74062</t>
  </si>
  <si>
    <t>117 Lisa Island Suite 507, South Jasonhaven, PA 50614</t>
  </si>
  <si>
    <t>Brown, Williamson and Walker</t>
  </si>
  <si>
    <t>1976-05-18</t>
  </si>
  <si>
    <t>Kyle Jones</t>
  </si>
  <si>
    <t>buckleyelizabeth@yahoo.com</t>
  </si>
  <si>
    <t>+1-324-836-8632x432</t>
  </si>
  <si>
    <t>4446 Jack Roads Apt. 931, Robertchester, CT 13284</t>
  </si>
  <si>
    <t>Gonzales, Middleton and Cook</t>
  </si>
  <si>
    <t>2005-01-31</t>
  </si>
  <si>
    <t>jameshoover@perez-white.com</t>
  </si>
  <si>
    <t>(509)035-0740x46167</t>
  </si>
  <si>
    <t>3177 Amanda Village Suite 471, Lake Jessicaview, GA 28424</t>
  </si>
  <si>
    <t>Mills-Carter</t>
  </si>
  <si>
    <t>1995-06-27</t>
  </si>
  <si>
    <t>2024-02-10</t>
  </si>
  <si>
    <t>Douglas Mcpherson</t>
  </si>
  <si>
    <t>caldwellbrian@carlson-faulkner.com</t>
  </si>
  <si>
    <t>622.453.7438x8103</t>
  </si>
  <si>
    <t>44448 Thomas Rue, Conniehaven, TX 63542</t>
  </si>
  <si>
    <t>Johnson, Kramer and Duffy</t>
  </si>
  <si>
    <t>2007-04-23</t>
  </si>
  <si>
    <t>Kevin Davies</t>
  </si>
  <si>
    <t>andrea08@gmail.com</t>
  </si>
  <si>
    <t>539.956.3936x71964</t>
  </si>
  <si>
    <t>4568 Williams Pines Suite 952, New Barbaraton, PA 58218</t>
  </si>
  <si>
    <t>Sampson-Carpenter</t>
  </si>
  <si>
    <t>1984-01-17</t>
  </si>
  <si>
    <t>Yesenia Burns</t>
  </si>
  <si>
    <t>bryan12@robinson.org</t>
  </si>
  <si>
    <t>9358206527</t>
  </si>
  <si>
    <t>3654 Courtney Corner, West Timothy, RI 96944</t>
  </si>
  <si>
    <t>Nichols-Robbins</t>
  </si>
  <si>
    <t>1981-03-15</t>
  </si>
  <si>
    <t>Sarah Avery</t>
  </si>
  <si>
    <t>gshelton@yahoo.com</t>
  </si>
  <si>
    <t>001-748-506-8106x47458</t>
  </si>
  <si>
    <t>PSC 2459, Box 6569, APO AA 22689</t>
  </si>
  <si>
    <t>1969-03-06</t>
  </si>
  <si>
    <t>Michael Macias</t>
  </si>
  <si>
    <t>ukelley@griffith.org</t>
  </si>
  <si>
    <t>676.967.2878x436</t>
  </si>
  <si>
    <t>498 Marquez Run Apt. 430, West Alexandra, SD 09339</t>
  </si>
  <si>
    <t>Hoffman Inc</t>
  </si>
  <si>
    <t>1968-07-19</t>
  </si>
  <si>
    <t>2020-12-01</t>
  </si>
  <si>
    <t>Bobby Walker</t>
  </si>
  <si>
    <t>enguyen@gmail.com</t>
  </si>
  <si>
    <t>001-910-275-7785x489</t>
  </si>
  <si>
    <t>03489 Vazquez Dale, Lake Melissafurt, NJ 26430</t>
  </si>
  <si>
    <t>1981-10-07</t>
  </si>
  <si>
    <t>2024-05-20</t>
  </si>
  <si>
    <t>Jason Mitchell</t>
  </si>
  <si>
    <t>sean88@hotmail.com</t>
  </si>
  <si>
    <t>657-107-9623x13343</t>
  </si>
  <si>
    <t>459 Pham Isle, Hendersonshire, VT 96251</t>
  </si>
  <si>
    <t>1960-06-16</t>
  </si>
  <si>
    <t>Lisa Hall</t>
  </si>
  <si>
    <t>hammondalbert@gmail.com</t>
  </si>
  <si>
    <t>001-517-588-3995x09134</t>
  </si>
  <si>
    <t>3412 Dunlap Groves, Randallshire, FL 36627</t>
  </si>
  <si>
    <t>Wong-Jackson</t>
  </si>
  <si>
    <t>1976-09-27</t>
  </si>
  <si>
    <t>2020-02-25</t>
  </si>
  <si>
    <t>Dakota Hutchinson</t>
  </si>
  <si>
    <t>erincook@chapman.net</t>
  </si>
  <si>
    <t>+1-355-632-1081x1341</t>
  </si>
  <si>
    <t>4067 Turner Inlet, New Lindsay, DE 86390</t>
  </si>
  <si>
    <t>Stewart, Scott and Caldwell</t>
  </si>
  <si>
    <t>1978-11-27</t>
  </si>
  <si>
    <t>Kevin Curtis</t>
  </si>
  <si>
    <t>wilsonashley@gomez-wood.com</t>
  </si>
  <si>
    <t>+1-705-370-3138</t>
  </si>
  <si>
    <t>84330 Carter Stream, Richardmouth, TX 98188</t>
  </si>
  <si>
    <t>1978-10-18</t>
  </si>
  <si>
    <t>2017-01-22</t>
  </si>
  <si>
    <t>Gregory Harris</t>
  </si>
  <si>
    <t>gabrielle58@hotmail.com</t>
  </si>
  <si>
    <t>(832)289-4096</t>
  </si>
  <si>
    <t>34208 Koch Tunnel, South Lauren, CT 38861</t>
  </si>
  <si>
    <t>Bradford, Shaw and Johnson</t>
  </si>
  <si>
    <t>2019-09-26</t>
  </si>
  <si>
    <t>Whitney York</t>
  </si>
  <si>
    <t>hernandezbriana@jones-russell.com</t>
  </si>
  <si>
    <t>053-149-7231</t>
  </si>
  <si>
    <t>8179 Jeremiah Camp, Nicholasstad, NM 27935</t>
  </si>
  <si>
    <t>Hayes-Knight</t>
  </si>
  <si>
    <t>1992-11-25</t>
  </si>
  <si>
    <t>Barbara Mooney</t>
  </si>
  <si>
    <t>qmoore@gmail.com</t>
  </si>
  <si>
    <t>934-656-3374x8391</t>
  </si>
  <si>
    <t>74683 Lopez Route, Raventown, WI 29757</t>
  </si>
  <si>
    <t>Dominguez-Wilson</t>
  </si>
  <si>
    <t>1973-07-05</t>
  </si>
  <si>
    <t>2023-05-15</t>
  </si>
  <si>
    <t>Robert Harris</t>
  </si>
  <si>
    <t>jamie98@hotmail.com</t>
  </si>
  <si>
    <t>+1-576-856-7006</t>
  </si>
  <si>
    <t>USCGC Wallace, FPO AE 17252</t>
  </si>
  <si>
    <t>Pena-Johnson</t>
  </si>
  <si>
    <t>1961-09-16</t>
  </si>
  <si>
    <t>2019-04-18</t>
  </si>
  <si>
    <t>Steven Perez</t>
  </si>
  <si>
    <t>taylorrodney@torres-alvarez.com</t>
  </si>
  <si>
    <t>(985)122-5762</t>
  </si>
  <si>
    <t>83346 Parrish Rue Suite 409, South Andrewberg, DE 62766</t>
  </si>
  <si>
    <t>Mitchell, Hicks and Jones</t>
  </si>
  <si>
    <t>1979-10-02</t>
  </si>
  <si>
    <t>Russell Bridges</t>
  </si>
  <si>
    <t>harrismichael@gmail.com</t>
  </si>
  <si>
    <t>4501858018</t>
  </si>
  <si>
    <t>035 Timothy Rapids, Carterside, FL 85433</t>
  </si>
  <si>
    <t>Harris, Harper and Roy</t>
  </si>
  <si>
    <t>1993-03-31</t>
  </si>
  <si>
    <t>2018-08-28</t>
  </si>
  <si>
    <t>Haley Smith</t>
  </si>
  <si>
    <t>diana01@lucero-johnson.info</t>
  </si>
  <si>
    <t>(490)356-7853</t>
  </si>
  <si>
    <t>571 John Unions Apt. 024, Christopherfurt, FL 06480</t>
  </si>
  <si>
    <t>Brooks-Taylor</t>
  </si>
  <si>
    <t>1962-02-20</t>
  </si>
  <si>
    <t>2017-09-20</t>
  </si>
  <si>
    <t>Maria Morgan</t>
  </si>
  <si>
    <t>suzanne72@luna-cabrera.com</t>
  </si>
  <si>
    <t>001-875-241-7708</t>
  </si>
  <si>
    <t>PSC 2473, Box 8469, APO AP 26648</t>
  </si>
  <si>
    <t>Mills Group</t>
  </si>
  <si>
    <t>1966-01-12</t>
  </si>
  <si>
    <t>Christina Thomas</t>
  </si>
  <si>
    <t>sanchezstephen@hotmail.com</t>
  </si>
  <si>
    <t>764.331.3633</t>
  </si>
  <si>
    <t>07031 Andres Heights Suite 792, East Robert, SD 56479</t>
  </si>
  <si>
    <t>Willis-Lopez</t>
  </si>
  <si>
    <t>1960-06-26</t>
  </si>
  <si>
    <t>Alexander Williams</t>
  </si>
  <si>
    <t>jeremy23@hotmail.com</t>
  </si>
  <si>
    <t>506.677.2051</t>
  </si>
  <si>
    <t>15856 Trevor Extensions Apt. 354, Ronaldtown, ME 44163</t>
  </si>
  <si>
    <t>Gardner-Gutierrez</t>
  </si>
  <si>
    <t>1976-11-21</t>
  </si>
  <si>
    <t>Lisa Griffin</t>
  </si>
  <si>
    <t>garrettsullivan@yahoo.com</t>
  </si>
  <si>
    <t>(663)682-4936x476</t>
  </si>
  <si>
    <t>113 Christine Squares Suite 719, South Rebecca, NJ 05429</t>
  </si>
  <si>
    <t>Dean-Rose</t>
  </si>
  <si>
    <t>1993-09-28</t>
  </si>
  <si>
    <t>Patricia Schneider</t>
  </si>
  <si>
    <t>crystalsmith@dalton-wilson.org</t>
  </si>
  <si>
    <t>9153758548</t>
  </si>
  <si>
    <t>95466 Bryan Cape, Waltersfurt, AK 92421</t>
  </si>
  <si>
    <t>Davis, Schmidt and Jackson</t>
  </si>
  <si>
    <t>1974-01-08</t>
  </si>
  <si>
    <t>Matthew Kirk</t>
  </si>
  <si>
    <t>swillis@allen.info</t>
  </si>
  <si>
    <t>919-053-7951x53390</t>
  </si>
  <si>
    <t>09005 Stephanie Coves, West Calvin, TN 68351</t>
  </si>
  <si>
    <t>Mccarty-Parker</t>
  </si>
  <si>
    <t>1974-09-28</t>
  </si>
  <si>
    <t>Ashley Torres</t>
  </si>
  <si>
    <t>diazcarlos@zamora.com</t>
  </si>
  <si>
    <t>526.461.5858</t>
  </si>
  <si>
    <t>776 Vega Haven Apt. 147, New Catherine, IA 28428</t>
  </si>
  <si>
    <t>Walker-Jones</t>
  </si>
  <si>
    <t>2019-01-05</t>
  </si>
  <si>
    <t>Mark Brown</t>
  </si>
  <si>
    <t>paul93@johnson-silva.com</t>
  </si>
  <si>
    <t>799-668-6881</t>
  </si>
  <si>
    <t>363 Ann Mountain Apt. 462, Lake Christopherburgh, OH 36881</t>
  </si>
  <si>
    <t>Martin-Newman</t>
  </si>
  <si>
    <t>1965-10-01</t>
  </si>
  <si>
    <t>2017-06-21</t>
  </si>
  <si>
    <t>Joshua Dunn</t>
  </si>
  <si>
    <t>chad37@barton.info</t>
  </si>
  <si>
    <t>001-803-539-4972x7446</t>
  </si>
  <si>
    <t>PSC 5860, Box 1414, APO AA 81772</t>
  </si>
  <si>
    <t>Watson Ltd</t>
  </si>
  <si>
    <t>1988-09-24</t>
  </si>
  <si>
    <t>2025-04-07</t>
  </si>
  <si>
    <t>Jennifer Castillo</t>
  </si>
  <si>
    <t>greenronald@alexander.com</t>
  </si>
  <si>
    <t>335.653.6192x63859</t>
  </si>
  <si>
    <t>0187 Alexander Glen Apt. 609, Port Jenniferland, IN 37018</t>
  </si>
  <si>
    <t>Andrade Inc</t>
  </si>
  <si>
    <t>1993-12-22</t>
  </si>
  <si>
    <t>Kenneth Green</t>
  </si>
  <si>
    <t>maryhernandez@williams.info</t>
  </si>
  <si>
    <t>8652150174</t>
  </si>
  <si>
    <t>8087 Raymond Street, New Joann, NM 26961</t>
  </si>
  <si>
    <t>Gomez, Howard and Anderson</t>
  </si>
  <si>
    <t>1987-09-09</t>
  </si>
  <si>
    <t>jennifer66@wilson.com</t>
  </si>
  <si>
    <t>+1-232-555-1336</t>
  </si>
  <si>
    <t>761 Elizabeth Ville Suite 048, Mcculloughchester, KS 31959</t>
  </si>
  <si>
    <t>Mercado-Weiss</t>
  </si>
  <si>
    <t>1984-03-24</t>
  </si>
  <si>
    <t>2017-05-07</t>
  </si>
  <si>
    <t>Maria Pittman</t>
  </si>
  <si>
    <t>tstewart@yahoo.com</t>
  </si>
  <si>
    <t>616.742.6779</t>
  </si>
  <si>
    <t>08911 Lisa Islands, Matthewton, DC 94651</t>
  </si>
  <si>
    <t>Durham and Sons</t>
  </si>
  <si>
    <t>2003-03-10</t>
  </si>
  <si>
    <t>Michelle Potts</t>
  </si>
  <si>
    <t>johnhubbard@mendoza.biz</t>
  </si>
  <si>
    <t>+1-163-804-8065x81298</t>
  </si>
  <si>
    <t>77503 Boyle Lights Suite 211, East Gregoryfort, NY 27396</t>
  </si>
  <si>
    <t>Howe, Stewart and Thomas</t>
  </si>
  <si>
    <t>1996-07-04</t>
  </si>
  <si>
    <t>Linda Vega</t>
  </si>
  <si>
    <t>angelastewart@yahoo.com</t>
  </si>
  <si>
    <t>(026)693-5645x75151</t>
  </si>
  <si>
    <t>1073 Alvarez Neck, Eugeneburgh, CT 43506</t>
  </si>
  <si>
    <t>1991-01-27</t>
  </si>
  <si>
    <t>2024-11-24</t>
  </si>
  <si>
    <t>Jasmine Woods</t>
  </si>
  <si>
    <t>jessica88@hodges.info</t>
  </si>
  <si>
    <t>5443153649</t>
  </si>
  <si>
    <t>810 Rose Islands Apt. 031, South Melaniechester, IA 83397</t>
  </si>
  <si>
    <t>Frost PLC</t>
  </si>
  <si>
    <t>1982-04-01</t>
  </si>
  <si>
    <t>Paul Gonzalez</t>
  </si>
  <si>
    <t>johnthompson@bailey.com</t>
  </si>
  <si>
    <t>001-105-285-1597x62014</t>
  </si>
  <si>
    <t>97848 George Junctions Apt. 031, New Jerry, CT 11983</t>
  </si>
  <si>
    <t>Cisneros, Richards and Davis</t>
  </si>
  <si>
    <t>1993-03-11</t>
  </si>
  <si>
    <t>David Allen</t>
  </si>
  <si>
    <t>tylersharp@hotmail.com</t>
  </si>
  <si>
    <t>+1-757-043-6597x712</t>
  </si>
  <si>
    <t>8437 Bates Crossing, Lake Natalie, ME 52833</t>
  </si>
  <si>
    <t>Lowe-Gibson</t>
  </si>
  <si>
    <t>2001-07-28</t>
  </si>
  <si>
    <t>2016-11-26</t>
  </si>
  <si>
    <t>John Cantrell</t>
  </si>
  <si>
    <t>browndalton@williams.com</t>
  </si>
  <si>
    <t>318.656.7805</t>
  </si>
  <si>
    <t>456 Rachel Forges, South Williamhaven, IA 36329</t>
  </si>
  <si>
    <t>Tran and Sons</t>
  </si>
  <si>
    <t>1973-09-05</t>
  </si>
  <si>
    <t>Sharon Santos</t>
  </si>
  <si>
    <t>rogerslatoya@brown.com</t>
  </si>
  <si>
    <t>+1-554-580-1554</t>
  </si>
  <si>
    <t>3427 Miller Mountains, West Kellyshire, CO 51708</t>
  </si>
  <si>
    <t>William Rollins</t>
  </si>
  <si>
    <t>pmoore@barnes.com</t>
  </si>
  <si>
    <t>(337)926-6869x3911</t>
  </si>
  <si>
    <t>78912 Jeffery Trafficway Apt. 539, Emilyview, IN 27893</t>
  </si>
  <si>
    <t>Humphrey and Sons</t>
  </si>
  <si>
    <t>1999-02-11</t>
  </si>
  <si>
    <t>Kimberly Yu</t>
  </si>
  <si>
    <t>nathancalderon@hotmail.com</t>
  </si>
  <si>
    <t>508-301-0837x61625</t>
  </si>
  <si>
    <t>406 Bell Gardens Suite 078, Jacksonfort, NY 86348</t>
  </si>
  <si>
    <t>1998-02-04</t>
  </si>
  <si>
    <t>2015-12-29</t>
  </si>
  <si>
    <t>Daniel Porter</t>
  </si>
  <si>
    <t>david93@yahoo.com</t>
  </si>
  <si>
    <t>522-026-6711</t>
  </si>
  <si>
    <t>56551 Soto Street, Whiteborough, NJ 58965</t>
  </si>
  <si>
    <t>Shannon Ltd</t>
  </si>
  <si>
    <t>1977-05-08</t>
  </si>
  <si>
    <t>2020-06-01</t>
  </si>
  <si>
    <t>Kimberly Allen</t>
  </si>
  <si>
    <t>matthewtorres@hotmail.com</t>
  </si>
  <si>
    <t>+1-799-990-5372x1244</t>
  </si>
  <si>
    <t>094 Brown Flats Apt. 646, West Jason, NV 56025</t>
  </si>
  <si>
    <t>Nguyen Ltd</t>
  </si>
  <si>
    <t>1977-10-29</t>
  </si>
  <si>
    <t>Brandy Rodriguez</t>
  </si>
  <si>
    <t>stephen13@chapman.com</t>
  </si>
  <si>
    <t>669.562.7110</t>
  </si>
  <si>
    <t>8405 Johnson Drive Suite 515, South Christopher, MS 96074</t>
  </si>
  <si>
    <t>Burton, Harris and Miller</t>
  </si>
  <si>
    <t>1997-08-04</t>
  </si>
  <si>
    <t>2023-07-20</t>
  </si>
  <si>
    <t>Jacob Carter</t>
  </si>
  <si>
    <t>dramirez@yahoo.com</t>
  </si>
  <si>
    <t>545.997.2193x0058</t>
  </si>
  <si>
    <t>USNS Cooley, FPO AA 26394</t>
  </si>
  <si>
    <t>Malone-Duran</t>
  </si>
  <si>
    <t>1995-04-14</t>
  </si>
  <si>
    <t>2017-04-06</t>
  </si>
  <si>
    <t>Terry Rubio</t>
  </si>
  <si>
    <t>timothy09@conway-smith.com</t>
  </si>
  <si>
    <t>7788794200</t>
  </si>
  <si>
    <t>72765 Miller Drives, Samanthaton, KS 34034</t>
  </si>
  <si>
    <t>Gardner, Potter and Edwards</t>
  </si>
  <si>
    <t>1985-03-01</t>
  </si>
  <si>
    <t>Charles Robinson</t>
  </si>
  <si>
    <t>warrenjason@valdez.com</t>
  </si>
  <si>
    <t>119.044.9862x221</t>
  </si>
  <si>
    <t>8055 Page Brook, Fordland, NE 84727</t>
  </si>
  <si>
    <t>Woods and Sons</t>
  </si>
  <si>
    <t>2006-02-22</t>
  </si>
  <si>
    <t>William Morris</t>
  </si>
  <si>
    <t>dodom@gmail.com</t>
  </si>
  <si>
    <t>(802)756-6422x2658</t>
  </si>
  <si>
    <t>465 Crystal Mountains Apt. 273, Samanthaborough, MA 35939</t>
  </si>
  <si>
    <t>Lopez PLC</t>
  </si>
  <si>
    <t>1968-04-10</t>
  </si>
  <si>
    <t>Gregory Hickman</t>
  </si>
  <si>
    <t>hernandezheather@miles.org</t>
  </si>
  <si>
    <t>226.993.8173x71173</t>
  </si>
  <si>
    <t>802 William Cliffs, East Deborahside, SD 76725</t>
  </si>
  <si>
    <t>Kenneth Ingram</t>
  </si>
  <si>
    <t>sean81@yahoo.com</t>
  </si>
  <si>
    <t>151-801-7944</t>
  </si>
  <si>
    <t>Unit 5218 Box 8132, DPO AP 59670</t>
  </si>
  <si>
    <t>Cohen, Patton and Martin</t>
  </si>
  <si>
    <t>1981-12-29</t>
  </si>
  <si>
    <t>2017-01-21</t>
  </si>
  <si>
    <t>Henry Torres Md</t>
  </si>
  <si>
    <t>wrodgers@hotmail.com</t>
  </si>
  <si>
    <t>(831)682-3512</t>
  </si>
  <si>
    <t>889 Kevin Stream Apt. 840, North John, MT 89402</t>
  </si>
  <si>
    <t>1984-03-20</t>
  </si>
  <si>
    <t>Bethany Cisneros</t>
  </si>
  <si>
    <t>marymason@rocha-jordan.com</t>
  </si>
  <si>
    <t>001-568-348-0477</t>
  </si>
  <si>
    <t>3538 Curtis Crescent Apt. 716, Moralesfurt, SC 10861</t>
  </si>
  <si>
    <t>Combs and Sons</t>
  </si>
  <si>
    <t>Amanda Little</t>
  </si>
  <si>
    <t>dmontes@yahoo.com</t>
  </si>
  <si>
    <t>4431684025</t>
  </si>
  <si>
    <t>0773 Boyd Ridge, South Chad, NV 90258</t>
  </si>
  <si>
    <t>Leonard-Fleming</t>
  </si>
  <si>
    <t>1982-03-02</t>
  </si>
  <si>
    <t>2022-03-06</t>
  </si>
  <si>
    <t>Bryan French</t>
  </si>
  <si>
    <t>gonzalezstacy@gmail.com</t>
  </si>
  <si>
    <t>001-946-056-6376x11950</t>
  </si>
  <si>
    <t>83296 House Path Apt. 564, Gutierreztown, AK 08707</t>
  </si>
  <si>
    <t>Carter, Pugh and Foley</t>
  </si>
  <si>
    <t>2000-09-19</t>
  </si>
  <si>
    <t>2020-10-25</t>
  </si>
  <si>
    <t>Jordan Campbell</t>
  </si>
  <si>
    <t>gcook@martinez.com</t>
  </si>
  <si>
    <t>(952)977-1155x388</t>
  </si>
  <si>
    <t>0097 Palmer Garden Apt. 431, Crystalmouth, VA 54536</t>
  </si>
  <si>
    <t>Ryan Group</t>
  </si>
  <si>
    <t>1990-04-10</t>
  </si>
  <si>
    <t>Nancy Munoz</t>
  </si>
  <si>
    <t>ajacobs@yahoo.com</t>
  </si>
  <si>
    <t>3663074419</t>
  </si>
  <si>
    <t>6896 Kerry Lane Suite 656, Port Kristen, PA 82197</t>
  </si>
  <si>
    <t>1981-04-18</t>
  </si>
  <si>
    <t>Stephen Villarreal</t>
  </si>
  <si>
    <t>joneslisa@young.com</t>
  </si>
  <si>
    <t>581.951.0379x49622</t>
  </si>
  <si>
    <t>6318 Eddie Bypass Apt. 736, Nicholasport, OR 07268</t>
  </si>
  <si>
    <t>Becker, Wagner and Coleman</t>
  </si>
  <si>
    <t>1979-03-28</t>
  </si>
  <si>
    <t>2018-03-10</t>
  </si>
  <si>
    <t>Jamie Day</t>
  </si>
  <si>
    <t>michele85@yahoo.com</t>
  </si>
  <si>
    <t>+1-279-976-2578x791</t>
  </si>
  <si>
    <t>2055 Green Rue, Kimberlychester, NV 86581</t>
  </si>
  <si>
    <t>Dawson-Yang</t>
  </si>
  <si>
    <t>1980-05-11</t>
  </si>
  <si>
    <t>Robert Schmidt</t>
  </si>
  <si>
    <t>tinachambers@peters.com</t>
  </si>
  <si>
    <t>001-457-551-3405x613</t>
  </si>
  <si>
    <t>2037 Kathy Forks, Lake Melissa, KY 97824</t>
  </si>
  <si>
    <t>Sanford Ltd</t>
  </si>
  <si>
    <t>2006-03-07</t>
  </si>
  <si>
    <t>2021-09-22</t>
  </si>
  <si>
    <t>Mrs. Amanda Krause</t>
  </si>
  <si>
    <t>lauriemcclure@gmail.com</t>
  </si>
  <si>
    <t>427-897-9961x96026</t>
  </si>
  <si>
    <t>5342 Virginia Estate Suite 575, Lake Roberttown, OR 41217</t>
  </si>
  <si>
    <t>Weber-Wilson</t>
  </si>
  <si>
    <t>1961-05-19</t>
  </si>
  <si>
    <t>2017-05-16</t>
  </si>
  <si>
    <t>Lucas Mckinney</t>
  </si>
  <si>
    <t>jford@cruz.biz</t>
  </si>
  <si>
    <t>529-953-6288</t>
  </si>
  <si>
    <t>1836 Sandy Burg, Meganchester, HI 16987</t>
  </si>
  <si>
    <t>Werner-Barrett</t>
  </si>
  <si>
    <t>1997-12-21</t>
  </si>
  <si>
    <t>2022-09-23</t>
  </si>
  <si>
    <t>Nicholas Farley</t>
  </si>
  <si>
    <t>christopherflores@webster.org</t>
  </si>
  <si>
    <t>848-491-1166x024</t>
  </si>
  <si>
    <t>900 Bishop Manors, West Jesse, NE 21127</t>
  </si>
  <si>
    <t>Coleman, Perkins and Lopez</t>
  </si>
  <si>
    <t>1987-12-01</t>
  </si>
  <si>
    <t>2020-10-31</t>
  </si>
  <si>
    <t>Lisa Silva</t>
  </si>
  <si>
    <t>christinebarker@villegas.com</t>
  </si>
  <si>
    <t>(030)504-8347x236</t>
  </si>
  <si>
    <t>02689 Theresa Island, Latoyafort, CA 85433</t>
  </si>
  <si>
    <t>Keller Ltd</t>
  </si>
  <si>
    <t>2004-07-07</t>
  </si>
  <si>
    <t>2022-08-31</t>
  </si>
  <si>
    <t>Sarah Hill</t>
  </si>
  <si>
    <t>mblack@long-lewis.com</t>
  </si>
  <si>
    <t>016.244.6350</t>
  </si>
  <si>
    <t>9607 Shannon Club, North Benjamin, NV 13199</t>
  </si>
  <si>
    <t>Taylor Inc</t>
  </si>
  <si>
    <t>1982-06-07</t>
  </si>
  <si>
    <t>William Crosby</t>
  </si>
  <si>
    <t>maria98@frazier.biz</t>
  </si>
  <si>
    <t>2217459190</t>
  </si>
  <si>
    <t>16408 Rivera Garden Apt. 401, Wallaceborough, IL 93813</t>
  </si>
  <si>
    <t>Flowers Ltd</t>
  </si>
  <si>
    <t>1998-04-10</t>
  </si>
  <si>
    <t>Mrs. Patricia Schmidt</t>
  </si>
  <si>
    <t>clarkseth@cole-nguyen.com</t>
  </si>
  <si>
    <t>(214)825-3991</t>
  </si>
  <si>
    <t>36499 Patricia Row Suite 573, Kevinfort, MT 86000</t>
  </si>
  <si>
    <t>Green-Wheeler</t>
  </si>
  <si>
    <t>1971-03-22</t>
  </si>
  <si>
    <t>Sydney Garcia Md</t>
  </si>
  <si>
    <t>patrick74@walker-yates.info</t>
  </si>
  <si>
    <t>+1-442-794-4056x549</t>
  </si>
  <si>
    <t>6325 Stokes Mill Apt. 349, North Paul, KS 42031</t>
  </si>
  <si>
    <t>Ortiz Group</t>
  </si>
  <si>
    <t>2017-12-28</t>
  </si>
  <si>
    <t>David Sanders</t>
  </si>
  <si>
    <t>qwilliams@evans-burns.info</t>
  </si>
  <si>
    <t>(460)964-4278x70622</t>
  </si>
  <si>
    <t>894 Adrian Divide, East Heather, MO 78903</t>
  </si>
  <si>
    <t>Ferguson, Banks and Salazar</t>
  </si>
  <si>
    <t>1986-09-05</t>
  </si>
  <si>
    <t>Joe Ramirez</t>
  </si>
  <si>
    <t>cdavis@ramirez-taylor.com</t>
  </si>
  <si>
    <t>2113132954</t>
  </si>
  <si>
    <t>PSC 8784, Box 4638, APO AA 28153</t>
  </si>
  <si>
    <t>Miles, Smith and Reed</t>
  </si>
  <si>
    <t>2003-04-17</t>
  </si>
  <si>
    <t>2023-05-07</t>
  </si>
  <si>
    <t>Andrea Carrillo Dds</t>
  </si>
  <si>
    <t>jill75@miller.com</t>
  </si>
  <si>
    <t>2220112895</t>
  </si>
  <si>
    <t>2474 Ramirez Crescent, Jamieburgh, UT 23475</t>
  </si>
  <si>
    <t>Olsen Ltd</t>
  </si>
  <si>
    <t>2006-05-15</t>
  </si>
  <si>
    <t>Jacob Smith</t>
  </si>
  <si>
    <t>kathleenthomas@mercado.com</t>
  </si>
  <si>
    <t>1845483133</t>
  </si>
  <si>
    <t>PSC 1509, Box 0044, APO AE 88029</t>
  </si>
  <si>
    <t>Crawford, Ramos and Nunez</t>
  </si>
  <si>
    <t>1960-08-28</t>
  </si>
  <si>
    <t>Leslie Douglas</t>
  </si>
  <si>
    <t>nashmatthew@gilbert-lee.com</t>
  </si>
  <si>
    <t>001-678-232-3427x533</t>
  </si>
  <si>
    <t>550 Williams Alley Suite 544, New Stephanieview, MT 71421</t>
  </si>
  <si>
    <t>Harrington-Harris</t>
  </si>
  <si>
    <t>1965-06-25</t>
  </si>
  <si>
    <t>Ashley Fletcher</t>
  </si>
  <si>
    <t>cameron21@randall-rodriguez.com</t>
  </si>
  <si>
    <t>875.599.5331x31968</t>
  </si>
  <si>
    <t>92826 Krystal Camp Suite 868, Lake Davidville, CA 18634</t>
  </si>
  <si>
    <t>Mitchell, Patel and Ryan</t>
  </si>
  <si>
    <t>1963-07-23</t>
  </si>
  <si>
    <t>2024-11-16</t>
  </si>
  <si>
    <t>Alison Spencer</t>
  </si>
  <si>
    <t>samuel13@gmail.com</t>
  </si>
  <si>
    <t>(885)228-1371x982</t>
  </si>
  <si>
    <t>89798 David Grove, Herrerahaven, MI 15107</t>
  </si>
  <si>
    <t>Martin-Rodriguez</t>
  </si>
  <si>
    <t>1985-09-22</t>
  </si>
  <si>
    <t>2022-12-19</t>
  </si>
  <si>
    <t>Charles Howell</t>
  </si>
  <si>
    <t>kevin74@young.com</t>
  </si>
  <si>
    <t>4049300685</t>
  </si>
  <si>
    <t>225 Flores Via, Carlsonside, ID 00793</t>
  </si>
  <si>
    <t>Lindsey, Mayo and Bender</t>
  </si>
  <si>
    <t>1967-02-03</t>
  </si>
  <si>
    <t>2021-12-21</t>
  </si>
  <si>
    <t>Kathryn Fox</t>
  </si>
  <si>
    <t>scotthorn@gmail.com</t>
  </si>
  <si>
    <t>693.481.4126</t>
  </si>
  <si>
    <t>Unit 7577 Box 6646, DPO AE 64709</t>
  </si>
  <si>
    <t>Dunn, Foley and Turner</t>
  </si>
  <si>
    <t>1972-12-06</t>
  </si>
  <si>
    <t>Glenn Cox</t>
  </si>
  <si>
    <t>kelsey41@gmail.com</t>
  </si>
  <si>
    <t>001-920-369-5892x2575</t>
  </si>
  <si>
    <t>90997 Elizabeth Vista, North Ericfort, WA 87831</t>
  </si>
  <si>
    <t>Oneill, Padilla and Thompson</t>
  </si>
  <si>
    <t>1989-01-09</t>
  </si>
  <si>
    <t>2022-06-26</t>
  </si>
  <si>
    <t>Clayton Foster</t>
  </si>
  <si>
    <t>jeffreygarcia@guerrero-everett.com</t>
  </si>
  <si>
    <t>+1-554-647-5009x42210</t>
  </si>
  <si>
    <t>339 Kelly Rapids Suite 188, South Caitlynburgh, LA 88825</t>
  </si>
  <si>
    <t>Cardenas Inc</t>
  </si>
  <si>
    <t>1983-04-06</t>
  </si>
  <si>
    <t>Sandra Davis</t>
  </si>
  <si>
    <t>william89@yoder.biz</t>
  </si>
  <si>
    <t>5797987982</t>
  </si>
  <si>
    <t>09290 Monique Shoals, Scottstad, RI 14989</t>
  </si>
  <si>
    <t>1961-01-19</t>
  </si>
  <si>
    <t>Christopher Griffith</t>
  </si>
  <si>
    <t>wrighttraci@hotmail.com</t>
  </si>
  <si>
    <t>+1-694-195-0837</t>
  </si>
  <si>
    <t>2684 Guerra Lake Suite 334, Port Veronica, WV 20050</t>
  </si>
  <si>
    <t>Robinson-Sutton</t>
  </si>
  <si>
    <t>1979-02-03</t>
  </si>
  <si>
    <t>Connie Long</t>
  </si>
  <si>
    <t>tholmes@yahoo.com</t>
  </si>
  <si>
    <t>+1-578-781-3005x922</t>
  </si>
  <si>
    <t>7659 Jeff Bypass Apt. 263, East Lindsaychester, WV 64533</t>
  </si>
  <si>
    <t>Graham, Davis and Sims</t>
  </si>
  <si>
    <t>2024-09-30</t>
  </si>
  <si>
    <t>Shannon Green</t>
  </si>
  <si>
    <t>vclarke@campbell.net</t>
  </si>
  <si>
    <t>705-078-1630x302</t>
  </si>
  <si>
    <t>97236 Miller Meadow, East Melissamouth, VA 74902</t>
  </si>
  <si>
    <t>Hamilton-Hester</t>
  </si>
  <si>
    <t>1969-03-24</t>
  </si>
  <si>
    <t>2020-05-04</t>
  </si>
  <si>
    <t>James May</t>
  </si>
  <si>
    <t>nancyrogers@miller-bryan.com</t>
  </si>
  <si>
    <t>587.777.5569</t>
  </si>
  <si>
    <t>8030 Amy Mews, Francesmouth, NC 34475</t>
  </si>
  <si>
    <t>Stafford, Rodriguez and Patton</t>
  </si>
  <si>
    <t>1960-11-07</t>
  </si>
  <si>
    <t>Monique Smith</t>
  </si>
  <si>
    <t>michellehenderson@abbott.com</t>
  </si>
  <si>
    <t>070.865.9354</t>
  </si>
  <si>
    <t>15327 Austin Haven Suite 680, New Destiny, OR 64423</t>
  </si>
  <si>
    <t>Cox, Harrison and Vaughan</t>
  </si>
  <si>
    <t>1985-06-14</t>
  </si>
  <si>
    <t>Robert Thompson</t>
  </si>
  <si>
    <t>nsmith@pitts-munoz.net</t>
  </si>
  <si>
    <t>111.762.1765</t>
  </si>
  <si>
    <t>8181 Jimenez Land Suite 827, East Kennethland, CT 69673</t>
  </si>
  <si>
    <t>Mccoy, Wilson and Kirby</t>
  </si>
  <si>
    <t>1983-05-13</t>
  </si>
  <si>
    <t>Randy Gutierrez</t>
  </si>
  <si>
    <t>ggonzalez@schneider.com</t>
  </si>
  <si>
    <t>(489)563-2968x98106</t>
  </si>
  <si>
    <t>11826 Andrew Loop, Port Kellystad, MS 75484</t>
  </si>
  <si>
    <t>Williams Ltd</t>
  </si>
  <si>
    <t>1988-03-20</t>
  </si>
  <si>
    <t>2020-07-07</t>
  </si>
  <si>
    <t>James Hernandez</t>
  </si>
  <si>
    <t>ynichols@davis.com</t>
  </si>
  <si>
    <t>889-973-6894</t>
  </si>
  <si>
    <t>8077 Cole Lodge, South Melissa, MS 18785</t>
  </si>
  <si>
    <t>Shelton Group</t>
  </si>
  <si>
    <t>1978-11-05</t>
  </si>
  <si>
    <t>nicholas61@macias.com</t>
  </si>
  <si>
    <t>794.574.5354x55299</t>
  </si>
  <si>
    <t>530 Brianna Ways Apt. 031, New Heidi, ND 97870</t>
  </si>
  <si>
    <t>1987-05-28</t>
  </si>
  <si>
    <t>2019-11-01</t>
  </si>
  <si>
    <t>Kristine Delgado</t>
  </si>
  <si>
    <t>kleinrebecca@yang-reed.info</t>
  </si>
  <si>
    <t>570-827-7583</t>
  </si>
  <si>
    <t>Unit 1490 Box 6766, DPO AA 37414</t>
  </si>
  <si>
    <t>1961-05-15</t>
  </si>
  <si>
    <t>Craig Patterson</t>
  </si>
  <si>
    <t>wrighterik@lyons.info</t>
  </si>
  <si>
    <t>5184532025</t>
  </si>
  <si>
    <t>USNV Alvarado, FPO AP 30869</t>
  </si>
  <si>
    <t>Pham-Smith</t>
  </si>
  <si>
    <t>1977-10-22</t>
  </si>
  <si>
    <t>Marie Jennings</t>
  </si>
  <si>
    <t>bnewton@gmail.com</t>
  </si>
  <si>
    <t>001-166-071-5150x015</t>
  </si>
  <si>
    <t>Unit 3343 Box 6097, DPO AE 59455</t>
  </si>
  <si>
    <t>Mack, Ortega and Johnson</t>
  </si>
  <si>
    <t>1998-01-30</t>
  </si>
  <si>
    <t>2017-12-20</t>
  </si>
  <si>
    <t>Derek Rodriguez</t>
  </si>
  <si>
    <t>ronaldhaas@hotmail.com</t>
  </si>
  <si>
    <t>433.519.4152x8391</t>
  </si>
  <si>
    <t>361 John Harbor Apt. 084, Samanthaberg, SC 94499</t>
  </si>
  <si>
    <t>Fuller Inc</t>
  </si>
  <si>
    <t>1964-07-04</t>
  </si>
  <si>
    <t>2024-12-08</t>
  </si>
  <si>
    <t>Deborah Ruiz</t>
  </si>
  <si>
    <t>lisamckenzie@lewis.com</t>
  </si>
  <si>
    <t>379.087.8926x6718</t>
  </si>
  <si>
    <t>43288 Brown Cliffs, Spencermouth, ID 29487</t>
  </si>
  <si>
    <t>Kennedy-Washington</t>
  </si>
  <si>
    <t>2019-12-27</t>
  </si>
  <si>
    <t>Dr. Peter Callahan</t>
  </si>
  <si>
    <t>emoreno@hotmail.com</t>
  </si>
  <si>
    <t>(558)335-0019x40073</t>
  </si>
  <si>
    <t>25776 Murphy Wells, Schwartzland, NE 20378</t>
  </si>
  <si>
    <t>Andrews, Green and Burns</t>
  </si>
  <si>
    <t>1970-01-06</t>
  </si>
  <si>
    <t>Erin Oneal</t>
  </si>
  <si>
    <t>darren06@torres.com</t>
  </si>
  <si>
    <t>+1-490-968-5679x25171</t>
  </si>
  <si>
    <t>7535 Kimberly Lakes Apt. 175, Port Matthew, ID 33533</t>
  </si>
  <si>
    <t>Peterson-Blair</t>
  </si>
  <si>
    <t>2018-02-17</t>
  </si>
  <si>
    <t>Shannon Medina</t>
  </si>
  <si>
    <t>fraziercassandra@cunningham.com</t>
  </si>
  <si>
    <t>001-247-775-1966x9919</t>
  </si>
  <si>
    <t>415 Berry Throughway, New Nicolemouth, ME 16316</t>
  </si>
  <si>
    <t>Vega, Rodgers and Smith</t>
  </si>
  <si>
    <t>2004-11-05</t>
  </si>
  <si>
    <t>2018-06-10</t>
  </si>
  <si>
    <t>Amber Salas</t>
  </si>
  <si>
    <t>nancy27@hotmail.com</t>
  </si>
  <si>
    <t>664.880.3737</t>
  </si>
  <si>
    <t>2094 Randy Village, Johnstonhaven, SD 18528</t>
  </si>
  <si>
    <t>Reid-Williams</t>
  </si>
  <si>
    <t>2020-11-30</t>
  </si>
  <si>
    <t>Jeffrey Walker</t>
  </si>
  <si>
    <t>theresacameron@love-montgomery.com</t>
  </si>
  <si>
    <t>+1-002-636-6734x3409</t>
  </si>
  <si>
    <t>54666 Reynolds Avenue, Karenland, VA 61178</t>
  </si>
  <si>
    <t>1974-12-19</t>
  </si>
  <si>
    <t>2020-01-08</t>
  </si>
  <si>
    <t>Michele Morrison</t>
  </si>
  <si>
    <t>dstewart@medina.net</t>
  </si>
  <si>
    <t>+1-428-015-8798</t>
  </si>
  <si>
    <t>28774 Samuel Grove Suite 034, Lindseyfurt, UT 43662</t>
  </si>
  <si>
    <t>Miller LLC</t>
  </si>
  <si>
    <t>1965-10-03</t>
  </si>
  <si>
    <t>Henry Pruitt</t>
  </si>
  <si>
    <t>loripratt@williams.com</t>
  </si>
  <si>
    <t>(845)725-5611x71688</t>
  </si>
  <si>
    <t>5400 Butler Forge Suite 326, Lake Timothy, MO 33957</t>
  </si>
  <si>
    <t>Freeman-Mitchell</t>
  </si>
  <si>
    <t>Sheryl Hawkins</t>
  </si>
  <si>
    <t>dberry@king.com</t>
  </si>
  <si>
    <t>786.071.5686x4472</t>
  </si>
  <si>
    <t>68608 Cruz Island Suite 962, Pruittland, WV 15012</t>
  </si>
  <si>
    <t>Fernandez-Rodriguez</t>
  </si>
  <si>
    <t>1998-04-15</t>
  </si>
  <si>
    <t>Mary Hart</t>
  </si>
  <si>
    <t>llawrence@sherman-scott.com</t>
  </si>
  <si>
    <t>+1-864-280-4709x10922</t>
  </si>
  <si>
    <t>4582 Miranda Island Suite 544, Garciafurt, NY 96541</t>
  </si>
  <si>
    <t>Simon-Espinoza</t>
  </si>
  <si>
    <t>1995-06-23</t>
  </si>
  <si>
    <t>2023-10-18</t>
  </si>
  <si>
    <t>Sarah Acosta</t>
  </si>
  <si>
    <t>william21@carr-clarke.org</t>
  </si>
  <si>
    <t>678-457-2429x1762</t>
  </si>
  <si>
    <t>45929 Garcia Plains Apt. 123, Larsenshire, IN 25948</t>
  </si>
  <si>
    <t>1979-01-12</t>
  </si>
  <si>
    <t>2018-12-29</t>
  </si>
  <si>
    <t>Peter Rangel</t>
  </si>
  <si>
    <t>marissamiller@mcclain.com</t>
  </si>
  <si>
    <t>620-341-8061</t>
  </si>
  <si>
    <t>57075 Jones Drive Apt. 712, Onealburgh, WI 22607</t>
  </si>
  <si>
    <t>1988-12-24</t>
  </si>
  <si>
    <t>Amy Rodriguez</t>
  </si>
  <si>
    <t>vrobles@hotmail.com</t>
  </si>
  <si>
    <t>(263)723-3524x4743</t>
  </si>
  <si>
    <t>6062 Lynch Turnpike, Port Michaelmouth, AZ 32312</t>
  </si>
  <si>
    <t>Johnston Inc</t>
  </si>
  <si>
    <t>1993-02-11</t>
  </si>
  <si>
    <t>Jon Cook</t>
  </si>
  <si>
    <t>traceybradford@robinson.com</t>
  </si>
  <si>
    <t>099.896.2097x76340</t>
  </si>
  <si>
    <t>9790 Church Vista, Port Faith, ND 69616</t>
  </si>
  <si>
    <t>Chandler-Stark</t>
  </si>
  <si>
    <t>1978-03-14</t>
  </si>
  <si>
    <t>2019-03-08</t>
  </si>
  <si>
    <t>Michael Robinson</t>
  </si>
  <si>
    <t>joshua64@gmail.com</t>
  </si>
  <si>
    <t>+1-469-696-6414x269</t>
  </si>
  <si>
    <t>USNS Brown, FPO AA 45157</t>
  </si>
  <si>
    <t>Robinson, Watkins and Williams</t>
  </si>
  <si>
    <t>1981-08-30</t>
  </si>
  <si>
    <t>2024-04-03</t>
  </si>
  <si>
    <t>Karen Wiley</t>
  </si>
  <si>
    <t>victor56@chen.com</t>
  </si>
  <si>
    <t>001-276-3974</t>
  </si>
  <si>
    <t>83635 Scott Bridge Suite 565, Stanleychester, KY 48257</t>
  </si>
  <si>
    <t>Petty LLC</t>
  </si>
  <si>
    <t>1963-10-14</t>
  </si>
  <si>
    <t>2019-08-29</t>
  </si>
  <si>
    <t>William Hernandez</t>
  </si>
  <si>
    <t>lopezjoseph@nguyen.com</t>
  </si>
  <si>
    <t>001-118-833-9143</t>
  </si>
  <si>
    <t>356 Mendoza Track, West Aprilport, WY 40029</t>
  </si>
  <si>
    <t>1973-04-24</t>
  </si>
  <si>
    <t>2015-10-03</t>
  </si>
  <si>
    <t>Taylor Collins</t>
  </si>
  <si>
    <t>basssean@hotmail.com</t>
  </si>
  <si>
    <t>270.429.3677x19390</t>
  </si>
  <si>
    <t>492 Williams Stravenue Suite 468, Montgomeryview, RI 04644</t>
  </si>
  <si>
    <t>Dudley-Moore</t>
  </si>
  <si>
    <t>1968-07-27</t>
  </si>
  <si>
    <t>2025-05-29</t>
  </si>
  <si>
    <t>Donna West</t>
  </si>
  <si>
    <t>keyjoel@hotmail.com</t>
  </si>
  <si>
    <t>+1-609-848-1480x21671</t>
  </si>
  <si>
    <t>389 Adrian Keys Apt. 140, East Paul, ME 03943</t>
  </si>
  <si>
    <t>Graves-Thompson</t>
  </si>
  <si>
    <t>2020-06-26</t>
  </si>
  <si>
    <t>Lisa Wallace</t>
  </si>
  <si>
    <t>oliviamoran@roman.info</t>
  </si>
  <si>
    <t>(190)824-0124</t>
  </si>
  <si>
    <t>1948 Jordan Extension Suite 406, Donaldfurt, IL 98077</t>
  </si>
  <si>
    <t>Dawson-Edwards</t>
  </si>
  <si>
    <t>1970-12-01</t>
  </si>
  <si>
    <t>Brandi Taylor</t>
  </si>
  <si>
    <t>samuelbriggs@gmail.com</t>
  </si>
  <si>
    <t>(879)052-9291x4507</t>
  </si>
  <si>
    <t>303 Fox Lock, Port Williamville, NV 74807</t>
  </si>
  <si>
    <t>Ray, Mccoy and Stokes</t>
  </si>
  <si>
    <t>1986-09-15</t>
  </si>
  <si>
    <t>2019-03-12</t>
  </si>
  <si>
    <t>Joshua Morris</t>
  </si>
  <si>
    <t>christina13@stewart.com</t>
  </si>
  <si>
    <t>569.509.9198x72510</t>
  </si>
  <si>
    <t>05327 Jordan Parks, Lake Traceyville, OR 77141</t>
  </si>
  <si>
    <t>Bradshaw PLC</t>
  </si>
  <si>
    <t>1968-08-19</t>
  </si>
  <si>
    <t>2024-08-02</t>
  </si>
  <si>
    <t>Joshua Brewer</t>
  </si>
  <si>
    <t>douglaspeter@keller-hunt.com</t>
  </si>
  <si>
    <t>822.688.2497x4530</t>
  </si>
  <si>
    <t>6850 Walker Lakes, Howardview, SD 49059</t>
  </si>
  <si>
    <t>Young, Nguyen and Flores</t>
  </si>
  <si>
    <t>1993-12-07</t>
  </si>
  <si>
    <t>James Lee</t>
  </si>
  <si>
    <t>travishanson@hotmail.com</t>
  </si>
  <si>
    <t>7426967301</t>
  </si>
  <si>
    <t>60296 Mora Knoll, Scottborough, VA 31161</t>
  </si>
  <si>
    <t>Turner and Sons</t>
  </si>
  <si>
    <t>2000-02-29</t>
  </si>
  <si>
    <t>Lonnie Stanley</t>
  </si>
  <si>
    <t>alicewagner@hotmail.com</t>
  </si>
  <si>
    <t>(590)050-5400x232</t>
  </si>
  <si>
    <t>227 Weaver Gateway Apt. 764, West Adam, RI 25225</t>
  </si>
  <si>
    <t>White and Sons</t>
  </si>
  <si>
    <t>2006-01-24</t>
  </si>
  <si>
    <t>2020-09-27</t>
  </si>
  <si>
    <t>Erica Austin</t>
  </si>
  <si>
    <t>emilydoyle@allen.info</t>
  </si>
  <si>
    <t>117-687-7805x07351</t>
  </si>
  <si>
    <t>11363 Corey Light, East Kylefurt, ND 14752</t>
  </si>
  <si>
    <t>1970-05-07</t>
  </si>
  <si>
    <t>Blake Williams</t>
  </si>
  <si>
    <t>wrightshari@hotmail.com</t>
  </si>
  <si>
    <t>(604)518-8381</t>
  </si>
  <si>
    <t>7342 Henderson Turnpike Suite 126, Port Tammyfort, TX 24418</t>
  </si>
  <si>
    <t>Ramsey LLC</t>
  </si>
  <si>
    <t>1980-01-22</t>
  </si>
  <si>
    <t>2021-06-21</t>
  </si>
  <si>
    <t>Jason Horn</t>
  </si>
  <si>
    <t>rodriguezmatthew@pope.com</t>
  </si>
  <si>
    <t>(059)375-4292x081</t>
  </si>
  <si>
    <t>8799 Elizabeth Shores Apt. 465, New Savannah, MO 89958</t>
  </si>
  <si>
    <t>Fischer, Bailey and Nguyen</t>
  </si>
  <si>
    <t>1992-05-13</t>
  </si>
  <si>
    <t>Jodi Adams</t>
  </si>
  <si>
    <t>maryorozco@fischer-green.net</t>
  </si>
  <si>
    <t>(567)085-4126x81064</t>
  </si>
  <si>
    <t>Unit 3101 Box 5586, DPO AP 76797</t>
  </si>
  <si>
    <t>Kaufman, Cain and Hanson</t>
  </si>
  <si>
    <t>1995-03-27</t>
  </si>
  <si>
    <t>2018-03-18</t>
  </si>
  <si>
    <t>Kyle Hamilton</t>
  </si>
  <si>
    <t>garciajoel@sanchez.com</t>
  </si>
  <si>
    <t>416.706.0234x94398</t>
  </si>
  <si>
    <t>75752 James Pines, West Crystal, CO 08613</t>
  </si>
  <si>
    <t>Smith, Nichols and Francis</t>
  </si>
  <si>
    <t>1965-01-11</t>
  </si>
  <si>
    <t>2021-05-12</t>
  </si>
  <si>
    <t>Shannon Hayes</t>
  </si>
  <si>
    <t>williamsrandy@gmail.com</t>
  </si>
  <si>
    <t>484-221-1400x3518</t>
  </si>
  <si>
    <t>PSC 8299, Box 9522, APO AA 42075</t>
  </si>
  <si>
    <t>Gardner-Chavez</t>
  </si>
  <si>
    <t>1984-10-23</t>
  </si>
  <si>
    <t>Caroline Chapman</t>
  </si>
  <si>
    <t>williamsheidi@yahoo.com</t>
  </si>
  <si>
    <t>291.616.7199</t>
  </si>
  <si>
    <t>13442 Russell Lights, Mcculloughmouth, GA 66191</t>
  </si>
  <si>
    <t>Jacob Williams</t>
  </si>
  <si>
    <t>treilly@hunter-watson.com</t>
  </si>
  <si>
    <t>+1-679-485-5171x388</t>
  </si>
  <si>
    <t>91664 Amber Light Suite 828, New Jason, TX 85390</t>
  </si>
  <si>
    <t>Case-Little</t>
  </si>
  <si>
    <t>1995-01-09</t>
  </si>
  <si>
    <t>2018-08-14</t>
  </si>
  <si>
    <t>Beth Taylor</t>
  </si>
  <si>
    <t>anthony66@tran.org</t>
  </si>
  <si>
    <t>(782)411-7926</t>
  </si>
  <si>
    <t>5103 Kara Track, Sarahstad, NM 42424</t>
  </si>
  <si>
    <t>Jackson-Abbott</t>
  </si>
  <si>
    <t>1962-05-21</t>
  </si>
  <si>
    <t>2019-09-23</t>
  </si>
  <si>
    <t>Wayne Johnson</t>
  </si>
  <si>
    <t>alan68@bolton-boyd.biz</t>
  </si>
  <si>
    <t>(572)733-8577x442</t>
  </si>
  <si>
    <t>20760 Mackenzie Crossing Suite 898, Portermouth, NY 94809</t>
  </si>
  <si>
    <t>Allen, Howe and Ryan</t>
  </si>
  <si>
    <t>2002-04-26</t>
  </si>
  <si>
    <t>Randall Carr</t>
  </si>
  <si>
    <t>enguyen@watkins.com</t>
  </si>
  <si>
    <t>1266711349</t>
  </si>
  <si>
    <t>611 Ariana Bypass Suite 190, Michaelside, AL 53201</t>
  </si>
  <si>
    <t>Torres-Kelly</t>
  </si>
  <si>
    <t>1995-05-02</t>
  </si>
  <si>
    <t>2017-12-26</t>
  </si>
  <si>
    <t>geoffreyhall@hotmail.com</t>
  </si>
  <si>
    <t>593-080-4541x572</t>
  </si>
  <si>
    <t>45402 Gregory Cove Suite 898, Frazierport, OK 81846</t>
  </si>
  <si>
    <t>Allen-White</t>
  </si>
  <si>
    <t>1978-09-11</t>
  </si>
  <si>
    <t>rogerscody@martinez-rice.com</t>
  </si>
  <si>
    <t>+1-352-207-5184x9015</t>
  </si>
  <si>
    <t>686 Glenn Motorway, Bakerberg, WV 05544</t>
  </si>
  <si>
    <t>Rogers Group</t>
  </si>
  <si>
    <t>Patrick Harmon</t>
  </si>
  <si>
    <t>bbates@gmail.com</t>
  </si>
  <si>
    <t>+1-789-052-9179x40032</t>
  </si>
  <si>
    <t>996 Tran Burgs, South Brenda, DE 07298</t>
  </si>
  <si>
    <t>Willis Ltd</t>
  </si>
  <si>
    <t>2018-02-08</t>
  </si>
  <si>
    <t>Steven Davies</t>
  </si>
  <si>
    <t>sevans@gmail.com</t>
  </si>
  <si>
    <t>693.695.2678</t>
  </si>
  <si>
    <t>2634 Angela Plains Suite 553, Yolandaville, ID 44206</t>
  </si>
  <si>
    <t>Jackson, Mcdonald and King</t>
  </si>
  <si>
    <t>1976-06-21</t>
  </si>
  <si>
    <t>Brett Larson</t>
  </si>
  <si>
    <t>zwalker@ball-harvey.org</t>
  </si>
  <si>
    <t>(090)145-7263x23942</t>
  </si>
  <si>
    <t>PSC 5477, Box 3376, APO AA 44030</t>
  </si>
  <si>
    <t>Martinez PLC</t>
  </si>
  <si>
    <t>1999-03-17</t>
  </si>
  <si>
    <t>2019-02-05</t>
  </si>
  <si>
    <t>Leah Brown</t>
  </si>
  <si>
    <t>roberta99@hotmail.com</t>
  </si>
  <si>
    <t>212.131.6943x11405</t>
  </si>
  <si>
    <t>800 Kathleen Knoll Apt. 840, Littlemouth, TN 29261</t>
  </si>
  <si>
    <t>White-Sullivan</t>
  </si>
  <si>
    <t>1968-10-09</t>
  </si>
  <si>
    <t>2020-11-18</t>
  </si>
  <si>
    <t>Justin Glenn</t>
  </si>
  <si>
    <t>dmullen@lopez.com</t>
  </si>
  <si>
    <t>001-316-780-0317</t>
  </si>
  <si>
    <t>5676 Richard Shore, Poolefurt, DE 18782</t>
  </si>
  <si>
    <t>Scott, Porter and Robinson</t>
  </si>
  <si>
    <t>1982-06-02</t>
  </si>
  <si>
    <t>2019-03-24</t>
  </si>
  <si>
    <t>morrispatrick@adams.com</t>
  </si>
  <si>
    <t>001-452-942-0552</t>
  </si>
  <si>
    <t>36333 Thompson Turnpike, East Andrea, AK 45551</t>
  </si>
  <si>
    <t>Arroyo Group</t>
  </si>
  <si>
    <t>2006-10-18</t>
  </si>
  <si>
    <t>2023-06-01</t>
  </si>
  <si>
    <t>Christian Carlson</t>
  </si>
  <si>
    <t>dbuck@yahoo.com</t>
  </si>
  <si>
    <t>982-842-7689x58744</t>
  </si>
  <si>
    <t>357 Lindsey Shore, North Coleshire, GA 57552</t>
  </si>
  <si>
    <t>Holland and Sons</t>
  </si>
  <si>
    <t>1988-07-27</t>
  </si>
  <si>
    <t>Gary Howard</t>
  </si>
  <si>
    <t>kelly43@nunez.com</t>
  </si>
  <si>
    <t>028-223-1627x66537</t>
  </si>
  <si>
    <t>253 Hill Crescent Suite 828, East Christopher, NY 99170</t>
  </si>
  <si>
    <t>Jacobs-Stout</t>
  </si>
  <si>
    <t>2005-09-02</t>
  </si>
  <si>
    <t>2017-03-01</t>
  </si>
  <si>
    <t>Taylor Mcdaniel</t>
  </si>
  <si>
    <t>jennifersimpson@martin.org</t>
  </si>
  <si>
    <t>+1-239-469-4758x125</t>
  </si>
  <si>
    <t>52732 Vargas Fork, Scottside, AK 83517</t>
  </si>
  <si>
    <t>1978-12-18</t>
  </si>
  <si>
    <t>2024-10-07</t>
  </si>
  <si>
    <t>Derek Davenport</t>
  </si>
  <si>
    <t>ystrickland@gmail.com</t>
  </si>
  <si>
    <t>749.279.4312x412</t>
  </si>
  <si>
    <t>57716 Sparks Rapid Suite 342, Adkinsstad, LA 90469</t>
  </si>
  <si>
    <t>1975-06-25</t>
  </si>
  <si>
    <t>Mark Alvarez</t>
  </si>
  <si>
    <t>murphybrittany@yahoo.com</t>
  </si>
  <si>
    <t>740-004-2237</t>
  </si>
  <si>
    <t>825 Lauren Inlet, East Jordan, IN 47660</t>
  </si>
  <si>
    <t>Kathleen Morgan</t>
  </si>
  <si>
    <t>kevin47@olsen.net</t>
  </si>
  <si>
    <t>536.568.7770x455</t>
  </si>
  <si>
    <t>18947 Brad Bridge Suite 139, Wilsonland, IN 82158</t>
  </si>
  <si>
    <t>Mcgrath LLC</t>
  </si>
  <si>
    <t>1972-01-30</t>
  </si>
  <si>
    <t>2019-06-09</t>
  </si>
  <si>
    <t>Katie Flores</t>
  </si>
  <si>
    <t>helen90@morris.com</t>
  </si>
  <si>
    <t>975-776-1211x668</t>
  </si>
  <si>
    <t>44981 Rios Stravenue, North Williamstad, NY 80048</t>
  </si>
  <si>
    <t>Anderson-Luna</t>
  </si>
  <si>
    <t>2000-05-03</t>
  </si>
  <si>
    <t>2020-04-05</t>
  </si>
  <si>
    <t>Joseph Flores Md</t>
  </si>
  <si>
    <t>jbaker@yahoo.com</t>
  </si>
  <si>
    <t>129-148-0588x591</t>
  </si>
  <si>
    <t>9942 Matthew Turnpike Suite 037, North Michaelchester, TN 99115</t>
  </si>
  <si>
    <t>Green-Macdonald</t>
  </si>
  <si>
    <t>1984-04-26</t>
  </si>
  <si>
    <t>2018-11-09</t>
  </si>
  <si>
    <t>Jordan Thornton</t>
  </si>
  <si>
    <t>sgriffin@gmail.com</t>
  </si>
  <si>
    <t>+1-485-805-3736x0068</t>
  </si>
  <si>
    <t>7870 Tyler Plains Apt. 082, Shawberg, NC 10731</t>
  </si>
  <si>
    <t>Fisher PLC</t>
  </si>
  <si>
    <t>1983-09-13</t>
  </si>
  <si>
    <t>2024-09-12</t>
  </si>
  <si>
    <t>Jason Stewart</t>
  </si>
  <si>
    <t>eriggs@hotmail.com</t>
  </si>
  <si>
    <t>+1-227-286-3075x201</t>
  </si>
  <si>
    <t>909 Martin Trail, Jefferyville, GA 86720</t>
  </si>
  <si>
    <t>Murphy, Garcia and Flynn</t>
  </si>
  <si>
    <t>2000-09-06</t>
  </si>
  <si>
    <t>2023-07-18</t>
  </si>
  <si>
    <t>Randy Thompson</t>
  </si>
  <si>
    <t>kanderson@bright.org</t>
  </si>
  <si>
    <t>(783)212-3719</t>
  </si>
  <si>
    <t>USNV Hodge, FPO AA 45413</t>
  </si>
  <si>
    <t>Reed-Flynn</t>
  </si>
  <si>
    <t>1972-04-16</t>
  </si>
  <si>
    <t>2024-04-21</t>
  </si>
  <si>
    <t>Michael Daniels</t>
  </si>
  <si>
    <t>larry38@bennett.com</t>
  </si>
  <si>
    <t>313-016-6946x377</t>
  </si>
  <si>
    <t>36286 Anderson Circle Apt. 948, Port Laurentown, NJ 76134</t>
  </si>
  <si>
    <t>2003-03-02</t>
  </si>
  <si>
    <t>Derrick Newton</t>
  </si>
  <si>
    <t>derekward@yahoo.com</t>
  </si>
  <si>
    <t>+1-759-959-6141</t>
  </si>
  <si>
    <t>5964 Angela Gardens Suite 496, Carrieport, CA 94889</t>
  </si>
  <si>
    <t>Mcintyre PLC</t>
  </si>
  <si>
    <t>2004-12-08</t>
  </si>
  <si>
    <t>Erika Valenzuela</t>
  </si>
  <si>
    <t>destinygriffith@baker.info</t>
  </si>
  <si>
    <t>+1-408-730-7432x98730</t>
  </si>
  <si>
    <t>USNV Randall, FPO AP 95172</t>
  </si>
  <si>
    <t>Stout-Davis</t>
  </si>
  <si>
    <t>1968-02-10</t>
  </si>
  <si>
    <t>Jessica Owens</t>
  </si>
  <si>
    <t>nicholas85@wilson.com</t>
  </si>
  <si>
    <t>826-841-7264</t>
  </si>
  <si>
    <t>324 Dana Corners, Curtisberg, MS 84412</t>
  </si>
  <si>
    <t>Bennett-Villegas</t>
  </si>
  <si>
    <t>1992-11-30</t>
  </si>
  <si>
    <t>2020-07-03</t>
  </si>
  <si>
    <t>Miguel Taylor</t>
  </si>
  <si>
    <t>bernardmegan@haley.biz</t>
  </si>
  <si>
    <t>290-335-3885</t>
  </si>
  <si>
    <t>Unit 9879 Box 5483, DPO AE 84615</t>
  </si>
  <si>
    <t>Mcconnell-Campbell</t>
  </si>
  <si>
    <t>2020-03-28</t>
  </si>
  <si>
    <t>Melissa Ward</t>
  </si>
  <si>
    <t>john25@gmail.com</t>
  </si>
  <si>
    <t>(552)960-4395x3466</t>
  </si>
  <si>
    <t>598 Brenda Forest, Wadestad, CA 26527</t>
  </si>
  <si>
    <t>Gutierrez Group</t>
  </si>
  <si>
    <t>1977-05-21</t>
  </si>
  <si>
    <t>2024-01-24</t>
  </si>
  <si>
    <t>Willie Evans</t>
  </si>
  <si>
    <t>gordonjasmine@miller.info</t>
  </si>
  <si>
    <t>001-315-925-6069</t>
  </si>
  <si>
    <t>18554 Hansen Streets, New Rachelmouth, CO 04971</t>
  </si>
  <si>
    <t>Reese, Gonzalez and Foster</t>
  </si>
  <si>
    <t>1984-09-23</t>
  </si>
  <si>
    <t>2024-09-06</t>
  </si>
  <si>
    <t>James Baker</t>
  </si>
  <si>
    <t>qcervantes@yahoo.com</t>
  </si>
  <si>
    <t>001-237-158-9899x464</t>
  </si>
  <si>
    <t>4039 Evans Shoal Apt. 356, Powellberg, NV 28284</t>
  </si>
  <si>
    <t>Martin Ltd</t>
  </si>
  <si>
    <t>Brandon Chavez</t>
  </si>
  <si>
    <t>karentaylor@gmail.com</t>
  </si>
  <si>
    <t>824-612-0049x9239</t>
  </si>
  <si>
    <t>PSC 3080, Box 4794, APO AA 86586</t>
  </si>
  <si>
    <t>Jefferson, Holloway and Nguyen</t>
  </si>
  <si>
    <t>2019-06-11</t>
  </si>
  <si>
    <t>julie35@gmail.com</t>
  </si>
  <si>
    <t>612.609.8812x516</t>
  </si>
  <si>
    <t>4632 Pamela Squares Suite 907, Scottville, MI 15093</t>
  </si>
  <si>
    <t>Mendoza Group</t>
  </si>
  <si>
    <t>1986-10-25</t>
  </si>
  <si>
    <t>Donna Hood</t>
  </si>
  <si>
    <t>brianharvey@hotmail.com</t>
  </si>
  <si>
    <t>481-366-9192x118</t>
  </si>
  <si>
    <t>1065 Wilkerson Roads Suite 640, Gonzalezmouth, NV 90249</t>
  </si>
  <si>
    <t>Ford-Gentry</t>
  </si>
  <si>
    <t>1990-06-12</t>
  </si>
  <si>
    <t>2015-07-24</t>
  </si>
  <si>
    <t>Sarah Mills</t>
  </si>
  <si>
    <t>herreracorey@crawford.info</t>
  </si>
  <si>
    <t>435.603.1131</t>
  </si>
  <si>
    <t>902 Carroll Place Suite 938, South Felicia, NH 95861</t>
  </si>
  <si>
    <t>Warren, Nicholson and Morrow</t>
  </si>
  <si>
    <t>Kelsey Martin</t>
  </si>
  <si>
    <t>frederick76@yahoo.com</t>
  </si>
  <si>
    <t>001-087-516-3649x88730</t>
  </si>
  <si>
    <t>260 Mills Valley, Danielborough, IA 06387</t>
  </si>
  <si>
    <t>Flores-Williams</t>
  </si>
  <si>
    <t>2002-04-21</t>
  </si>
  <si>
    <t>Pamela Myers</t>
  </si>
  <si>
    <t>robertsamy@campbell.info</t>
  </si>
  <si>
    <t>(935)386-3314x380</t>
  </si>
  <si>
    <t>832 Rice Inlet Suite 631, Lake Frankchester, AL 21842</t>
  </si>
  <si>
    <t>Jones-Miller</t>
  </si>
  <si>
    <t>1971-01-23</t>
  </si>
  <si>
    <t>2016-04-03</t>
  </si>
  <si>
    <t>Beverly Miller</t>
  </si>
  <si>
    <t>ymiller@yahoo.com</t>
  </si>
  <si>
    <t>6613683443</t>
  </si>
  <si>
    <t>987 Ryan Summit, East Javier, DE 71233</t>
  </si>
  <si>
    <t>Brown, Cook and Adkins</t>
  </si>
  <si>
    <t>2000-11-02</t>
  </si>
  <si>
    <t>2020-12-15</t>
  </si>
  <si>
    <t>Jacob Hubbard</t>
  </si>
  <si>
    <t>judycowan@parker.com</t>
  </si>
  <si>
    <t>(837)487-9132x60540</t>
  </si>
  <si>
    <t>57197 Melissa Lights Suite 692, Patelhaven, IA 77712</t>
  </si>
  <si>
    <t>Barnett, Russo and Austin</t>
  </si>
  <si>
    <t>1970-06-19</t>
  </si>
  <si>
    <t>2018-01-05</t>
  </si>
  <si>
    <t>Travis Carson</t>
  </si>
  <si>
    <t>elizabethwade@yahoo.com</t>
  </si>
  <si>
    <t>(175)324-0333</t>
  </si>
  <si>
    <t>302 Danny Port, Jimmyside, MD 39076</t>
  </si>
  <si>
    <t>Espinoza-Wilson</t>
  </si>
  <si>
    <t>1959-09-04</t>
  </si>
  <si>
    <t>Evelyn Russell</t>
  </si>
  <si>
    <t>garzaalexis@yahoo.com</t>
  </si>
  <si>
    <t>036-743-2349x2154</t>
  </si>
  <si>
    <t>535 Blake Keys Suite 484, Brownstad, AL 86136</t>
  </si>
  <si>
    <t>Fisher-Bradley</t>
  </si>
  <si>
    <t>1984-08-19</t>
  </si>
  <si>
    <t>Thomas Douglas</t>
  </si>
  <si>
    <t>jackmartinez@gmail.com</t>
  </si>
  <si>
    <t>5906901901</t>
  </si>
  <si>
    <t>46848 Natalie Mill Apt. 887, North Anthonymouth, NJ 30023</t>
  </si>
  <si>
    <t>Marshall-Reed</t>
  </si>
  <si>
    <t>1977-01-31</t>
  </si>
  <si>
    <t>Richard Compton</t>
  </si>
  <si>
    <t>xholmes@hotmail.com</t>
  </si>
  <si>
    <t>032.812.6211</t>
  </si>
  <si>
    <t>8754 Ray Court Apt. 718, Kristinaton, AZ 55656</t>
  </si>
  <si>
    <t>Howell-Decker</t>
  </si>
  <si>
    <t>1962-11-22</t>
  </si>
  <si>
    <t>Rita Martinez</t>
  </si>
  <si>
    <t>dhodges@yahoo.com</t>
  </si>
  <si>
    <t>306.488.1499x488</t>
  </si>
  <si>
    <t>PSC 0583, Box 8601, APO AE 36128</t>
  </si>
  <si>
    <t>Hicks-Harris</t>
  </si>
  <si>
    <t>2004-05-07</t>
  </si>
  <si>
    <t>2021-05-30</t>
  </si>
  <si>
    <t>Dustin Smith</t>
  </si>
  <si>
    <t>jamielee@gmail.com</t>
  </si>
  <si>
    <t>426.618.6446</t>
  </si>
  <si>
    <t>818 Lauren Groves, Carterport, ND 60474</t>
  </si>
  <si>
    <t>Cantu, Davis and Holloway</t>
  </si>
  <si>
    <t>1980-02-08</t>
  </si>
  <si>
    <t>2022-09-18</t>
  </si>
  <si>
    <t>Barbara Guzman</t>
  </si>
  <si>
    <t>daniellegarcia@yahoo.com</t>
  </si>
  <si>
    <t>001-781-735-9887</t>
  </si>
  <si>
    <t>499 Adam Squares, Lake Anthonyburgh, MT 35560</t>
  </si>
  <si>
    <t>Barber LLC</t>
  </si>
  <si>
    <t>2002-12-11</t>
  </si>
  <si>
    <t>Hunter Moore</t>
  </si>
  <si>
    <t>eric77@gmail.com</t>
  </si>
  <si>
    <t>448.036.2615x351</t>
  </si>
  <si>
    <t>57330 Lauren Dale, Port Joshua, FL 22864</t>
  </si>
  <si>
    <t>Skinner, Dixon and Allen</t>
  </si>
  <si>
    <t>1991-09-02</t>
  </si>
  <si>
    <t>Joseph Spears</t>
  </si>
  <si>
    <t>james83@yahoo.com</t>
  </si>
  <si>
    <t>098-433-0975x95551</t>
  </si>
  <si>
    <t>582 Patrick View, Reedshire, CO 04650</t>
  </si>
  <si>
    <t>Gray-Gillespie</t>
  </si>
  <si>
    <t>1964-09-13</t>
  </si>
  <si>
    <t>Daniel Cook</t>
  </si>
  <si>
    <t>david96@carroll.net</t>
  </si>
  <si>
    <t>(829)042-7629x162</t>
  </si>
  <si>
    <t>42752 Roy Forges Apt. 982, New Rebecca, FL 73874</t>
  </si>
  <si>
    <t>Peterson-Sullivan</t>
  </si>
  <si>
    <t>Eric Lee</t>
  </si>
  <si>
    <t>schneiderchad@benson-thomas.com</t>
  </si>
  <si>
    <t>422.327.5972</t>
  </si>
  <si>
    <t>49330 Michael Walks, Nashton, WI 84749</t>
  </si>
  <si>
    <t>Morgan, Santos and Walker</t>
  </si>
  <si>
    <t>1966-12-23</t>
  </si>
  <si>
    <t>2019-10-22</t>
  </si>
  <si>
    <t>Kimberly Guerra</t>
  </si>
  <si>
    <t>guzmanbrian@moore.com</t>
  </si>
  <si>
    <t>(169)547-5743</t>
  </si>
  <si>
    <t>866 Hatfield Locks, South Michaelton, IN 02618</t>
  </si>
  <si>
    <t>Garcia, Howell and Sanchez</t>
  </si>
  <si>
    <t>1982-06-16</t>
  </si>
  <si>
    <t>Christine Cross</t>
  </si>
  <si>
    <t>kharmon@shepherd.com</t>
  </si>
  <si>
    <t>(121)261-6791x17570</t>
  </si>
  <si>
    <t>78561 Stark Road, Port Jacquelinefurt, NC 94601</t>
  </si>
  <si>
    <t>Reid-Bates</t>
  </si>
  <si>
    <t>2003-06-02</t>
  </si>
  <si>
    <t>David Nunez</t>
  </si>
  <si>
    <t>ojohnson@hotmail.com</t>
  </si>
  <si>
    <t>(047)794-5802x94190</t>
  </si>
  <si>
    <t>3709 Lauren Meadow, Caitlynmouth, TN 66983</t>
  </si>
  <si>
    <t>Smith-Smith</t>
  </si>
  <si>
    <t>1966-01-16</t>
  </si>
  <si>
    <t>2025-05-27</t>
  </si>
  <si>
    <t>Cory Garrison</t>
  </si>
  <si>
    <t>victor84@hotmail.com</t>
  </si>
  <si>
    <t>(309)269-2109</t>
  </si>
  <si>
    <t>242 Odonnell Grove, Ramostown, FL 01055</t>
  </si>
  <si>
    <t>Kennedy, Sherman and King</t>
  </si>
  <si>
    <t>james42@gmail.com</t>
  </si>
  <si>
    <t>(886)858-6954</t>
  </si>
  <si>
    <t>057 Michael Row Suite 909, Perryburgh, NH 86174</t>
  </si>
  <si>
    <t>Stone-Manning</t>
  </si>
  <si>
    <t>Gloria Jacobs</t>
  </si>
  <si>
    <t>kennethcastro@wilson.biz</t>
  </si>
  <si>
    <t>124-268-2608</t>
  </si>
  <si>
    <t>53130 Richard Vista Suite 783, North Jenniferview, GA 42812</t>
  </si>
  <si>
    <t>Martin, Evans and Alexander</t>
  </si>
  <si>
    <t>1969-08-15</t>
  </si>
  <si>
    <t>2022-01-04</t>
  </si>
  <si>
    <t>Deborah Stuart</t>
  </si>
  <si>
    <t>cdorsey@lopez.com</t>
  </si>
  <si>
    <t>+1-158-712-0504x956</t>
  </si>
  <si>
    <t>989 Anderson Mall, North Kristina, WV 58469</t>
  </si>
  <si>
    <t>Phillips-Ryan</t>
  </si>
  <si>
    <t>2002-02-14</t>
  </si>
  <si>
    <t>Jennifer Castro</t>
  </si>
  <si>
    <t>jacquelinehughes@hotmail.com</t>
  </si>
  <si>
    <t>+1-743-855-4794x864</t>
  </si>
  <si>
    <t>30586 Andrews Overpass Apt. 579, Lake Patricia, AR 76920</t>
  </si>
  <si>
    <t>Reed-Kirk</t>
  </si>
  <si>
    <t>1983-03-13</t>
  </si>
  <si>
    <t>2019-02-09</t>
  </si>
  <si>
    <t>Erika Parker</t>
  </si>
  <si>
    <t>alexandria78@hotmail.com</t>
  </si>
  <si>
    <t>(499)447-3888</t>
  </si>
  <si>
    <t>643 Latoya Extensions Suite 290, East Mark, SD 90626</t>
  </si>
  <si>
    <t>Ryan, Mcdonald and Flores</t>
  </si>
  <si>
    <t>1977-03-27</t>
  </si>
  <si>
    <t>2018-07-11</t>
  </si>
  <si>
    <t>Melissa Santos</t>
  </si>
  <si>
    <t>christopherfox@thomas.com</t>
  </si>
  <si>
    <t>286-112-8186x9419</t>
  </si>
  <si>
    <t>4752 Owens Mountains Suite 054, New Stephanie, SD 88210</t>
  </si>
  <si>
    <t>Morgan-Moore</t>
  </si>
  <si>
    <t>1993-10-09</t>
  </si>
  <si>
    <t>2016-02-03</t>
  </si>
  <si>
    <t>Tracy Walker</t>
  </si>
  <si>
    <t>nwilliams@medina-cortez.net</t>
  </si>
  <si>
    <t>(633)272-5170x262</t>
  </si>
  <si>
    <t>01489 Tanya Views Suite 130, East Dustin, MA 54730</t>
  </si>
  <si>
    <t>1989-03-02</t>
  </si>
  <si>
    <t>Edward Harris</t>
  </si>
  <si>
    <t>davisrhonda@may.org</t>
  </si>
  <si>
    <t>470.219.5471x35789</t>
  </si>
  <si>
    <t>7137 Collin Views, New Jason, TN 87650</t>
  </si>
  <si>
    <t>Martinez, Kramer and Foster</t>
  </si>
  <si>
    <t>1984-05-18</t>
  </si>
  <si>
    <t>Janice Ramos</t>
  </si>
  <si>
    <t>huntannette@gmail.com</t>
  </si>
  <si>
    <t>870-941-7766</t>
  </si>
  <si>
    <t>541 Wilson Springs, New Christopher, IA 98309</t>
  </si>
  <si>
    <t>1988-12-09</t>
  </si>
  <si>
    <t>2023-01-05</t>
  </si>
  <si>
    <t>Lisa Blevins</t>
  </si>
  <si>
    <t>zyang@gmail.com</t>
  </si>
  <si>
    <t>001-400-761-4971x278</t>
  </si>
  <si>
    <t>77081 Smith Squares, Lake Jenniferbury, ME 54895</t>
  </si>
  <si>
    <t>Morris, Mason and Wade</t>
  </si>
  <si>
    <t>1966-05-09</t>
  </si>
  <si>
    <t>2021-02-09</t>
  </si>
  <si>
    <t>Daniel Thomas</t>
  </si>
  <si>
    <t>wesley46@price.info</t>
  </si>
  <si>
    <t>+1-419-887-6837</t>
  </si>
  <si>
    <t>12286 Jacqueline Lights Suite 351, New Johnbury, MI 24841</t>
  </si>
  <si>
    <t>Walker-Conway</t>
  </si>
  <si>
    <t>1994-10-21</t>
  </si>
  <si>
    <t>Mckenzie Barber</t>
  </si>
  <si>
    <t>evanscatherine@hayes.net</t>
  </si>
  <si>
    <t>+1-199-162-6565x53605</t>
  </si>
  <si>
    <t>636 Rachel Freeway, East Glennshire, SD 37445</t>
  </si>
  <si>
    <t>Ortega Inc</t>
  </si>
  <si>
    <t>2004-02-19</t>
  </si>
  <si>
    <t>2025-03-09</t>
  </si>
  <si>
    <t>Aaron Hickman</t>
  </si>
  <si>
    <t>anthony62@yahoo.com</t>
  </si>
  <si>
    <t>128.034.7961x99283</t>
  </si>
  <si>
    <t>9010 Cooper Lights Suite 386, Lake Christopher, MS 79654</t>
  </si>
  <si>
    <t>Harper, Logan and Hess</t>
  </si>
  <si>
    <t>1997-07-13</t>
  </si>
  <si>
    <t>2016-02-19</t>
  </si>
  <si>
    <t>David Calderon</t>
  </si>
  <si>
    <t>burnsmichael@hotmail.com</t>
  </si>
  <si>
    <t>972.843.9079x40633</t>
  </si>
  <si>
    <t>63603 Sherry Radial, Josephland, ND 20218</t>
  </si>
  <si>
    <t>Harrell Inc</t>
  </si>
  <si>
    <t>1986-12-28</t>
  </si>
  <si>
    <t>Jennifer Bush</t>
  </si>
  <si>
    <t>jessica34@hotmail.com</t>
  </si>
  <si>
    <t>641-776-4422x5108</t>
  </si>
  <si>
    <t>5319 Smith Circles Apt. 075, West Stephenbury, NH 13963</t>
  </si>
  <si>
    <t>Hancock-Williams</t>
  </si>
  <si>
    <t>1969-11-03</t>
  </si>
  <si>
    <t>Autumn Wilcox</t>
  </si>
  <si>
    <t>lmann@hotmail.com</t>
  </si>
  <si>
    <t>335-029-3043x7825</t>
  </si>
  <si>
    <t>19703 Erica Well Suite 262, Port Carlos, OR 10745</t>
  </si>
  <si>
    <t>Tax adviser</t>
  </si>
  <si>
    <t>Williams, Santana and Anderson</t>
  </si>
  <si>
    <t>2024-12-07</t>
  </si>
  <si>
    <t>Mark Arellano</t>
  </si>
  <si>
    <t>emilyarmstrong@owens-callahan.biz</t>
  </si>
  <si>
    <t>001-981-921-3980x839</t>
  </si>
  <si>
    <t>297 Chad Union Apt. 018, Port Christopher, VA 87940</t>
  </si>
  <si>
    <t>Simmons-Irwin</t>
  </si>
  <si>
    <t>1961-09-07</t>
  </si>
  <si>
    <t>2016-01-05</t>
  </si>
  <si>
    <t>Laura Castro</t>
  </si>
  <si>
    <t>wilcoxanita@kim-jones.net</t>
  </si>
  <si>
    <t>+1-223-831-6812x34085</t>
  </si>
  <si>
    <t>907 Stewart Springs Suite 145, New Erikaberg, PA 49570</t>
  </si>
  <si>
    <t>Wood, Simmons and Smith</t>
  </si>
  <si>
    <t>1991-03-13</t>
  </si>
  <si>
    <t>2017-05-30</t>
  </si>
  <si>
    <t>Brenda Allen</t>
  </si>
  <si>
    <t>andrew56@scott.com</t>
  </si>
  <si>
    <t>+1-126-526-3275x773</t>
  </si>
  <si>
    <t>92120 Williams Locks Suite 313, East Sherriberg, NM 20181</t>
  </si>
  <si>
    <t>Lowery and Sons</t>
  </si>
  <si>
    <t>1989-09-04</t>
  </si>
  <si>
    <t>Michelle Vasquez</t>
  </si>
  <si>
    <t>justin63@hotmail.com</t>
  </si>
  <si>
    <t>(863)001-1330x23446</t>
  </si>
  <si>
    <t>6325 Arnold Drives Suite 937, Elizabethton, VT 01499</t>
  </si>
  <si>
    <t>Nelson PLC</t>
  </si>
  <si>
    <t>1996-05-03</t>
  </si>
  <si>
    <t>2025-03-30</t>
  </si>
  <si>
    <t>Bonnie Harris</t>
  </si>
  <si>
    <t>jason28@hernandez-murphy.com</t>
  </si>
  <si>
    <t>977.182.4788</t>
  </si>
  <si>
    <t>136 Olsen Creek, West Gail, ND 71510</t>
  </si>
  <si>
    <t>1986-10-13</t>
  </si>
  <si>
    <t>Ruth Mitchell</t>
  </si>
  <si>
    <t>ubrown@hotmail.com</t>
  </si>
  <si>
    <t>825.597.5806x291</t>
  </si>
  <si>
    <t>1587 Victor Unions, Port Carolinemouth, MD 31544</t>
  </si>
  <si>
    <t>Hall-Sanders</t>
  </si>
  <si>
    <t>1992-09-19</t>
  </si>
  <si>
    <t>Amanda Gibson</t>
  </si>
  <si>
    <t>myates@howe.info</t>
  </si>
  <si>
    <t>001-643-771-1544x6462</t>
  </si>
  <si>
    <t>47857 Flores Lights Apt. 594, Joannehaven, WA 89361</t>
  </si>
  <si>
    <t>1995-06-06</t>
  </si>
  <si>
    <t>Steven Livingston</t>
  </si>
  <si>
    <t>tperez@osborn.net</t>
  </si>
  <si>
    <t>207-736-3969</t>
  </si>
  <si>
    <t>4991 Johnson Ramp Suite 524, Jenniferville, CT 37025</t>
  </si>
  <si>
    <t>Grant and Sons</t>
  </si>
  <si>
    <t>1971-09-21</t>
  </si>
  <si>
    <t>2016-05-30</t>
  </si>
  <si>
    <t>Christine Barnes</t>
  </si>
  <si>
    <t>javier75@bryant.org</t>
  </si>
  <si>
    <t>1835902338</t>
  </si>
  <si>
    <t>15877 Chapman Mountain Apt. 159, Krististad, WV 31533</t>
  </si>
  <si>
    <t>Herrera-Adams</t>
  </si>
  <si>
    <t>1977-12-06</t>
  </si>
  <si>
    <t>Melissa Garcia</t>
  </si>
  <si>
    <t>joneskelly@hanson.com</t>
  </si>
  <si>
    <t>001-561-946-9738x59940</t>
  </si>
  <si>
    <t>1786 Bennett Streets, Lake Kennethhaven, NE 63776</t>
  </si>
  <si>
    <t>Brown-Herrera</t>
  </si>
  <si>
    <t>2004-09-08</t>
  </si>
  <si>
    <t>Jasmine Houston</t>
  </si>
  <si>
    <t>joshua17@yahoo.com</t>
  </si>
  <si>
    <t>+1-707-011-0484x399</t>
  </si>
  <si>
    <t>8306 Brian Street Suite 843, Valdeztown, MN 96798</t>
  </si>
  <si>
    <t>1981-09-16</t>
  </si>
  <si>
    <t>2017-08-10</t>
  </si>
  <si>
    <t>Sara Carrillo</t>
  </si>
  <si>
    <t>barbaradavis@hotmail.com</t>
  </si>
  <si>
    <t>761-647-1270x328</t>
  </si>
  <si>
    <t>57174 Suzanne Road Apt. 011, Lake Ericbury, NV 16769</t>
  </si>
  <si>
    <t>Martin, Carter and Nguyen</t>
  </si>
  <si>
    <t>1996-09-04</t>
  </si>
  <si>
    <t>2020-09-15</t>
  </si>
  <si>
    <t>Melissa Hoffman</t>
  </si>
  <si>
    <t>dennis24@west.com</t>
  </si>
  <si>
    <t>001-193-236-6079x50426</t>
  </si>
  <si>
    <t>14027 Smith Stravenue, Rodrigueztown, NC 13921</t>
  </si>
  <si>
    <t>Bowers Group</t>
  </si>
  <si>
    <t>2002-05-27</t>
  </si>
  <si>
    <t>Tonya Johnson</t>
  </si>
  <si>
    <t>xcharles@mcguire-mendoza.net</t>
  </si>
  <si>
    <t>(683)906-1345x51254</t>
  </si>
  <si>
    <t>85048 Hill Centers, Port Gregoryport, UT 97682</t>
  </si>
  <si>
    <t>Wright PLC</t>
  </si>
  <si>
    <t>1981-11-29</t>
  </si>
  <si>
    <t>angelaschmidt@yahoo.com</t>
  </si>
  <si>
    <t>1351580908</t>
  </si>
  <si>
    <t>4534 Kelly Port Suite 310, Lake Jeannefort, AK 25283</t>
  </si>
  <si>
    <t>Johnson, Martinez and Stewart</t>
  </si>
  <si>
    <t>1972-04-26</t>
  </si>
  <si>
    <t>2022-04-09</t>
  </si>
  <si>
    <t>Dr. Erin Baker</t>
  </si>
  <si>
    <t>richardnelson@carey.com</t>
  </si>
  <si>
    <t>(651)169-1705x45329</t>
  </si>
  <si>
    <t>69432 Lindsey Cliff Suite 417, Timothyland, MS 66755</t>
  </si>
  <si>
    <t>Freeman, Pittman and Pena</t>
  </si>
  <si>
    <t>1999-05-10</t>
  </si>
  <si>
    <t>2025-06-22</t>
  </si>
  <si>
    <t>Kevin Chase</t>
  </si>
  <si>
    <t>lanelynn@cabrera.com</t>
  </si>
  <si>
    <t>(922)800-8590x400</t>
  </si>
  <si>
    <t>320 Warner Neck, West Christinefort, AL 10112</t>
  </si>
  <si>
    <t>Roberts Ltd</t>
  </si>
  <si>
    <t>2005-05-04</t>
  </si>
  <si>
    <t>Steven Rios</t>
  </si>
  <si>
    <t>pthomas@hotmail.com</t>
  </si>
  <si>
    <t>093-533-6762x3960</t>
  </si>
  <si>
    <t>4527 Anthony Islands Apt. 906, Lake Anthonyton, IL 16691</t>
  </si>
  <si>
    <t>Spence, Krueger and Mccoy</t>
  </si>
  <si>
    <t>1991-07-11</t>
  </si>
  <si>
    <t>Charles Sandoval</t>
  </si>
  <si>
    <t>kimberlysingh@yahoo.com</t>
  </si>
  <si>
    <t>+1-802-841-7273x36666</t>
  </si>
  <si>
    <t>Unit 9133 Box 7725, DPO AA 25132</t>
  </si>
  <si>
    <t>Miller-Turner</t>
  </si>
  <si>
    <t>2005-10-25</t>
  </si>
  <si>
    <t>2018-09-07</t>
  </si>
  <si>
    <t>Judith Brown</t>
  </si>
  <si>
    <t>johnsonandrew@reilly.com</t>
  </si>
  <si>
    <t>001-351-594-7843x16564</t>
  </si>
  <si>
    <t>347 Green Highway Suite 223, South Erikachester, MD 55228</t>
  </si>
  <si>
    <t>Moran PLC</t>
  </si>
  <si>
    <t>2004-09-13</t>
  </si>
  <si>
    <t>Joshua Rogers</t>
  </si>
  <si>
    <t>jwarren@caldwell-alexander.com</t>
  </si>
  <si>
    <t>132.641.2092</t>
  </si>
  <si>
    <t>605 Buck Squares Suite 803, Changmouth, TN 27833</t>
  </si>
  <si>
    <t>Pierce-Krueger</t>
  </si>
  <si>
    <t>2023-11-21</t>
  </si>
  <si>
    <t>Joshua Nelson</t>
  </si>
  <si>
    <t>colemanjeffrey@hotmail.com</t>
  </si>
  <si>
    <t>001-977-091-6323</t>
  </si>
  <si>
    <t>722 Connie Parks Suite 757, Normafurt, KY 28904</t>
  </si>
  <si>
    <t>Leblanc-Lee</t>
  </si>
  <si>
    <t>1985-06-20</t>
  </si>
  <si>
    <t>Pamela Lewis</t>
  </si>
  <si>
    <t>mevans@bryant-johnston.com</t>
  </si>
  <si>
    <t>(030)618-5646x93365</t>
  </si>
  <si>
    <t>6247 Garcia View Suite 854, Webbfurt, NH 77660</t>
  </si>
  <si>
    <t>Potts Ltd</t>
  </si>
  <si>
    <t>2005-01-07</t>
  </si>
  <si>
    <t>2020-11-12</t>
  </si>
  <si>
    <t>Megan Cohen</t>
  </si>
  <si>
    <t>lstanley@sanchez.com</t>
  </si>
  <si>
    <t>(250)432-0974x1739</t>
  </si>
  <si>
    <t>USNS Friedman, FPO AA 74322</t>
  </si>
  <si>
    <t>Homeopath</t>
  </si>
  <si>
    <t>1976-05-22</t>
  </si>
  <si>
    <t>2021-04-11</t>
  </si>
  <si>
    <t>Lisa May</t>
  </si>
  <si>
    <t>troyhoward@gmail.com</t>
  </si>
  <si>
    <t>+1-067-901-0483</t>
  </si>
  <si>
    <t>78840 Daniel Trail, South Adrianmouth, OK 86636</t>
  </si>
  <si>
    <t>Williams, Green and Hahn</t>
  </si>
  <si>
    <t>1992-09-01</t>
  </si>
  <si>
    <t>2016-04-29</t>
  </si>
  <si>
    <t>Tiffany Scott</t>
  </si>
  <si>
    <t>lindachambers@hotmail.com</t>
  </si>
  <si>
    <t>070-919-5493</t>
  </si>
  <si>
    <t>6146 Nicholas Throughway Suite 324, Yolandaview, CA 60908</t>
  </si>
  <si>
    <t>Hardy, Davis and Taylor</t>
  </si>
  <si>
    <t>1960-05-01</t>
  </si>
  <si>
    <t>2020-07-05</t>
  </si>
  <si>
    <t>Kathryn Williams</t>
  </si>
  <si>
    <t>sharon82@gill-mooney.org</t>
  </si>
  <si>
    <t>1092781436</t>
  </si>
  <si>
    <t>4951 Mark Spurs, Port Brett, CT 93100</t>
  </si>
  <si>
    <t>Decker and Sons</t>
  </si>
  <si>
    <t>1964-10-22</t>
  </si>
  <si>
    <t>David Colon</t>
  </si>
  <si>
    <t>diane02@crane-lara.com</t>
  </si>
  <si>
    <t>617.400.7235x60999</t>
  </si>
  <si>
    <t>7286 Allen Forges, North Benjamin, LA 03707</t>
  </si>
  <si>
    <t>Mcconnell-Zavala</t>
  </si>
  <si>
    <t>1996-06-04</t>
  </si>
  <si>
    <t>2023-05-05</t>
  </si>
  <si>
    <t>Samantha Swanson</t>
  </si>
  <si>
    <t>ryangraham@jones.biz</t>
  </si>
  <si>
    <t>(892)766-7594x03874</t>
  </si>
  <si>
    <t>20826 Elizabeth Shoal Apt. 512, Hardytown, VA 14016</t>
  </si>
  <si>
    <t>Gutierrez-Burke</t>
  </si>
  <si>
    <t>Brandon Williams</t>
  </si>
  <si>
    <t>douglas48@gmail.com</t>
  </si>
  <si>
    <t>+1-745-799-4906x12976</t>
  </si>
  <si>
    <t>316 Carney Neck, Matthewport, ME 55730</t>
  </si>
  <si>
    <t>Blevins-Hancock</t>
  </si>
  <si>
    <t>1964-12-13</t>
  </si>
  <si>
    <t>2018-03-12</t>
  </si>
  <si>
    <t>Elizabeth Evans</t>
  </si>
  <si>
    <t>yvonnebates@martin-roberts.biz</t>
  </si>
  <si>
    <t>(843)615-7422</t>
  </si>
  <si>
    <t>38021 Amber Haven, North Mallory, AL 67848</t>
  </si>
  <si>
    <t>Reynolds, Lopez and Harris</t>
  </si>
  <si>
    <t>1972-09-22</t>
  </si>
  <si>
    <t>Matthew Carpenter</t>
  </si>
  <si>
    <t>umiller@gmail.com</t>
  </si>
  <si>
    <t>(609)177-9849x70746</t>
  </si>
  <si>
    <t>449 Stanley Freeway Suite 318, Lindsayberg, RI 50331</t>
  </si>
  <si>
    <t>Webster-Patterson</t>
  </si>
  <si>
    <t>2017-06-26</t>
  </si>
  <si>
    <t>David Warner</t>
  </si>
  <si>
    <t>hsmith@yahoo.com</t>
  </si>
  <si>
    <t>704.245.0275x26138</t>
  </si>
  <si>
    <t>125 Williams Prairie Suite 335, Port April, AK 85375</t>
  </si>
  <si>
    <t>Garcia-Wilson</t>
  </si>
  <si>
    <t>1996-09-19</t>
  </si>
  <si>
    <t>Paul Lawrence</t>
  </si>
  <si>
    <t>allisongoodwin@wilson.net</t>
  </si>
  <si>
    <t>(977)024-6186x020</t>
  </si>
  <si>
    <t>8779 Sean Squares Suite 124, Jeremyton, AK 95870</t>
  </si>
  <si>
    <t>Mason PLC</t>
  </si>
  <si>
    <t>Nicole Roberts</t>
  </si>
  <si>
    <t>lmurray@gmail.com</t>
  </si>
  <si>
    <t>087-307-5229x61449</t>
  </si>
  <si>
    <t>294 Michael Roads, Lake Jonathan, OR 51898</t>
  </si>
  <si>
    <t>Peterson Inc</t>
  </si>
  <si>
    <t>1965-08-17</t>
  </si>
  <si>
    <t>2022-10-28</t>
  </si>
  <si>
    <t>Michele Durham</t>
  </si>
  <si>
    <t>hhuynh@gmail.com</t>
  </si>
  <si>
    <t>918.633.0673x73050</t>
  </si>
  <si>
    <t>6211 Susan Springs, Thomasfort, WY 76908</t>
  </si>
  <si>
    <t>Lara and Sons</t>
  </si>
  <si>
    <t>Sean Stone</t>
  </si>
  <si>
    <t>arnolderic@morgan-buck.com</t>
  </si>
  <si>
    <t>634.226.2847x5644</t>
  </si>
  <si>
    <t>9700 Casey Manor, South Debrabury, OH 20411</t>
  </si>
  <si>
    <t>Chief Operating Officer</t>
  </si>
  <si>
    <t>Dixon LLC</t>
  </si>
  <si>
    <t>2006-08-10</t>
  </si>
  <si>
    <t>Tracey Torres</t>
  </si>
  <si>
    <t>williamsbecky@yahoo.com</t>
  </si>
  <si>
    <t>044-059-7800x6801</t>
  </si>
  <si>
    <t>325 Dawson Wells Suite 899, New Danielleside, NY 89773</t>
  </si>
  <si>
    <t>2016-12-01</t>
  </si>
  <si>
    <t>acarrillo@hotmail.com</t>
  </si>
  <si>
    <t>+1-844-662-6409x5120</t>
  </si>
  <si>
    <t>USCGC Alexander, FPO AP 49288</t>
  </si>
  <si>
    <t>Allen-Martinez</t>
  </si>
  <si>
    <t>2006-05-03</t>
  </si>
  <si>
    <t>2020-04-13</t>
  </si>
  <si>
    <t>Timothy Barrett</t>
  </si>
  <si>
    <t>williamvelasquez@mitchell.com</t>
  </si>
  <si>
    <t>(717)428-7203x787</t>
  </si>
  <si>
    <t>Unit 5105 Box 0811, DPO AA 24927</t>
  </si>
  <si>
    <t>1996-11-16</t>
  </si>
  <si>
    <t>Tanya Ramos</t>
  </si>
  <si>
    <t>brandonweiss@morgan.com</t>
  </si>
  <si>
    <t>200-049-9279</t>
  </si>
  <si>
    <t>207 Melissa Tunnel Apt. 910, Port Williamhaven, VA 42567</t>
  </si>
  <si>
    <t>1991-11-30</t>
  </si>
  <si>
    <t>2025-04-29</t>
  </si>
  <si>
    <t>Melissa Alvarez</t>
  </si>
  <si>
    <t>awhitaker@yahoo.com</t>
  </si>
  <si>
    <t>+1-582-690-9095x89574</t>
  </si>
  <si>
    <t>317 Anthony Divide Apt. 668, Port Richardberg, VT 45876</t>
  </si>
  <si>
    <t>Torres-Hayes</t>
  </si>
  <si>
    <t>Joshua Trujillo</t>
  </si>
  <si>
    <t>dianawoods@hotmail.com</t>
  </si>
  <si>
    <t>+1-058-565-6172x855</t>
  </si>
  <si>
    <t>45823 Jordan Ports, Bethside, MI 33145</t>
  </si>
  <si>
    <t>Wheeler, Moore and Chang</t>
  </si>
  <si>
    <t>1959-08-29</t>
  </si>
  <si>
    <t>William Zimmerman</t>
  </si>
  <si>
    <t>cynthia83@gmail.com</t>
  </si>
  <si>
    <t>(367)959-0227x0462</t>
  </si>
  <si>
    <t>378 Johnson Manor, New Chadville, MI 03225</t>
  </si>
  <si>
    <t>Robertson, Scott and Campbell</t>
  </si>
  <si>
    <t>1973-03-15</t>
  </si>
  <si>
    <t>2017-09-21</t>
  </si>
  <si>
    <t>Amy Griffin</t>
  </si>
  <si>
    <t>michael21@mayer-horton.com</t>
  </si>
  <si>
    <t>466.499.0144x0002</t>
  </si>
  <si>
    <t>Unit 9258 Box 3977, DPO AE 66120</t>
  </si>
  <si>
    <t>1995-09-22</t>
  </si>
  <si>
    <t>2017-06-18</t>
  </si>
  <si>
    <t>Alan Walter</t>
  </si>
  <si>
    <t>andersonhayley@yahoo.com</t>
  </si>
  <si>
    <t>613.107.4008</t>
  </si>
  <si>
    <t>62664 Erickson Ville Apt. 200, East Megan, VT 87961</t>
  </si>
  <si>
    <t>Angela Burgess</t>
  </si>
  <si>
    <t>lindawilkerson@miller.com</t>
  </si>
  <si>
    <t>003.987.9834</t>
  </si>
  <si>
    <t>06223 Valerie Radial Apt. 601, Millerberg, KY 58587</t>
  </si>
  <si>
    <t>Perry-Miller</t>
  </si>
  <si>
    <t>1973-12-29</t>
  </si>
  <si>
    <t>Mitchell Allen</t>
  </si>
  <si>
    <t>plogan@gmail.com</t>
  </si>
  <si>
    <t>342-246-0591x32061</t>
  </si>
  <si>
    <t>3379 Hunt Unions, West Logan, MS 95095</t>
  </si>
  <si>
    <t>Jimenez LLC</t>
  </si>
  <si>
    <t>1986-07-02</t>
  </si>
  <si>
    <t>Kaitlyn Davenport</t>
  </si>
  <si>
    <t>andrew43@rivera-costa.com</t>
  </si>
  <si>
    <t>4278203225</t>
  </si>
  <si>
    <t>4471 Schmidt Union, Johnsonshire, NM 46140</t>
  </si>
  <si>
    <t>Silva Inc</t>
  </si>
  <si>
    <t>2021-09-29</t>
  </si>
  <si>
    <t>James Mcdaniel</t>
  </si>
  <si>
    <t>stonebruce@mcdaniel.com</t>
  </si>
  <si>
    <t>001-260-351-7884x842</t>
  </si>
  <si>
    <t>Unit 0848 Box 4576, DPO AE 80394</t>
  </si>
  <si>
    <t>Turner-Logan</t>
  </si>
  <si>
    <t>1998-02-20</t>
  </si>
  <si>
    <t>Janice Conway</t>
  </si>
  <si>
    <t>brianporter@vasquez.info</t>
  </si>
  <si>
    <t>769.104.4243</t>
  </si>
  <si>
    <t>376 Maxwell Cliff, Williamsland, OK 39554</t>
  </si>
  <si>
    <t>Gomez-Turner</t>
  </si>
  <si>
    <t>1971-10-28</t>
  </si>
  <si>
    <t>Madison Mahoney</t>
  </si>
  <si>
    <t>heatherwilson@powell.biz</t>
  </si>
  <si>
    <t>(463)918-3776</t>
  </si>
  <si>
    <t>775 Wolf Key Apt. 963, Lake Catherine, PA 58120</t>
  </si>
  <si>
    <t>Johnson, Vaughn and Thomas</t>
  </si>
  <si>
    <t>Jennifer Williamson</t>
  </si>
  <si>
    <t>brendaross@matthews.com</t>
  </si>
  <si>
    <t>584-658-9951</t>
  </si>
  <si>
    <t>6537 Joseph Village, New Jonathan, WV 63475</t>
  </si>
  <si>
    <t>Flynn, Brooks and Anderson</t>
  </si>
  <si>
    <t>1977-03-09</t>
  </si>
  <si>
    <t>Heather James</t>
  </si>
  <si>
    <t>whernandez@church-wolfe.com</t>
  </si>
  <si>
    <t>001-555-540-6541x037</t>
  </si>
  <si>
    <t>233 Johnny Loop Apt. 828, Boydfort, WY 28687</t>
  </si>
  <si>
    <t>Richard-Stephens</t>
  </si>
  <si>
    <t>1990-10-04</t>
  </si>
  <si>
    <t>Kristin Mitchell</t>
  </si>
  <si>
    <t>charleshowe@henry.net</t>
  </si>
  <si>
    <t>059-863-4137x65070</t>
  </si>
  <si>
    <t>3302 Bryan Union Suite 412, Sarahburgh, DC 49467</t>
  </si>
  <si>
    <t>Martinez Inc</t>
  </si>
  <si>
    <t>1993-03-20</t>
  </si>
  <si>
    <t>2018-04-22</t>
  </si>
  <si>
    <t>Rachel Soto</t>
  </si>
  <si>
    <t>evelynzamora@roberts.com</t>
  </si>
  <si>
    <t>(278)314-4852x693</t>
  </si>
  <si>
    <t>60682 Angela Common, Dunnhaven, MS 66455</t>
  </si>
  <si>
    <t>Watson Group</t>
  </si>
  <si>
    <t>Susan Bell</t>
  </si>
  <si>
    <t>matthewharrison@oconnor.info</t>
  </si>
  <si>
    <t>443-655-1747</t>
  </si>
  <si>
    <t>08671 Chavez Green Suite 419, Reneeborough, NY 78435</t>
  </si>
  <si>
    <t>Ryan, Ruiz and Black</t>
  </si>
  <si>
    <t>2004-07-13</t>
  </si>
  <si>
    <t>2020-01-27</t>
  </si>
  <si>
    <t>michellelopez@gmail.com</t>
  </si>
  <si>
    <t>9937799983</t>
  </si>
  <si>
    <t>1798 Michaela Cliff Apt. 281, Calhounshire, CT 50048</t>
  </si>
  <si>
    <t>Day, Garcia and Cox</t>
  </si>
  <si>
    <t>1984-04-30</t>
  </si>
  <si>
    <t>2021-09-26</t>
  </si>
  <si>
    <t>Douglas Scott</t>
  </si>
  <si>
    <t>pateldavid@gmail.com</t>
  </si>
  <si>
    <t>+1-094-504-5237x514</t>
  </si>
  <si>
    <t>Unit 4060 Box 4762, DPO AP 97828</t>
  </si>
  <si>
    <t>Thomas, Perez and Fisher</t>
  </si>
  <si>
    <t>1968-08-06</t>
  </si>
  <si>
    <t>Julie Hancock</t>
  </si>
  <si>
    <t>gallegosmegan@pittman-dunn.net</t>
  </si>
  <si>
    <t>0864389855</t>
  </si>
  <si>
    <t>USCGC Parker, FPO AE 05800</t>
  </si>
  <si>
    <t>Harvey and Sons</t>
  </si>
  <si>
    <t>1972-03-10</t>
  </si>
  <si>
    <t>2023-12-03</t>
  </si>
  <si>
    <t>Ashley Price</t>
  </si>
  <si>
    <t>eroth@alexander.com</t>
  </si>
  <si>
    <t>(215)275-1277x6780</t>
  </si>
  <si>
    <t>PSC 7091, Box 3592, APO AP 39018</t>
  </si>
  <si>
    <t>1976-12-04</t>
  </si>
  <si>
    <t>2019-02-18</t>
  </si>
  <si>
    <t>Manuel White</t>
  </si>
  <si>
    <t>william72@yahoo.com</t>
  </si>
  <si>
    <t>(937)032-5137</t>
  </si>
  <si>
    <t>5104 Billy Streets, North Alyssa, NM 52086</t>
  </si>
  <si>
    <t>Walters-Yang</t>
  </si>
  <si>
    <t>1999-07-18</t>
  </si>
  <si>
    <t>Jesse Meyer</t>
  </si>
  <si>
    <t>williamsjill@gmail.com</t>
  </si>
  <si>
    <t>115-941-5351x80557</t>
  </si>
  <si>
    <t>43592 Jones Dam Suite 690, North Stephen, VA 92222</t>
  </si>
  <si>
    <t>Moore, Mcgee and Moore</t>
  </si>
  <si>
    <t>1977-06-13</t>
  </si>
  <si>
    <t>2022-05-08</t>
  </si>
  <si>
    <t>Samuel Stark</t>
  </si>
  <si>
    <t>bwoods@munoz-golden.com</t>
  </si>
  <si>
    <t>290.309.6564</t>
  </si>
  <si>
    <t>102 Thompson Ways, Lake Michael, KS 60319</t>
  </si>
  <si>
    <t>White, Miller and Palmer</t>
  </si>
  <si>
    <t>1969-06-23</t>
  </si>
  <si>
    <t>2015-12-03</t>
  </si>
  <si>
    <t>Jason Pittman</t>
  </si>
  <si>
    <t>dillondylan@yahoo.com</t>
  </si>
  <si>
    <t>001-140-424-5483</t>
  </si>
  <si>
    <t>28224 Torres Squares, Stephaniehaven, CT 76078</t>
  </si>
  <si>
    <t>Bullock-Moore</t>
  </si>
  <si>
    <t>1981-02-17</t>
  </si>
  <si>
    <t>2025-05-14</t>
  </si>
  <si>
    <t>Zachary Brown</t>
  </si>
  <si>
    <t>lthompson@hotmail.com</t>
  </si>
  <si>
    <t>3108723532</t>
  </si>
  <si>
    <t>667 Alexander Key, Millershire, WA 79520</t>
  </si>
  <si>
    <t>Walsh-Michael</t>
  </si>
  <si>
    <t>1985-11-19</t>
  </si>
  <si>
    <t>2025-01-17</t>
  </si>
  <si>
    <t>Scott Cohen</t>
  </si>
  <si>
    <t>vscott@mccann.net</t>
  </si>
  <si>
    <t>162-707-7954x7990</t>
  </si>
  <si>
    <t>9000 Ortiz Brook Suite 988, Markhaven, AZ 38556</t>
  </si>
  <si>
    <t>Murray Group</t>
  </si>
  <si>
    <t>1997-08-06</t>
  </si>
  <si>
    <t>Leah Bowman</t>
  </si>
  <si>
    <t>wdennis@hotmail.com</t>
  </si>
  <si>
    <t>517.341.8699</t>
  </si>
  <si>
    <t>797 Castaneda Ford Suite 410, Stephensberg, ID 73856</t>
  </si>
  <si>
    <t>Barker PLC</t>
  </si>
  <si>
    <t>1970-01-11</t>
  </si>
  <si>
    <t>Benjamin Bell</t>
  </si>
  <si>
    <t>thomas72@jones-long.org</t>
  </si>
  <si>
    <t>(205)202-4937x2015</t>
  </si>
  <si>
    <t>590 Kimberly Mall, Lisachester, AZ 83834</t>
  </si>
  <si>
    <t>Logan Group</t>
  </si>
  <si>
    <t>1969-05-18</t>
  </si>
  <si>
    <t>2018-06-27</t>
  </si>
  <si>
    <t>Jennifer Howard</t>
  </si>
  <si>
    <t>jessicamahoney@hotmail.com</t>
  </si>
  <si>
    <t>(364)866-0295x16605</t>
  </si>
  <si>
    <t>199 Harris Point, Millerville, ME 88959</t>
  </si>
  <si>
    <t>Flores, Mejia and Moreno</t>
  </si>
  <si>
    <t>1971-04-12</t>
  </si>
  <si>
    <t>2020-07-18</t>
  </si>
  <si>
    <t>Kyle Garcia</t>
  </si>
  <si>
    <t>swright@gmail.com</t>
  </si>
  <si>
    <t>9885095123</t>
  </si>
  <si>
    <t>650 Angela Club, Dunnberg, NJ 59533</t>
  </si>
  <si>
    <t>1979-11-26</t>
  </si>
  <si>
    <t>2023-05-16</t>
  </si>
  <si>
    <t>Katie Dominguez</t>
  </si>
  <si>
    <t>trevorbarton@hotmail.com</t>
  </si>
  <si>
    <t>953-991-4025</t>
  </si>
  <si>
    <t>0160 Amanda Avenue, West Tonymouth, MS 74575</t>
  </si>
  <si>
    <t>Wood-Nelson</t>
  </si>
  <si>
    <t>2004-06-17</t>
  </si>
  <si>
    <t>Lindsey George</t>
  </si>
  <si>
    <t>tcalhoun@garcia.net</t>
  </si>
  <si>
    <t>(750)560-5382</t>
  </si>
  <si>
    <t>25855 James Hollow, Amandafurt, NH 56845</t>
  </si>
  <si>
    <t>Durham-Jones</t>
  </si>
  <si>
    <t>1994-11-20</t>
  </si>
  <si>
    <t>Jennifer Gonzales</t>
  </si>
  <si>
    <t>pbutler@yahoo.com</t>
  </si>
  <si>
    <t>(838)811-6881</t>
  </si>
  <si>
    <t>PSC 5334, Box 5005, APO AP 61774</t>
  </si>
  <si>
    <t>Smith, Shepherd and French</t>
  </si>
  <si>
    <t>1990-08-23</t>
  </si>
  <si>
    <t>Valerie Giles</t>
  </si>
  <si>
    <t>tarabrandt@mitchell.net</t>
  </si>
  <si>
    <t>575-130-6778</t>
  </si>
  <si>
    <t>53523 Rivera Crest Suite 180, North Ryan, OR 23607</t>
  </si>
  <si>
    <t>Savage, Ward and Carr</t>
  </si>
  <si>
    <t>1969-10-13</t>
  </si>
  <si>
    <t>2021-05-19</t>
  </si>
  <si>
    <t>Wendy Harvey</t>
  </si>
  <si>
    <t>fernandoferrell@gmail.com</t>
  </si>
  <si>
    <t>744.344.2270</t>
  </si>
  <si>
    <t>55644 Hanson Meadow Suite 741, New Shannontown, IL 15498</t>
  </si>
  <si>
    <t>2016-09-16</t>
  </si>
  <si>
    <t>Megan Chan</t>
  </si>
  <si>
    <t>kathywalker@gmail.com</t>
  </si>
  <si>
    <t>(038)133-3445x3979</t>
  </si>
  <si>
    <t>1803 Joshua Corner, Cynthiafort, ND 73162</t>
  </si>
  <si>
    <t>1995-05-08</t>
  </si>
  <si>
    <t>2019-06-25</t>
  </si>
  <si>
    <t>Katherine Lopez</t>
  </si>
  <si>
    <t>kathleen57@meyers.org</t>
  </si>
  <si>
    <t>433.728.0033x7775</t>
  </si>
  <si>
    <t>02245 Terri Summit Suite 889, Port Robertmouth, WY 10374</t>
  </si>
  <si>
    <t>Lopez, Young and Kane</t>
  </si>
  <si>
    <t>1987-07-08</t>
  </si>
  <si>
    <t>Steve Holloway</t>
  </si>
  <si>
    <t>ydurham@thompson.info</t>
  </si>
  <si>
    <t>001-161-422-3181x57407</t>
  </si>
  <si>
    <t>833 Watts Mews Apt. 463, Chavezburgh, WY 28030</t>
  </si>
  <si>
    <t>Reeves-Rodriguez</t>
  </si>
  <si>
    <t>1974-09-06</t>
  </si>
  <si>
    <t>2022-08-19</t>
  </si>
  <si>
    <t>Mr. Trevor Vasquez</t>
  </si>
  <si>
    <t>zcarroll@lewis.com</t>
  </si>
  <si>
    <t>135.095.0453</t>
  </si>
  <si>
    <t>PSC 9564, Box 9514, APO AA 20175</t>
  </si>
  <si>
    <t>Jackson, Hayes and Shaw</t>
  </si>
  <si>
    <t>1996-04-26</t>
  </si>
  <si>
    <t>Collin Romero</t>
  </si>
  <si>
    <t>michael64@turner.org</t>
  </si>
  <si>
    <t>9043127498</t>
  </si>
  <si>
    <t>80078 Sanchez Knoll Apt. 233, Aarontown, KS 43056</t>
  </si>
  <si>
    <t>Ward-Burgess</t>
  </si>
  <si>
    <t>1970-04-24</t>
  </si>
  <si>
    <t>Janet Compton</t>
  </si>
  <si>
    <t>bwatkins@stephens.com</t>
  </si>
  <si>
    <t>+1-941-502-7562</t>
  </si>
  <si>
    <t>USS Williams, FPO AA 97541</t>
  </si>
  <si>
    <t>Simmons, Gomez and Silva</t>
  </si>
  <si>
    <t>1977-09-24</t>
  </si>
  <si>
    <t>2024-03-05</t>
  </si>
  <si>
    <t>Grant Garcia</t>
  </si>
  <si>
    <t>batesalexandria@gmail.com</t>
  </si>
  <si>
    <t>(880)843-5418x7708</t>
  </si>
  <si>
    <t>3472 Patricia Course Apt. 260, North Diane, DE 10330</t>
  </si>
  <si>
    <t>Silva, Hodges and Holt</t>
  </si>
  <si>
    <t>Michael Osborn</t>
  </si>
  <si>
    <t>victoriacunningham@gmail.com</t>
  </si>
  <si>
    <t>001-331-194-8060x0989</t>
  </si>
  <si>
    <t>8513 Hunter Divide, Douglashaven, CO 64347</t>
  </si>
  <si>
    <t>Bell and Sons</t>
  </si>
  <si>
    <t>2023-11-24</t>
  </si>
  <si>
    <t>John Austin</t>
  </si>
  <si>
    <t>jeffreyramos@franklin.info</t>
  </si>
  <si>
    <t>(677)117-0102</t>
  </si>
  <si>
    <t>1158 Smith Courts, Loristad, MT 82357</t>
  </si>
  <si>
    <t>1979-03-05</t>
  </si>
  <si>
    <t>2015-09-03</t>
  </si>
  <si>
    <t>William Hahn</t>
  </si>
  <si>
    <t>megancopeland@hotmail.com</t>
  </si>
  <si>
    <t>(920)256-7367x0092</t>
  </si>
  <si>
    <t>Unit 0529 Box 3248, DPO AA 74990</t>
  </si>
  <si>
    <t>Reyes, Garcia and Hall</t>
  </si>
  <si>
    <t>2017-02-03</t>
  </si>
  <si>
    <t>Mary Dixon</t>
  </si>
  <si>
    <t>faulknerdaniel@gmail.com</t>
  </si>
  <si>
    <t>(256)587-7166x023</t>
  </si>
  <si>
    <t>331 Jeff Fork, New Michaelside, KY 06628</t>
  </si>
  <si>
    <t>Pierce, Wilson and Russell</t>
  </si>
  <si>
    <t>1983-02-22</t>
  </si>
  <si>
    <t>2023-05-10</t>
  </si>
  <si>
    <t>Marcia Jones</t>
  </si>
  <si>
    <t>zachary48@smith.com</t>
  </si>
  <si>
    <t>+1-736-696-9071x601</t>
  </si>
  <si>
    <t>45345 Jackson Parks Suite 464, Port Laura, FL 25760</t>
  </si>
  <si>
    <t>Avery, Johnson and Johnson</t>
  </si>
  <si>
    <t>1962-11-12</t>
  </si>
  <si>
    <t>2016-03-09</t>
  </si>
  <si>
    <t>zachary52@bryan.com</t>
  </si>
  <si>
    <t>(844)044-1501x5400</t>
  </si>
  <si>
    <t>8583 Khan Club, Austintown, CT 96318</t>
  </si>
  <si>
    <t>Benitez, Rocha and Mayer</t>
  </si>
  <si>
    <t>2003-05-04</t>
  </si>
  <si>
    <t>2015-10-25</t>
  </si>
  <si>
    <t>Jason Morales</t>
  </si>
  <si>
    <t>mlopez@hotmail.com</t>
  </si>
  <si>
    <t>323.152.4238</t>
  </si>
  <si>
    <t>5032 Paul Causeway, South Waltermouth, VT 11707</t>
  </si>
  <si>
    <t>Brandt, Sherman and Christensen</t>
  </si>
  <si>
    <t>1983-04-18</t>
  </si>
  <si>
    <t>Barbara Martin</t>
  </si>
  <si>
    <t>ericevans@yahoo.com</t>
  </si>
  <si>
    <t>(672)962-4778x56022</t>
  </si>
  <si>
    <t>08628 Williams Ridges Apt. 067, Lake Michelle, OK 75738</t>
  </si>
  <si>
    <t>Petersen, Whitaker and Gardner</t>
  </si>
  <si>
    <t>2001-03-12</t>
  </si>
  <si>
    <t>2020-07-30</t>
  </si>
  <si>
    <t>charles39@gmail.com</t>
  </si>
  <si>
    <t>(709)132-9128x51788</t>
  </si>
  <si>
    <t>PSC 9812, Box 8245, APO AA 91590</t>
  </si>
  <si>
    <t>Brown-Allen</t>
  </si>
  <si>
    <t>1972-09-18</t>
  </si>
  <si>
    <t>2018-01-12</t>
  </si>
  <si>
    <t>James Aguilar</t>
  </si>
  <si>
    <t>chavezalexander@gmail.com</t>
  </si>
  <si>
    <t>637.644.9375x013</t>
  </si>
  <si>
    <t>20340 Mcguire Court, Lake Lucas, ME 29172</t>
  </si>
  <si>
    <t>White-Robinson</t>
  </si>
  <si>
    <t>1977-09-19</t>
  </si>
  <si>
    <t>Eileen Murphy</t>
  </si>
  <si>
    <t>aguilarandrew@walsh-dudley.com</t>
  </si>
  <si>
    <t>001-361-520-3961x81229</t>
  </si>
  <si>
    <t>132 Gross Parkways Apt. 508, Carolynmouth, NY 84662</t>
  </si>
  <si>
    <t>Morgan, Coleman and Burton</t>
  </si>
  <si>
    <t>2005-05-24</t>
  </si>
  <si>
    <t>John Hernandez</t>
  </si>
  <si>
    <t>qparker@yahoo.com</t>
  </si>
  <si>
    <t>680-523-8952</t>
  </si>
  <si>
    <t>95798 Rachel Ways, Petersonmouth, DE 69002</t>
  </si>
  <si>
    <t>Stevenson Ltd</t>
  </si>
  <si>
    <t>1976-01-30</t>
  </si>
  <si>
    <t>Ashley Cooper</t>
  </si>
  <si>
    <t>richardeverett@vasquez-brown.org</t>
  </si>
  <si>
    <t>853-713-8218x28925</t>
  </si>
  <si>
    <t>5456 Reynolds Manors, Lake Lisahaven, MA 98829</t>
  </si>
  <si>
    <t>Steele, Russo and Chen</t>
  </si>
  <si>
    <t>1978-01-22</t>
  </si>
  <si>
    <t>2023-08-10</t>
  </si>
  <si>
    <t>Kristina Allen</t>
  </si>
  <si>
    <t>qhall@yahoo.com</t>
  </si>
  <si>
    <t>(792)645-9611</t>
  </si>
  <si>
    <t>23514 Macdonald Crescent Apt. 551, Port Justinville, AL 27694</t>
  </si>
  <si>
    <t>Novak, Valenzuela and Small</t>
  </si>
  <si>
    <t>1960-09-20</t>
  </si>
  <si>
    <t>Cameron Knox</t>
  </si>
  <si>
    <t>snyderkelsey@hotmail.com</t>
  </si>
  <si>
    <t>920-458-0610x423</t>
  </si>
  <si>
    <t>PSC 6426, Box 9941, APO AE 44171</t>
  </si>
  <si>
    <t>Garcia, Baker and Nelson</t>
  </si>
  <si>
    <t>2005-03-04</t>
  </si>
  <si>
    <t>2015-12-16</t>
  </si>
  <si>
    <t>Stephen Bailey</t>
  </si>
  <si>
    <t>mbailey@gmail.com</t>
  </si>
  <si>
    <t>699.108.0203</t>
  </si>
  <si>
    <t>4487 Cortez Hills Apt. 921, East Cherylton, TN 71197</t>
  </si>
  <si>
    <t>Massey, Smith and Morrison</t>
  </si>
  <si>
    <t>1985-05-05</t>
  </si>
  <si>
    <t>Andre Johnston</t>
  </si>
  <si>
    <t>qkaufman@hotmail.com</t>
  </si>
  <si>
    <t>707-857-7481</t>
  </si>
  <si>
    <t>6309 Weber Lakes Suite 676, New Victoriaton, GA 20068</t>
  </si>
  <si>
    <t>Ruiz, Contreras and Phillips</t>
  </si>
  <si>
    <t>1962-11-08</t>
  </si>
  <si>
    <t>2022-05-26</t>
  </si>
  <si>
    <t>Larry Carroll</t>
  </si>
  <si>
    <t>nmcdonald@gmail.com</t>
  </si>
  <si>
    <t>520-125-8060x7127</t>
  </si>
  <si>
    <t>Unit 4999 Box 0832, DPO AE 46382</t>
  </si>
  <si>
    <t>Aguirre PLC</t>
  </si>
  <si>
    <t>1981-07-31</t>
  </si>
  <si>
    <t>patrick49@tanner-bauer.com</t>
  </si>
  <si>
    <t>(199)853-8879x03584</t>
  </si>
  <si>
    <t>3091 Joshua Village Suite 279, Lopezhaven, UT 77806</t>
  </si>
  <si>
    <t>Melendez and Sons</t>
  </si>
  <si>
    <t>Summer Hughes</t>
  </si>
  <si>
    <t>dchavez@hotmail.com</t>
  </si>
  <si>
    <t>519.401.9697x5203</t>
  </si>
  <si>
    <t>PSC 2029, Box 2371, APO AP 80959</t>
  </si>
  <si>
    <t>2001-02-05</t>
  </si>
  <si>
    <t>Amanda Johnson</t>
  </si>
  <si>
    <t>robingomez@yahoo.com</t>
  </si>
  <si>
    <t>(125)449-7814x4692</t>
  </si>
  <si>
    <t>00902 Miller Vista, North Ronaldmouth, MO 46776</t>
  </si>
  <si>
    <t>1978-01-26</t>
  </si>
  <si>
    <t>Marcus Hill</t>
  </si>
  <si>
    <t>agilbert@powell.com</t>
  </si>
  <si>
    <t>058-555-5593x87994</t>
  </si>
  <si>
    <t>83387 Hunter Parkway, North Ryanside, ME 94323</t>
  </si>
  <si>
    <t>Hubbard, Hill and Ward</t>
  </si>
  <si>
    <t>1972-02-18</t>
  </si>
  <si>
    <t>Shannon Lewis</t>
  </si>
  <si>
    <t>angela18@yahoo.com</t>
  </si>
  <si>
    <t>(285)781-6777x81861</t>
  </si>
  <si>
    <t>646 Martin Squares, East Maxwellville, MN 29755</t>
  </si>
  <si>
    <t>Davis-Hayes</t>
  </si>
  <si>
    <t>1989-08-25</t>
  </si>
  <si>
    <t>2018-01-31</t>
  </si>
  <si>
    <t>Phillip Holden</t>
  </si>
  <si>
    <t>kelly91@gmail.com</t>
  </si>
  <si>
    <t>(968)570-1852</t>
  </si>
  <si>
    <t>1360 Elizabeth Squares, New Nicholasberg, OH 23707</t>
  </si>
  <si>
    <t>Haney-Singh</t>
  </si>
  <si>
    <t>1993-09-14</t>
  </si>
  <si>
    <t>Anthony Nelson</t>
  </si>
  <si>
    <t>danielduran@osborn-brown.info</t>
  </si>
  <si>
    <t>988-003-3343x76907</t>
  </si>
  <si>
    <t>2896 Ryan Manor Suite 365, Atkinsonville, ME 21314</t>
  </si>
  <si>
    <t>Goodwin, Booker and Rodriguez</t>
  </si>
  <si>
    <t>1997-04-07</t>
  </si>
  <si>
    <t>2024-08-01</t>
  </si>
  <si>
    <t>Kevin Miller</t>
  </si>
  <si>
    <t>wfoster@nelson.com</t>
  </si>
  <si>
    <t>474-237-1268x37459</t>
  </si>
  <si>
    <t>45477 Tim Divide, Ortegaland, LA 47260</t>
  </si>
  <si>
    <t>Rodriguez-Willis</t>
  </si>
  <si>
    <t>1982-04-13</t>
  </si>
  <si>
    <t>Sean Diaz</t>
  </si>
  <si>
    <t>zroberts@hotmail.com</t>
  </si>
  <si>
    <t>001-848-834-2257x2622</t>
  </si>
  <si>
    <t>6437 Crosby Rapids Apt. 357, South Adrienneside, OR 11557</t>
  </si>
  <si>
    <t>Walters-Brown</t>
  </si>
  <si>
    <t>Andrew Rose</t>
  </si>
  <si>
    <t>danny35@gonzalez.com</t>
  </si>
  <si>
    <t>001-410-429-8825x1825</t>
  </si>
  <si>
    <t>0572 Ortiz Road Suite 079, New Kathleen, TN 80524</t>
  </si>
  <si>
    <t>Morris, Stewart and Bishop</t>
  </si>
  <si>
    <t>1993-11-25</t>
  </si>
  <si>
    <t>Susan Reyes</t>
  </si>
  <si>
    <t>alexanderandre@clayton.com</t>
  </si>
  <si>
    <t>051.223.1327</t>
  </si>
  <si>
    <t>5232 Ross Mill Suite 622, Laurenmouth, VT 75214</t>
  </si>
  <si>
    <t>Bryant-Pierce</t>
  </si>
  <si>
    <t>Kristina Cook</t>
  </si>
  <si>
    <t>frank53@klein-olsen.com</t>
  </si>
  <si>
    <t>001-801-497-4179x09864</t>
  </si>
  <si>
    <t>3842 Maria Shoals Apt. 013, East Hannahmouth, WA 26330</t>
  </si>
  <si>
    <t>Cruz-Fields</t>
  </si>
  <si>
    <t>1989-10-24</t>
  </si>
  <si>
    <t>Crystal Mccormick</t>
  </si>
  <si>
    <t>andrewjones@sims.com</t>
  </si>
  <si>
    <t>(655)031-6978x347</t>
  </si>
  <si>
    <t>271 Pamela Streets, Doyleville, KS 52651</t>
  </si>
  <si>
    <t>Martinez, Erickson and Kelley</t>
  </si>
  <si>
    <t>2006-12-16</t>
  </si>
  <si>
    <t>Michelle Leon</t>
  </si>
  <si>
    <t>david50@yahoo.com</t>
  </si>
  <si>
    <t>005-181-7627x982</t>
  </si>
  <si>
    <t>14043 Lee Stream Apt. 124, Angelaport, IN 11601</t>
  </si>
  <si>
    <t>Ferguson, Rios and Warren</t>
  </si>
  <si>
    <t>2000-09-01</t>
  </si>
  <si>
    <t>2019-08-08</t>
  </si>
  <si>
    <t>Brian Russell</t>
  </si>
  <si>
    <t>emartinez@yahoo.com</t>
  </si>
  <si>
    <t>001-990-660-3154x71090</t>
  </si>
  <si>
    <t>02794 Martin Port Suite 806, Cainbury, WI 98505</t>
  </si>
  <si>
    <t>Sims, Wagner and Winters</t>
  </si>
  <si>
    <t>1965-10-21</t>
  </si>
  <si>
    <t>2018-06-30</t>
  </si>
  <si>
    <t>Alyssa Duke</t>
  </si>
  <si>
    <t>woodkelly@carter.com</t>
  </si>
  <si>
    <t>+1-657-933-9908x1306</t>
  </si>
  <si>
    <t>08633 Harris Wells Apt. 705, Lake Keith, TX 47701</t>
  </si>
  <si>
    <t>Engineer, energy</t>
  </si>
  <si>
    <t>Ortiz-Anderson</t>
  </si>
  <si>
    <t>2005-04-16</t>
  </si>
  <si>
    <t>2024-03-18</t>
  </si>
  <si>
    <t>John Delacruz</t>
  </si>
  <si>
    <t>stonejohn@yahoo.com</t>
  </si>
  <si>
    <t>(285)564-2173</t>
  </si>
  <si>
    <t>2091 Renee Garden, Poncemouth, MT 32295</t>
  </si>
  <si>
    <t>Ramirez-Conner</t>
  </si>
  <si>
    <t>2005-12-30</t>
  </si>
  <si>
    <t>Kristin Adams</t>
  </si>
  <si>
    <t>robinsonsara@martinez.com</t>
  </si>
  <si>
    <t>+1-798-059-0057</t>
  </si>
  <si>
    <t>810 Johnson Lodge, East Janeland, MO 45749</t>
  </si>
  <si>
    <t>Potts, Williams and Bonilla</t>
  </si>
  <si>
    <t>2004-04-15</t>
  </si>
  <si>
    <t>Brandon Ross</t>
  </si>
  <si>
    <t>xleonard@yahoo.com</t>
  </si>
  <si>
    <t>0259835590</t>
  </si>
  <si>
    <t>02503 Megan Freeway Suite 927, Rogersberg, OH 51854</t>
  </si>
  <si>
    <t>Castillo Inc</t>
  </si>
  <si>
    <t>1970-08-19</t>
  </si>
  <si>
    <t>Nathan Cardenas</t>
  </si>
  <si>
    <t>christinehobbs@yahoo.com</t>
  </si>
  <si>
    <t>001-049-615-0939x21453</t>
  </si>
  <si>
    <t>197 Gregory Harbor, Jeremytown, NV 89301</t>
  </si>
  <si>
    <t>Kim-Garcia</t>
  </si>
  <si>
    <t>1963-03-30</t>
  </si>
  <si>
    <t>2021-08-26</t>
  </si>
  <si>
    <t>Dana Thomas</t>
  </si>
  <si>
    <t>brandon71@hotmail.com</t>
  </si>
  <si>
    <t>626.660.5732</t>
  </si>
  <si>
    <t>409 Acosta Rapids, Noahhaven, IL 38509</t>
  </si>
  <si>
    <t>James, Hernandez and Herrera</t>
  </si>
  <si>
    <t>1972-06-29</t>
  </si>
  <si>
    <t>Michael Bailey</t>
  </si>
  <si>
    <t>kristen58@hotmail.com</t>
  </si>
  <si>
    <t>9046367603</t>
  </si>
  <si>
    <t>395 Cross Lodge Apt. 498, South Christopher, PA 05077</t>
  </si>
  <si>
    <t>1997-09-04</t>
  </si>
  <si>
    <t>2022-12-10</t>
  </si>
  <si>
    <t>Leah Warner</t>
  </si>
  <si>
    <t>lparker@hotmail.com</t>
  </si>
  <si>
    <t>001-177-444-1220x9312</t>
  </si>
  <si>
    <t>USCGC Schultz, FPO AE 01986</t>
  </si>
  <si>
    <t>Bender-Pierce</t>
  </si>
  <si>
    <t>1969-10-31</t>
  </si>
  <si>
    <t>Stephen Rogers</t>
  </si>
  <si>
    <t>brian64@howard-tran.biz</t>
  </si>
  <si>
    <t>6438849496</t>
  </si>
  <si>
    <t>49892 Cassie Forge, Cookshire, DE 14804</t>
  </si>
  <si>
    <t>Fields-Moore</t>
  </si>
  <si>
    <t>1960-12-22</t>
  </si>
  <si>
    <t>Christopher Gomez</t>
  </si>
  <si>
    <t>andersonmarc@davis.com</t>
  </si>
  <si>
    <t>(263)065-3860x02197</t>
  </si>
  <si>
    <t>USCGC Brown, FPO AE 35268</t>
  </si>
  <si>
    <t>Todd-Lewis</t>
  </si>
  <si>
    <t>1994-06-26</t>
  </si>
  <si>
    <t>2017-05-22</t>
  </si>
  <si>
    <t>Jamie Nelson</t>
  </si>
  <si>
    <t>liumarissa@humphrey.com</t>
  </si>
  <si>
    <t>+1-245-256-6013</t>
  </si>
  <si>
    <t>13261 Simpson Rapid, West Katelyn, WV 99593</t>
  </si>
  <si>
    <t>Perez, Hawkins and Dunn</t>
  </si>
  <si>
    <t>barbara22@yahoo.com</t>
  </si>
  <si>
    <t>617-964-9622</t>
  </si>
  <si>
    <t>67576 Zachary Gardens Suite 517, South Alexa, NJ 90123</t>
  </si>
  <si>
    <t>Rios, Holland and Terrell</t>
  </si>
  <si>
    <t>1998-06-29</t>
  </si>
  <si>
    <t>2020-12-21</t>
  </si>
  <si>
    <t>Benjamin Hodges</t>
  </si>
  <si>
    <t>burnsbrian@gmail.com</t>
  </si>
  <si>
    <t>427.606.7482</t>
  </si>
  <si>
    <t>0917 Melissa Station, Lake Diane, DC 29559</t>
  </si>
  <si>
    <t>1962-06-23</t>
  </si>
  <si>
    <t>Daniel Phillips</t>
  </si>
  <si>
    <t>morrisjessica@johnson-norman.com</t>
  </si>
  <si>
    <t>+1-888-520-8829</t>
  </si>
  <si>
    <t>4990 Barnes Harbors, North Thomasshire, AZ 17339</t>
  </si>
  <si>
    <t>Stanton-Marshall</t>
  </si>
  <si>
    <t>1999-12-17</t>
  </si>
  <si>
    <t>Amy Myers</t>
  </si>
  <si>
    <t>andrew61@hotmail.com</t>
  </si>
  <si>
    <t>786-860-6179</t>
  </si>
  <si>
    <t>32427 Smith Pike Suite 850, Manntown, NJ 52924</t>
  </si>
  <si>
    <t>Jimenez, Cochran and Chavez</t>
  </si>
  <si>
    <t>2001-03-05</t>
  </si>
  <si>
    <t>2022-09-13</t>
  </si>
  <si>
    <t>Dominique Miller</t>
  </si>
  <si>
    <t>aking@yahoo.com</t>
  </si>
  <si>
    <t>931.033.4726</t>
  </si>
  <si>
    <t>3036 Wise Via, Billyview, DC 72823</t>
  </si>
  <si>
    <t>May, Brown and Brown</t>
  </si>
  <si>
    <t>1963-03-17</t>
  </si>
  <si>
    <t>Christopher Martin</t>
  </si>
  <si>
    <t>campbellamber@rogers.com</t>
  </si>
  <si>
    <t>+1-568-900-9947</t>
  </si>
  <si>
    <t>689 Griffin Via Apt. 770, Lake Brianstad, DE 87874</t>
  </si>
  <si>
    <t>Williams-Ford</t>
  </si>
  <si>
    <t>Stephanie Lewis</t>
  </si>
  <si>
    <t>rodneycalderon@yahoo.com</t>
  </si>
  <si>
    <t>152-674-6704x00912</t>
  </si>
  <si>
    <t>40909 Patrick Neck, Hatfieldport, FL 25423</t>
  </si>
  <si>
    <t>Caldwell, George and Greer</t>
  </si>
  <si>
    <t>1985-03-03</t>
  </si>
  <si>
    <t>Mark Andrews</t>
  </si>
  <si>
    <t>chelsea27@cooper.com</t>
  </si>
  <si>
    <t>+1-966-236-1530x99355</t>
  </si>
  <si>
    <t>5883 Curry Forge, Dominguezhaven, AR 07563</t>
  </si>
  <si>
    <t>Smith-Diaz</t>
  </si>
  <si>
    <t>1990-01-20</t>
  </si>
  <si>
    <t>2023-11-19</t>
  </si>
  <si>
    <t>James Beck</t>
  </si>
  <si>
    <t>rickymartin@yahoo.com</t>
  </si>
  <si>
    <t>587-725-0266x0897</t>
  </si>
  <si>
    <t>2141 Stone Fall Suite 616, Markhaven, TN 70598</t>
  </si>
  <si>
    <t>Gamble Ltd</t>
  </si>
  <si>
    <t>1960-08-01</t>
  </si>
  <si>
    <t>2015-12-17</t>
  </si>
  <si>
    <t>Teresa Cox</t>
  </si>
  <si>
    <t>boothjanice@gmail.com</t>
  </si>
  <si>
    <t>(543)609-4656x91908</t>
  </si>
  <si>
    <t>321 Erik Plain, Stanleyhaven, NV 48602</t>
  </si>
  <si>
    <t>Velasquez, Davidson and Vance</t>
  </si>
  <si>
    <t>1984-07-27</t>
  </si>
  <si>
    <t>2023-01-03</t>
  </si>
  <si>
    <t>Jonathan Grant</t>
  </si>
  <si>
    <t>thomasroberts@gmail.com</t>
  </si>
  <si>
    <t>187.761.4871</t>
  </si>
  <si>
    <t>USNV Maldonado, FPO AP 57129</t>
  </si>
  <si>
    <t>Murillo-Hoffman</t>
  </si>
  <si>
    <t>1991-09-25</t>
  </si>
  <si>
    <t>2016-12-13</t>
  </si>
  <si>
    <t>Amy Maldonado</t>
  </si>
  <si>
    <t>collinskristina@hotmail.com</t>
  </si>
  <si>
    <t>5149975262</t>
  </si>
  <si>
    <t>76534 Rosales Common Apt. 919, Loganstad, TX 10575</t>
  </si>
  <si>
    <t>Montgomery-Adams</t>
  </si>
  <si>
    <t>1979-04-17</t>
  </si>
  <si>
    <t>Amy Young</t>
  </si>
  <si>
    <t>carneysusan@anderson.net</t>
  </si>
  <si>
    <t>(123)086-6710x7438</t>
  </si>
  <si>
    <t>812 Raymond Light, South Emily, AL 66833</t>
  </si>
  <si>
    <t>Martinez, Woodard and Morales</t>
  </si>
  <si>
    <t>Craig Silva</t>
  </si>
  <si>
    <t>rodneyjackson@gmail.com</t>
  </si>
  <si>
    <t>397-119-6770x86020</t>
  </si>
  <si>
    <t>1330 Maxwell Orchard, West Dylanview, KS 57787</t>
  </si>
  <si>
    <t>Stevens, Thompson and Vega</t>
  </si>
  <si>
    <t>2002-01-14</t>
  </si>
  <si>
    <t>2021-03-21</t>
  </si>
  <si>
    <t>Debbie Larsen</t>
  </si>
  <si>
    <t>mcintyrebrandon@yahoo.com</t>
  </si>
  <si>
    <t>+1-602-997-8253x740</t>
  </si>
  <si>
    <t>51226 Henry Station, Hollowaymouth, CA 09431</t>
  </si>
  <si>
    <t>Meyers-Dillon</t>
  </si>
  <si>
    <t>2024-04-07</t>
  </si>
  <si>
    <t>Tiffany Miller</t>
  </si>
  <si>
    <t>lowerylaura@yahoo.com</t>
  </si>
  <si>
    <t>240-072-4574x56351</t>
  </si>
  <si>
    <t>07930 Roy Loaf, West Danafort, NC 42177</t>
  </si>
  <si>
    <t>Phillips, Martin and Jones</t>
  </si>
  <si>
    <t>1963-08-29</t>
  </si>
  <si>
    <t>Teresa Jones</t>
  </si>
  <si>
    <t>danielhuffman@yahoo.com</t>
  </si>
  <si>
    <t>+1-971-841-5473x83105</t>
  </si>
  <si>
    <t>673 Henry Plain, Dixonmouth, KS 64027</t>
  </si>
  <si>
    <t>Stewart-Williams</t>
  </si>
  <si>
    <t>2021-04-04</t>
  </si>
  <si>
    <t>Sean Fernandez</t>
  </si>
  <si>
    <t>hollanderic@hotmail.com</t>
  </si>
  <si>
    <t>981-831-6013</t>
  </si>
  <si>
    <t>2100 Patrick Meadows, Mercerview, OK 56645</t>
  </si>
  <si>
    <t>Mcneil, Booker and Taylor</t>
  </si>
  <si>
    <t>2004-01-18</t>
  </si>
  <si>
    <t>Theresa Newton</t>
  </si>
  <si>
    <t>nelsonjason@gmail.com</t>
  </si>
  <si>
    <t>5721419690</t>
  </si>
  <si>
    <t>845 Lewis Route, Port Deborahview, LA 68547</t>
  </si>
  <si>
    <t>1965-10-14</t>
  </si>
  <si>
    <t>Daniel Brown</t>
  </si>
  <si>
    <t>williamstimothy@wright.info</t>
  </si>
  <si>
    <t>+1-689-232-4177x075</t>
  </si>
  <si>
    <t>2600 Derek Underpass Suite 234, East Stephanie, DE 24217</t>
  </si>
  <si>
    <t>Gilbert, Dunn and Kim</t>
  </si>
  <si>
    <t>1973-12-26</t>
  </si>
  <si>
    <t>2018-06-15</t>
  </si>
  <si>
    <t>Daniel Reed</t>
  </si>
  <si>
    <t>markhall@ford.info</t>
  </si>
  <si>
    <t>001-779-750-5549x24440</t>
  </si>
  <si>
    <t>32056 Joseph Forges Suite 355, Adkinsfurt, NV 48852</t>
  </si>
  <si>
    <t>1980-06-08</t>
  </si>
  <si>
    <t>Andrew Hawkins</t>
  </si>
  <si>
    <t>turnereileen@gmail.com</t>
  </si>
  <si>
    <t>+1-673-425-9962x30892</t>
  </si>
  <si>
    <t>USNV Hansen, FPO AA 45135</t>
  </si>
  <si>
    <t>Ward, Brown and Larsen</t>
  </si>
  <si>
    <t>1973-01-26</t>
  </si>
  <si>
    <t>2020-07-21</t>
  </si>
  <si>
    <t>Douglas Cowan</t>
  </si>
  <si>
    <t>jacksonmichael@ortiz.com</t>
  </si>
  <si>
    <t>992.187.4274</t>
  </si>
  <si>
    <t>08449 Hill Highway, North Kristinaville, AR 72600</t>
  </si>
  <si>
    <t>Sharp-Hodge</t>
  </si>
  <si>
    <t>2004-11-27</t>
  </si>
  <si>
    <t>2024-03-24</t>
  </si>
  <si>
    <t>Brianna Townsend</t>
  </si>
  <si>
    <t>emmachapman@yahoo.com</t>
  </si>
  <si>
    <t>+1-975-157-5579x2662</t>
  </si>
  <si>
    <t>0923 Laura Locks, Santiagoview, DE 68379</t>
  </si>
  <si>
    <t>Patel, Turner and Smith</t>
  </si>
  <si>
    <t>1984-01-05</t>
  </si>
  <si>
    <t>Janice Edwards</t>
  </si>
  <si>
    <t>lanebrett@yahoo.com</t>
  </si>
  <si>
    <t>+1-370-917-4304x3937</t>
  </si>
  <si>
    <t>709 Jenna Forks Apt. 318, North Jamesborough, GA 92354</t>
  </si>
  <si>
    <t>Perez-Casey</t>
  </si>
  <si>
    <t>1972-02-13</t>
  </si>
  <si>
    <t>2016-12-07</t>
  </si>
  <si>
    <t>Diana Edwards</t>
  </si>
  <si>
    <t>xcarter@gmail.com</t>
  </si>
  <si>
    <t>125-327-6419x55905</t>
  </si>
  <si>
    <t>737 Flynn Ferry Suite 110, Joelland, LA 74178</t>
  </si>
  <si>
    <t>Johnson, Campbell and Patrick</t>
  </si>
  <si>
    <t>2003-02-18</t>
  </si>
  <si>
    <t>Phillip Moore</t>
  </si>
  <si>
    <t>vstrong@moran-pitts.com</t>
  </si>
  <si>
    <t>(417)174-3699</t>
  </si>
  <si>
    <t>747 Eddie Lane Suite 348, West Lindsey, NJ 89090</t>
  </si>
  <si>
    <t>Wood-Anderson</t>
  </si>
  <si>
    <t>1969-09-22</t>
  </si>
  <si>
    <t>2019-10-28</t>
  </si>
  <si>
    <t>Theresa Mcknight</t>
  </si>
  <si>
    <t>maryrivers@moore.org</t>
  </si>
  <si>
    <t>5103313047</t>
  </si>
  <si>
    <t>03910 Hayes Rapids, West Jeremy, GA 22401</t>
  </si>
  <si>
    <t>Turner, Smith and Guzman</t>
  </si>
  <si>
    <t>1974-11-07</t>
  </si>
  <si>
    <t>Kimberly Rowe</t>
  </si>
  <si>
    <t>tashacarroll@wilson.com</t>
  </si>
  <si>
    <t>159.228.9802x99468</t>
  </si>
  <si>
    <t>2790 Angela Mall Apt. 301, Timothyview, DE 13441</t>
  </si>
  <si>
    <t>Welch Inc</t>
  </si>
  <si>
    <t>2004-02-02</t>
  </si>
  <si>
    <t>Leon Johnson</t>
  </si>
  <si>
    <t>james40@rodriguez.biz</t>
  </si>
  <si>
    <t>(634)913-7449</t>
  </si>
  <si>
    <t>503 Gonzalez Square Suite 647, Ryanside, AR 02665</t>
  </si>
  <si>
    <t>Vega Inc</t>
  </si>
  <si>
    <t>1966-07-29</t>
  </si>
  <si>
    <t>Lori Gutierrez</t>
  </si>
  <si>
    <t>qwagner@williams.com</t>
  </si>
  <si>
    <t>476.459.4972x518</t>
  </si>
  <si>
    <t>32025 Coleman Locks Suite 156, Smithfurt, IA 72057</t>
  </si>
  <si>
    <t>Esparza Ltd</t>
  </si>
  <si>
    <t>1974-07-18</t>
  </si>
  <si>
    <t>Kristen Smith</t>
  </si>
  <si>
    <t>zbuck@gmail.com</t>
  </si>
  <si>
    <t>(771)342-3688x4996</t>
  </si>
  <si>
    <t>94960 Alvarez Canyon Apt. 782, Snowton, AL 51079</t>
  </si>
  <si>
    <t>Smith-Powers</t>
  </si>
  <si>
    <t>1971-05-19</t>
  </si>
  <si>
    <t>Christopher Lopez</t>
  </si>
  <si>
    <t>bill17@martin-anderson.com</t>
  </si>
  <si>
    <t>984-996-7273</t>
  </si>
  <si>
    <t>017 Michael Circles, Lake Kevinchester, IA 14544</t>
  </si>
  <si>
    <t>1985-10-28</t>
  </si>
  <si>
    <t>Brent Richards</t>
  </si>
  <si>
    <t>echavez@yahoo.com</t>
  </si>
  <si>
    <t>7796172873</t>
  </si>
  <si>
    <t>98895 Thompson Grove, Tristanside, DC 40745</t>
  </si>
  <si>
    <t>Atkinson and Sons</t>
  </si>
  <si>
    <t>Nathan Clark</t>
  </si>
  <si>
    <t>loriprice@ruiz.com</t>
  </si>
  <si>
    <t>6283141106</t>
  </si>
  <si>
    <t>430 Hill Forks, Kristenchester, ND 68844</t>
  </si>
  <si>
    <t>James-Thompson</t>
  </si>
  <si>
    <t>1999-05-19</t>
  </si>
  <si>
    <t>katherine50@hotmail.com</t>
  </si>
  <si>
    <t>+1-913-704-0154</t>
  </si>
  <si>
    <t>523 Rodriguez Divide Apt. 045, East James, MD 07640</t>
  </si>
  <si>
    <t>Johnson-Perez</t>
  </si>
  <si>
    <t>2021-12-19</t>
  </si>
  <si>
    <t>mathiswayne@gmail.com</t>
  </si>
  <si>
    <t>729.005.1977x441</t>
  </si>
  <si>
    <t>457 Curry Ports Suite 110, Austinbury, CA 40900</t>
  </si>
  <si>
    <t>Acosta, Sharp and Carter</t>
  </si>
  <si>
    <t>1964-10-19</t>
  </si>
  <si>
    <t>Ashley Shea</t>
  </si>
  <si>
    <t>caldwelldonald@hotmail.com</t>
  </si>
  <si>
    <t>982.891.6722</t>
  </si>
  <si>
    <t>555 Robert Court Suite 624, Port Michael, OK 79371</t>
  </si>
  <si>
    <t>Berger, Davis and Stone</t>
  </si>
  <si>
    <t>1989-03-28</t>
  </si>
  <si>
    <t>2018-08-18</t>
  </si>
  <si>
    <t>Mark Burnett</t>
  </si>
  <si>
    <t>courtneywalton@parsons-kennedy.com</t>
  </si>
  <si>
    <t>+1-783-939-9789x61294</t>
  </si>
  <si>
    <t>701 Jackson Springs, Yangview, NY 22374</t>
  </si>
  <si>
    <t>Wong-Walsh</t>
  </si>
  <si>
    <t>2000-09-17</t>
  </si>
  <si>
    <t>2022-05-07</t>
  </si>
  <si>
    <t>William Calhoun</t>
  </si>
  <si>
    <t>rrodriguez@alexander.com</t>
  </si>
  <si>
    <t>094.929.0703</t>
  </si>
  <si>
    <t>385 Ana Route Apt. 407, New Sonyaville, IN 77210</t>
  </si>
  <si>
    <t>Pennington-Hall</t>
  </si>
  <si>
    <t>1980-02-07</t>
  </si>
  <si>
    <t>Jennifer Thornton</t>
  </si>
  <si>
    <t>mark93@yahoo.com</t>
  </si>
  <si>
    <t>830-966-8848</t>
  </si>
  <si>
    <t>0106 Adams Expressway Apt. 241, Lake Bridget, IN 41474</t>
  </si>
  <si>
    <t>Cox, Snyder and Dodson</t>
  </si>
  <si>
    <t>1972-04-09</t>
  </si>
  <si>
    <t>2020-05-07</t>
  </si>
  <si>
    <t>Aaron Johnston</t>
  </si>
  <si>
    <t>michelleboyd@chen-manning.com</t>
  </si>
  <si>
    <t>(985)575-7092x7848</t>
  </si>
  <si>
    <t>90938 Parker Viaduct, South Kevinfurt, VA 82543</t>
  </si>
  <si>
    <t>1999-03-08</t>
  </si>
  <si>
    <t>Carlos Cardenas</t>
  </si>
  <si>
    <t>brooke49@rivera.com</t>
  </si>
  <si>
    <t>1262450167</t>
  </si>
  <si>
    <t>438 Patterson Harbors Apt. 062, West Veronica, VA 86671</t>
  </si>
  <si>
    <t>Hahn, Ryan and Rodriguez</t>
  </si>
  <si>
    <t>2000-06-24</t>
  </si>
  <si>
    <t>Steven Cooper</t>
  </si>
  <si>
    <t>ronaldpotter@smith.com</t>
  </si>
  <si>
    <t>001-421-267-2427x1191</t>
  </si>
  <si>
    <t>2489 Jensen Square, Jacobmouth, AK 81599</t>
  </si>
  <si>
    <t>1974-01-04</t>
  </si>
  <si>
    <t>Stephanie Taylor</t>
  </si>
  <si>
    <t>wangemily@gmail.com</t>
  </si>
  <si>
    <t>001-259-371-1156</t>
  </si>
  <si>
    <t>Unit 9319 Box 7763, DPO AA 35826</t>
  </si>
  <si>
    <t>1976-09-26</t>
  </si>
  <si>
    <t>2022-11-10</t>
  </si>
  <si>
    <t>Christopher Skinner</t>
  </si>
  <si>
    <t>rmiles@hotmail.com</t>
  </si>
  <si>
    <t>908-197-5155x480</t>
  </si>
  <si>
    <t>895 Scott Valleys, West Michael, KY 28290</t>
  </si>
  <si>
    <t>Vaughan Group</t>
  </si>
  <si>
    <t>1988-12-30</t>
  </si>
  <si>
    <t>2022-04-02</t>
  </si>
  <si>
    <t>Isaiah Camacho</t>
  </si>
  <si>
    <t>jacksongary@gmail.com</t>
  </si>
  <si>
    <t>025-837-8038</t>
  </si>
  <si>
    <t>84862 Sabrina Rest, Weeksshire, NH 34800</t>
  </si>
  <si>
    <t>1974-04-25</t>
  </si>
  <si>
    <t>Jason Huang</t>
  </si>
  <si>
    <t>meganharris@mills-mason.org</t>
  </si>
  <si>
    <t>001-220-575-0099x3991</t>
  </si>
  <si>
    <t>16033 Christine Pike, West Alicia, NC 97240</t>
  </si>
  <si>
    <t>Cervantes, Mcgrath and Maddox</t>
  </si>
  <si>
    <t>1963-12-23</t>
  </si>
  <si>
    <t>2016-02-24</t>
  </si>
  <si>
    <t>Stephanie Bailey</t>
  </si>
  <si>
    <t>kimberlysilva@bailey.com</t>
  </si>
  <si>
    <t>+1-487-280-8886x088</t>
  </si>
  <si>
    <t>31811 Williams Causeway Suite 153, North Melissa, WI 55387</t>
  </si>
  <si>
    <t>Evans Group</t>
  </si>
  <si>
    <t>2018-11-26</t>
  </si>
  <si>
    <t>Nancy Gonzalez</t>
  </si>
  <si>
    <t>jamesjon@gmail.com</t>
  </si>
  <si>
    <t>139.255.5927x90413</t>
  </si>
  <si>
    <t>Unit 1578 Box 1113, DPO AA 26611</t>
  </si>
  <si>
    <t>Kemp LLC</t>
  </si>
  <si>
    <t>2003-01-22</t>
  </si>
  <si>
    <t>2024-05-06</t>
  </si>
  <si>
    <t>Gabriel Johnson</t>
  </si>
  <si>
    <t>gonzalezkathleen@yahoo.com</t>
  </si>
  <si>
    <t>+1-801-106-7339x8861</t>
  </si>
  <si>
    <t>8931 Mcintosh Hills Suite 707, Port Robin, KY 70602</t>
  </si>
  <si>
    <t>Richardson LLC</t>
  </si>
  <si>
    <t>2004-09-04</t>
  </si>
  <si>
    <t>Donald Cooley</t>
  </si>
  <si>
    <t>erica35@ryan-diaz.com</t>
  </si>
  <si>
    <t>246.737.2977x7898</t>
  </si>
  <si>
    <t>7728 Mcpherson River Apt. 415, South Joshuamouth, SD 47317</t>
  </si>
  <si>
    <t>1979-10-16</t>
  </si>
  <si>
    <t>2015-09-22</t>
  </si>
  <si>
    <t>David Mccoy</t>
  </si>
  <si>
    <t>kwang@gmail.com</t>
  </si>
  <si>
    <t>(250)148-4455</t>
  </si>
  <si>
    <t>9866 Jeffrey Mills, Andersonburgh, MS 82744</t>
  </si>
  <si>
    <t>Mendoza-Odom</t>
  </si>
  <si>
    <t>1987-09-04</t>
  </si>
  <si>
    <t>Anthony Trujillo</t>
  </si>
  <si>
    <t>freemanrichard@hotmail.com</t>
  </si>
  <si>
    <t>(813)779-5784</t>
  </si>
  <si>
    <t>56900 Jon Views Suite 780, Port Deniseberg, CT 56790</t>
  </si>
  <si>
    <t>Clayton Group</t>
  </si>
  <si>
    <t>Morgan Roach</t>
  </si>
  <si>
    <t>fbrown@lam.org</t>
  </si>
  <si>
    <t>3547138972</t>
  </si>
  <si>
    <t>384 Mary Harbor Apt. 368, New Andrew, GA 18072</t>
  </si>
  <si>
    <t>Baird LLC</t>
  </si>
  <si>
    <t>1966-06-02</t>
  </si>
  <si>
    <t>2020-10-27</t>
  </si>
  <si>
    <t>Thomas Hall</t>
  </si>
  <si>
    <t>hcastillo@hunter.org</t>
  </si>
  <si>
    <t>498-778-3935x63070</t>
  </si>
  <si>
    <t>6234 Craig Street, South Angelabury, NC 58106</t>
  </si>
  <si>
    <t>Patterson, Blanchard and Jackson</t>
  </si>
  <si>
    <t>1991-08-21</t>
  </si>
  <si>
    <t>2024-01-04</t>
  </si>
  <si>
    <t>Sarah Keller</t>
  </si>
  <si>
    <t>ewood@martinez.com</t>
  </si>
  <si>
    <t>+1-514-358-2752x2368</t>
  </si>
  <si>
    <t>9618 Ward Stream Apt. 404, Zacharychester, AL 59773</t>
  </si>
  <si>
    <t>Mccall Group</t>
  </si>
  <si>
    <t>1997-04-21</t>
  </si>
  <si>
    <t>2018-11-04</t>
  </si>
  <si>
    <t>Louis Lopez</t>
  </si>
  <si>
    <t>whitetimothy@lewis.com</t>
  </si>
  <si>
    <t>001-690-408-2248x976</t>
  </si>
  <si>
    <t>32475 Mason Lakes Apt. 507, South Sandramouth, KS 35353</t>
  </si>
  <si>
    <t>Powers-Meyers</t>
  </si>
  <si>
    <t>1987-11-22</t>
  </si>
  <si>
    <t>Amy Mcmahon</t>
  </si>
  <si>
    <t>brownzachary@gomez-evans.com</t>
  </si>
  <si>
    <t>8781820221</t>
  </si>
  <si>
    <t>51320 Ana Row Apt. 107, New Brianfurt, TN 61438</t>
  </si>
  <si>
    <t>Gardner, Schroeder and Oconnor</t>
  </si>
  <si>
    <t>1967-05-27</t>
  </si>
  <si>
    <t>2022-05-24</t>
  </si>
  <si>
    <t>Paul Francis</t>
  </si>
  <si>
    <t>kathryn67@rivas.biz</t>
  </si>
  <si>
    <t>001-705-814-5571</t>
  </si>
  <si>
    <t>44366 Martin Falls Suite 873, North Johnathan, CA 15855</t>
  </si>
  <si>
    <t>Brooks, Miller and Thompson</t>
  </si>
  <si>
    <t>2025-04-28</t>
  </si>
  <si>
    <t>Ryan Arellano</t>
  </si>
  <si>
    <t>elliottjacqueline@gmail.com</t>
  </si>
  <si>
    <t>407-946-2028</t>
  </si>
  <si>
    <t>092 Monroe Forges, Kathrynview, CT 95346</t>
  </si>
  <si>
    <t>Wilson-Lopez</t>
  </si>
  <si>
    <t>1976-01-16</t>
  </si>
  <si>
    <t>Sarah Gray</t>
  </si>
  <si>
    <t>daniel49@gmail.com</t>
  </si>
  <si>
    <t>(323)594-0145x926</t>
  </si>
  <si>
    <t>81659 Mary Spur Apt. 883, South Thomas, MS 72757</t>
  </si>
  <si>
    <t>Lopez-Armstrong</t>
  </si>
  <si>
    <t>Christopher Jones</t>
  </si>
  <si>
    <t>jacob95@brown.org</t>
  </si>
  <si>
    <t>+1-981-743-7138</t>
  </si>
  <si>
    <t>5305 James Field, Ashleyfort, MD 52058</t>
  </si>
  <si>
    <t>Beard Ltd</t>
  </si>
  <si>
    <t>1963-04-13</t>
  </si>
  <si>
    <t>Susan Collins</t>
  </si>
  <si>
    <t>brentpearson@fuller-velasquez.com</t>
  </si>
  <si>
    <t>001-544-643-7977</t>
  </si>
  <si>
    <t>5601 Garza Locks Apt. 758, Port Kristifurt, IN 97602</t>
  </si>
  <si>
    <t>Patel, Perez and Smith</t>
  </si>
  <si>
    <t>1979-06-15</t>
  </si>
  <si>
    <t>2016-11-29</t>
  </si>
  <si>
    <t>Gregory Smith</t>
  </si>
  <si>
    <t>stephanie20@garcia.com</t>
  </si>
  <si>
    <t>+1-244-843-0427x07610</t>
  </si>
  <si>
    <t>5764 Lewis Shores, North Brian, AK 28805</t>
  </si>
  <si>
    <t>Burgess-Pierce</t>
  </si>
  <si>
    <t>1973-03-24</t>
  </si>
  <si>
    <t>Tyler Norris</t>
  </si>
  <si>
    <t>christina06@hotmail.com</t>
  </si>
  <si>
    <t>658-547-9998</t>
  </si>
  <si>
    <t>1770 Reyes Manors, Coreyville, WA 00549</t>
  </si>
  <si>
    <t>Olson and Sons</t>
  </si>
  <si>
    <t>1983-12-31</t>
  </si>
  <si>
    <t>2022-06-05</t>
  </si>
  <si>
    <t>Bianca Mcclure</t>
  </si>
  <si>
    <t>sierracopeland@reynolds-silva.com</t>
  </si>
  <si>
    <t>(467)860-7534</t>
  </si>
  <si>
    <t>PSC 4159, Box 9754, APO AA 59507</t>
  </si>
  <si>
    <t>Torres, French and Jones</t>
  </si>
  <si>
    <t>2000-11-21</t>
  </si>
  <si>
    <t>2021-03-15</t>
  </si>
  <si>
    <t>Jeremy Williams</t>
  </si>
  <si>
    <t>gabrielfox@jackson.com</t>
  </si>
  <si>
    <t>1657549728</t>
  </si>
  <si>
    <t>0245 Gabrielle Stravenue, South Robert, CA 37513</t>
  </si>
  <si>
    <t>Fischer-Jackson</t>
  </si>
  <si>
    <t>1967-12-04</t>
  </si>
  <si>
    <t>2024-01-01</t>
  </si>
  <si>
    <t>Dana Weaver</t>
  </si>
  <si>
    <t>daviscarol@yahoo.com</t>
  </si>
  <si>
    <t>+1-356-131-1949</t>
  </si>
  <si>
    <t>65959 Elizabeth Coves, East Christopher, DE 65289</t>
  </si>
  <si>
    <t>Carr-Rhodes</t>
  </si>
  <si>
    <t>1997-11-12</t>
  </si>
  <si>
    <t>Stacy Walker</t>
  </si>
  <si>
    <t>jessejohnson@gordon.biz</t>
  </si>
  <si>
    <t>(592)494-0126x0134</t>
  </si>
  <si>
    <t>7070 Roberto Hollow, Ryanside, TX 35970</t>
  </si>
  <si>
    <t>Alexander-Owen</t>
  </si>
  <si>
    <t>1960-10-10</t>
  </si>
  <si>
    <t>2018-12-04</t>
  </si>
  <si>
    <t>Alex Kelly</t>
  </si>
  <si>
    <t>robinflynn@hotmail.com</t>
  </si>
  <si>
    <t>(477)105-6108</t>
  </si>
  <si>
    <t>714 Johnson Lock Suite 713, New Sandra, UT 65959</t>
  </si>
  <si>
    <t>Rodriguez, Martinez and Russell</t>
  </si>
  <si>
    <t>1971-08-31</t>
  </si>
  <si>
    <t>2016-10-09</t>
  </si>
  <si>
    <t>Jason Gates</t>
  </si>
  <si>
    <t>greensophia@yahoo.com</t>
  </si>
  <si>
    <t>994-338-3848x796</t>
  </si>
  <si>
    <t>7581 Hawkins Inlet Apt. 943, New Randymouth, LA 97729</t>
  </si>
  <si>
    <t>Lee-Skinner</t>
  </si>
  <si>
    <t>1989-11-29</t>
  </si>
  <si>
    <t>Sherry Swanson</t>
  </si>
  <si>
    <t>longsharon@smith.com</t>
  </si>
  <si>
    <t>(417)065-0734</t>
  </si>
  <si>
    <t>985 Carter Run, Petersonhaven, CA 31418</t>
  </si>
  <si>
    <t>Kelly, Krueger and Lamb</t>
  </si>
  <si>
    <t>1979-03-02</t>
  </si>
  <si>
    <t>2024-05-29</t>
  </si>
  <si>
    <t>Jennifer Robertson</t>
  </si>
  <si>
    <t>jacobsonrachel@gmail.com</t>
  </si>
  <si>
    <t>(766)118-7283x218</t>
  </si>
  <si>
    <t>58313 Laura Freeway Apt. 582, West Tracey, MS 19224</t>
  </si>
  <si>
    <t>Richardson-Cox</t>
  </si>
  <si>
    <t>1979-10-08</t>
  </si>
  <si>
    <t>2019-02-07</t>
  </si>
  <si>
    <t>Jacqueline Andrews</t>
  </si>
  <si>
    <t>jaime23@yahoo.com</t>
  </si>
  <si>
    <t>617-076-0868x3946</t>
  </si>
  <si>
    <t>6700 Vanessa Mills Suite 613, East Gerald, IN 37737</t>
  </si>
  <si>
    <t>1990-08-27</t>
  </si>
  <si>
    <t>2017-12-25</t>
  </si>
  <si>
    <t>William Anderson</t>
  </si>
  <si>
    <t>vargaskelly@booker.com</t>
  </si>
  <si>
    <t>153-436-5008x6173</t>
  </si>
  <si>
    <t>3940 Wilson Mountain, South Davidstad, TN 38830</t>
  </si>
  <si>
    <t>Graham Ltd</t>
  </si>
  <si>
    <t>1962-06-06</t>
  </si>
  <si>
    <t>Dylan Kennedy</t>
  </si>
  <si>
    <t>yboyd@hotmail.com</t>
  </si>
  <si>
    <t>(182)016-3968</t>
  </si>
  <si>
    <t>0889 Shelly Glens Apt. 850, Floresborough, NY 63387</t>
  </si>
  <si>
    <t>Wilson and Sons</t>
  </si>
  <si>
    <t>1973-08-24</t>
  </si>
  <si>
    <t>2022-09-12</t>
  </si>
  <si>
    <t>Tracey Murphy</t>
  </si>
  <si>
    <t>rhondaballard@yahoo.com</t>
  </si>
  <si>
    <t>(731)006-1005</t>
  </si>
  <si>
    <t>667 Odonnell Islands, Natalieshire, OR 34712</t>
  </si>
  <si>
    <t>Gordon, Ortiz and Gray</t>
  </si>
  <si>
    <t>1960-03-19</t>
  </si>
  <si>
    <t>Andrew Woods</t>
  </si>
  <si>
    <t>ismith@gmail.com</t>
  </si>
  <si>
    <t>7224650168</t>
  </si>
  <si>
    <t>0965 Ethan Knolls Apt. 119, Port Victor, AR 08333</t>
  </si>
  <si>
    <t>Novak, Hatfield and Chavez</t>
  </si>
  <si>
    <t>1999-08-01</t>
  </si>
  <si>
    <t>Catherine Murray</t>
  </si>
  <si>
    <t>bowmanjason@parsons.com</t>
  </si>
  <si>
    <t>+1-195-817-2616x47772</t>
  </si>
  <si>
    <t>96462 Matthew Pines Apt. 500, Branchfort, WV 19927</t>
  </si>
  <si>
    <t>Mullins LLC</t>
  </si>
  <si>
    <t>2017-08-05</t>
  </si>
  <si>
    <t>Paula Thomas</t>
  </si>
  <si>
    <t>williamsbenjamin@yahoo.com</t>
  </si>
  <si>
    <t>674-200-4405</t>
  </si>
  <si>
    <t>9141 Peter Motorway, North Timothy, WI 48138</t>
  </si>
  <si>
    <t>Mclaughlin PLC</t>
  </si>
  <si>
    <t>1963-12-04</t>
  </si>
  <si>
    <t>Melissa Gonzales</t>
  </si>
  <si>
    <t>ellisonbrian@gmail.com</t>
  </si>
  <si>
    <t>(313)444-0774</t>
  </si>
  <si>
    <t>93790 Gonzales Harbor Apt. 816, Richardport, MO 37203</t>
  </si>
  <si>
    <t>Fisher, Torres and Wallace</t>
  </si>
  <si>
    <t>2000-12-08</t>
  </si>
  <si>
    <t>2023-07-02</t>
  </si>
  <si>
    <t>Travis Larson</t>
  </si>
  <si>
    <t>sarah87@yahoo.com</t>
  </si>
  <si>
    <t>(153)011-6283x048</t>
  </si>
  <si>
    <t>6767 Elizabeth Park, North Curtisshire, ND 28305</t>
  </si>
  <si>
    <t>Banks, Lee and Cooper</t>
  </si>
  <si>
    <t>Carrie Nixon</t>
  </si>
  <si>
    <t>ujennings@ware.com</t>
  </si>
  <si>
    <t>429-321-2988x7897</t>
  </si>
  <si>
    <t>330 Rosario Islands, Nicholasland, IN 64068</t>
  </si>
  <si>
    <t>Cervantes-Ellis</t>
  </si>
  <si>
    <t>1978-04-20</t>
  </si>
  <si>
    <t>Dawn Montes</t>
  </si>
  <si>
    <t>bakercharles@camacho.info</t>
  </si>
  <si>
    <t>+1-342-034-1847x04915</t>
  </si>
  <si>
    <t>563 Chelsey Crescent, Hallberg, IN 06660</t>
  </si>
  <si>
    <t>Perry, Davis and Randolph</t>
  </si>
  <si>
    <t>1986-11-03</t>
  </si>
  <si>
    <t>Anthony Washington</t>
  </si>
  <si>
    <t>debbie32@gmail.com</t>
  </si>
  <si>
    <t>+1-894-419-8851x819</t>
  </si>
  <si>
    <t>4869 Alexis Parks Suite 030, Gutierrezton, GA 85253</t>
  </si>
  <si>
    <t>Mcdonald, Gonzales and Mitchell</t>
  </si>
  <si>
    <t>Tammy King</t>
  </si>
  <si>
    <t>mary05@myers-ryan.biz</t>
  </si>
  <si>
    <t>981-656-2134x488</t>
  </si>
  <si>
    <t>450 Michael Brook, Wyattview, ID 46287</t>
  </si>
  <si>
    <t>Aguirre-Simmons</t>
  </si>
  <si>
    <t>2007-06-11</t>
  </si>
  <si>
    <t>2017-07-09</t>
  </si>
  <si>
    <t>Brandon Cruz</t>
  </si>
  <si>
    <t>tracy84@todd.com</t>
  </si>
  <si>
    <t>001-549-824-7086x8181</t>
  </si>
  <si>
    <t>PSC 6609, Box 0616, APO AE 45933</t>
  </si>
  <si>
    <t>1960-05-10</t>
  </si>
  <si>
    <t>Ricky Jones</t>
  </si>
  <si>
    <t>christopherbuchanan@yahoo.com</t>
  </si>
  <si>
    <t>001-631-657-3371</t>
  </si>
  <si>
    <t>7405 Jerry Pike, Karenland, OH 94383</t>
  </si>
  <si>
    <t>Caroline Castro</t>
  </si>
  <si>
    <t>martinezlaura@gmail.com</t>
  </si>
  <si>
    <t>178-818-4209x7213</t>
  </si>
  <si>
    <t>6111 Nichols Burg, North Peterton, TX 54605</t>
  </si>
  <si>
    <t>Mosley Group</t>
  </si>
  <si>
    <t>1984-11-15</t>
  </si>
  <si>
    <t>2021-10-15</t>
  </si>
  <si>
    <t>Rick Lambert</t>
  </si>
  <si>
    <t>ashleywarren@shaw.com</t>
  </si>
  <si>
    <t>362.933.9002</t>
  </si>
  <si>
    <t>Unit 3685 Box 5834, DPO AP 95256</t>
  </si>
  <si>
    <t>Perry, Jones and Rodriguez</t>
  </si>
  <si>
    <t>1971-08-20</t>
  </si>
  <si>
    <t>2023-11-11</t>
  </si>
  <si>
    <t>Dr. Emily Rice</t>
  </si>
  <si>
    <t>vanessa59@lowe-vasquez.com</t>
  </si>
  <si>
    <t>891.453.7936x73318</t>
  </si>
  <si>
    <t>72856 Bradley Coves, North John, NH 11983</t>
  </si>
  <si>
    <t>Coleman, Smith and Delacruz</t>
  </si>
  <si>
    <t>1961-07-05</t>
  </si>
  <si>
    <t>2020-08-05</t>
  </si>
  <si>
    <t>Gabriella Jones</t>
  </si>
  <si>
    <t>danny29@hotmail.com</t>
  </si>
  <si>
    <t>+1-508-461-0257x8540</t>
  </si>
  <si>
    <t>20337 Miller Crossing, West Matthewbury, NH 97813</t>
  </si>
  <si>
    <t>Brooks PLC</t>
  </si>
  <si>
    <t>Nicole Lawrence</t>
  </si>
  <si>
    <t>justinjones@montgomery.biz</t>
  </si>
  <si>
    <t>414-304-2978</t>
  </si>
  <si>
    <t>44734 Jackson Valley, Lake Kristenchester, MN 95665</t>
  </si>
  <si>
    <t>Dunn, Herrera and Lee</t>
  </si>
  <si>
    <t>1993-05-06</t>
  </si>
  <si>
    <t>Edward Martinez</t>
  </si>
  <si>
    <t>vmoore@gmail.com</t>
  </si>
  <si>
    <t>0284478555</t>
  </si>
  <si>
    <t>34389 Elizabeth Landing, North Allison, AR 14929</t>
  </si>
  <si>
    <t>Cruz Inc</t>
  </si>
  <si>
    <t>2021-03-29</t>
  </si>
  <si>
    <t>Adrian Jimenez</t>
  </si>
  <si>
    <t>hardykimberly@hotmail.com</t>
  </si>
  <si>
    <t>808.757.2657</t>
  </si>
  <si>
    <t>Unit 7531 Box 0795, DPO AE 25216</t>
  </si>
  <si>
    <t>Bryant, Reed and Garcia</t>
  </si>
  <si>
    <t>1959-07-24</t>
  </si>
  <si>
    <t>2020-05-06</t>
  </si>
  <si>
    <t>Mr. Kevin Anderson</t>
  </si>
  <si>
    <t>oharris@gmail.com</t>
  </si>
  <si>
    <t>(414)949-3016x8483</t>
  </si>
  <si>
    <t>348 Tamara Stravenue Apt. 946, Michaelbury, OH 91219</t>
  </si>
  <si>
    <t>Peck-Skinner</t>
  </si>
  <si>
    <t>2000-01-02</t>
  </si>
  <si>
    <t>2018-02-13</t>
  </si>
  <si>
    <t>Brandon Hopkins</t>
  </si>
  <si>
    <t>isaac59@gmail.com</t>
  </si>
  <si>
    <t>024-561-1969x057</t>
  </si>
  <si>
    <t>1343 Jacob Manors, Brandonchester, TN 25034</t>
  </si>
  <si>
    <t>Mahoney Ltd</t>
  </si>
  <si>
    <t>2007-05-04</t>
  </si>
  <si>
    <t>Ryan Peterson</t>
  </si>
  <si>
    <t>cindy32@garcia-davis.com</t>
  </si>
  <si>
    <t>001-748-256-0561x4717</t>
  </si>
  <si>
    <t>11833 Schneider Plains Apt. 969, Benjamintown, WV 38040</t>
  </si>
  <si>
    <t>Bauer, Ellison and Brown</t>
  </si>
  <si>
    <t>1972-12-22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</si>
</sst>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70082A-81C7-47A8-931D-91B970CE45B1}" name="Workforce" displayName="Workforce" ref="A1:O3001" totalsRowShown="0" headerRowDxfId="5" headerRowBorderDxfId="3" tableBorderDxfId="4">
  <autoFilter ref="A1:O3001" xr:uid="{004029D8-22BD-460E-84A4-9D5FA93F25C5}"/>
  <tableColumns count="15">
    <tableColumn id="1" xr3:uid="{C729FE73-25CB-49D6-A07F-C0032824DDC1}" name="Full name"/>
    <tableColumn id="2" xr3:uid="{6919DAB0-94D3-4569-B50E-99BA75AD59E4}" name="Email"/>
    <tableColumn id="3" xr3:uid="{5793382D-B380-4A98-A5F1-5458119F60D5}" name="State"/>
    <tableColumn id="4" xr3:uid="{4AD3AF7E-9C8E-4B26-ACC0-9FADC891C96D}" name="Phone Number"/>
    <tableColumn id="5" xr3:uid="{F9885E89-E7B6-45E5-A4D7-74E7190C61F2}" name="Address"/>
    <tableColumn id="6" xr3:uid="{4AA72232-135A-45DB-92EA-F6E64216197D}" name="Job Title"/>
    <tableColumn id="7" xr3:uid="{FE6F5C9E-7131-4E86-A266-07B87B8245A1}" name="Company"/>
    <tableColumn id="8" xr3:uid="{EC035302-4501-4E84-9D70-EDF83EB6997C}" name="Date of Birth"/>
    <tableColumn id="9" xr3:uid="{EB8A671A-61F8-4A3D-AD31-E653EE7F306A}" name="Age">
      <calculatedColumnFormula>DATEDIF(H2,TODAY(),"y")</calculatedColumnFormula>
    </tableColumn>
    <tableColumn id="14" xr3:uid="{0D1C7BDB-A8F0-4411-A439-49CA8AE317FF}" name="Age Group" dataDxfId="2">
      <calculatedColumnFormula>IF(I2&lt;30,"18-29",IF(I2&lt;40,"30-39",IF(I2&lt;50,"40-49",IF(I2&lt;60,"50-59","60+"))))</calculatedColumnFormula>
    </tableColumn>
    <tableColumn id="10" xr3:uid="{B00FD0A8-21D1-4A32-B89B-309F3AB95704}" name="Salary"/>
    <tableColumn id="11" xr3:uid="{43CC7E27-139C-42D9-9405-2D4C35CABEC3}" name="Salary Band" dataDxfId="1">
      <calculatedColumnFormula>IF(Workforce[[#This Row],[Salary]]&lt;50000,"30k-49k",IF(Workforce[[#This Row],[Salary]]&lt;70000,"50k-69k",IF(Workforce[[#This Row],[Salary]]&lt;90000,"70k-89k","90k+")))</calculatedColumnFormula>
    </tableColumn>
    <tableColumn id="12" xr3:uid="{AD21E127-8582-443B-9378-9E2518487D65}" name="Join Date"/>
    <tableColumn id="13" xr3:uid="{019C7A23-B112-41A9-A72F-E8299F0DBC50}" name="Years in Service">
      <calculatedColumnFormula>DATEDIF(M2,TODAY(),"y")</calculatedColumnFormula>
    </tableColumn>
    <tableColumn id="15" xr3:uid="{86FBBD30-D39C-4E35-9A0F-0F6214CF76E7}" name="Tenure grouping" dataDxfId="0">
      <calculatedColumnFormula>IF(N2&lt;=2,"Beginner",IF(N2&lt;=6,"Intermediate level","Senior level"))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taffordmiche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A061-4C37-4AF1-AD10-A5B763627F5E}">
  <dimension ref="A1:Q3001"/>
  <sheetViews>
    <sheetView tabSelected="1" topLeftCell="A2975" zoomScaleNormal="100" workbookViewId="0">
      <selection activeCell="O14" sqref="O14"/>
    </sheetView>
  </sheetViews>
  <sheetFormatPr defaultRowHeight="14.4" x14ac:dyDescent="0.3"/>
  <cols>
    <col min="1" max="1" width="23.44140625" bestFit="1" customWidth="1"/>
    <col min="2" max="2" width="45.6640625" bestFit="1" customWidth="1"/>
    <col min="3" max="3" width="23.44140625" customWidth="1"/>
    <col min="4" max="4" width="22.21875" bestFit="1" customWidth="1"/>
    <col min="5" max="5" width="58" bestFit="1" customWidth="1"/>
    <col min="6" max="6" width="48.5546875" bestFit="1" customWidth="1"/>
    <col min="7" max="7" width="31.33203125" bestFit="1" customWidth="1"/>
    <col min="8" max="8" width="13.44140625" customWidth="1"/>
    <col min="9" max="9" width="10.44140625" customWidth="1"/>
    <col min="10" max="10" width="17" customWidth="1"/>
    <col min="11" max="11" width="15.109375" customWidth="1"/>
    <col min="12" max="12" width="10.5546875" customWidth="1"/>
    <col min="13" max="13" width="15.77734375" customWidth="1"/>
    <col min="14" max="14" width="14" customWidth="1"/>
    <col min="15" max="15" width="16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 spans="1:17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f t="shared" ref="I2:I65" ca="1" si="0">DATEDIF(H2,TODAY(),"y")</f>
        <v>42</v>
      </c>
      <c r="J2" t="str">
        <f t="shared" ref="J2:J65" ca="1" si="1">IF(I2&lt;30,"18-29",IF(I2&lt;40,"30-39",IF(I2&lt;50,"40-49",IF(I2&lt;60,"50-59","60+"))))</f>
        <v>40-49</v>
      </c>
      <c r="K2">
        <v>87916.74</v>
      </c>
      <c r="L2" t="str">
        <f>IF(Workforce[[#This Row],[Salary]]&lt;50000,"30k-49k",IF(Workforce[[#This Row],[Salary]]&lt;70000,"50k-69k",IF(Workforce[[#This Row],[Salary]]&lt;90000,"70k-89k","90k+")))</f>
        <v>70k-89k</v>
      </c>
      <c r="M2" t="s">
        <v>23</v>
      </c>
      <c r="N2">
        <f t="shared" ref="N2:N65" ca="1" si="2">DATEDIF(M2,TODAY(),"y")</f>
        <v>2</v>
      </c>
      <c r="O2" t="str">
        <f t="shared" ref="O2:O65" ca="1" si="3">IF(N2&lt;=2,"Beginner",IF(N2&lt;=6,"Intermediate level","Senior level"))</f>
        <v>Beginner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f t="shared" ca="1" si="0"/>
        <v>25</v>
      </c>
      <c r="J3" t="str">
        <f t="shared" ca="1" si="1"/>
        <v>18-29</v>
      </c>
      <c r="K3">
        <v>104418</v>
      </c>
      <c r="L3" t="str">
        <f>IF(Workforce[[#This Row],[Salary]]&lt;50000,"30k-49k",IF(Workforce[[#This Row],[Salary]]&lt;70000,"50k-69k",IF(Workforce[[#This Row],[Salary]]&lt;90000,"70k-89k","90k+")))</f>
        <v>90k+</v>
      </c>
      <c r="M3" t="s">
        <v>32</v>
      </c>
      <c r="N3">
        <f t="shared" ca="1" si="2"/>
        <v>6</v>
      </c>
      <c r="O3" t="str">
        <f t="shared" ca="1" si="3"/>
        <v>Intermediate level</v>
      </c>
    </row>
    <row r="4" spans="1:17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f t="shared" ca="1" si="0"/>
        <v>24</v>
      </c>
      <c r="J4" t="str">
        <f t="shared" ca="1" si="1"/>
        <v>18-29</v>
      </c>
      <c r="K4">
        <v>93329.07</v>
      </c>
      <c r="L4" t="str">
        <f>IF(Workforce[[#This Row],[Salary]]&lt;50000,"30k-49k",IF(Workforce[[#This Row],[Salary]]&lt;70000,"50k-69k",IF(Workforce[[#This Row],[Salary]]&lt;90000,"70k-89k","90k+")))</f>
        <v>90k+</v>
      </c>
      <c r="M4" t="s">
        <v>41</v>
      </c>
      <c r="N4">
        <f t="shared" ca="1" si="2"/>
        <v>6</v>
      </c>
      <c r="O4" t="str">
        <f t="shared" ca="1" si="3"/>
        <v>Intermediate level</v>
      </c>
    </row>
    <row r="5" spans="1:17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>
        <f t="shared" ca="1" si="0"/>
        <v>36</v>
      </c>
      <c r="J5" t="str">
        <f t="shared" ca="1" si="1"/>
        <v>30-39</v>
      </c>
      <c r="K5">
        <v>50869.24</v>
      </c>
      <c r="L5" t="str">
        <f>IF(Workforce[[#This Row],[Salary]]&lt;50000,"30k-49k",IF(Workforce[[#This Row],[Salary]]&lt;70000,"50k-69k",IF(Workforce[[#This Row],[Salary]]&lt;90000,"70k-89k","90k+")))</f>
        <v>50k-69k</v>
      </c>
      <c r="M5" t="s">
        <v>50</v>
      </c>
      <c r="N5">
        <f t="shared" ca="1" si="2"/>
        <v>2</v>
      </c>
      <c r="O5" t="str">
        <f t="shared" ca="1" si="3"/>
        <v>Beginner</v>
      </c>
    </row>
    <row r="6" spans="1:17" x14ac:dyDescent="0.3">
      <c r="A6" t="s">
        <v>51</v>
      </c>
      <c r="B6" t="s">
        <v>52</v>
      </c>
      <c r="C6" t="s">
        <v>44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>
        <f t="shared" ca="1" si="0"/>
        <v>38</v>
      </c>
      <c r="J6" t="str">
        <f t="shared" ca="1" si="1"/>
        <v>30-39</v>
      </c>
      <c r="K6">
        <v>38018.65</v>
      </c>
      <c r="L6" t="str">
        <f>IF(Workforce[[#This Row],[Salary]]&lt;50000,"30k-49k",IF(Workforce[[#This Row],[Salary]]&lt;70000,"50k-69k",IF(Workforce[[#This Row],[Salary]]&lt;90000,"70k-89k","90k+")))</f>
        <v>30k-49k</v>
      </c>
      <c r="M6" t="s">
        <v>58</v>
      </c>
      <c r="N6">
        <f t="shared" ca="1" si="2"/>
        <v>6</v>
      </c>
      <c r="O6" t="str">
        <f t="shared" ca="1" si="3"/>
        <v>Intermediate level</v>
      </c>
    </row>
    <row r="7" spans="1:17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>
        <f t="shared" ca="1" si="0"/>
        <v>65</v>
      </c>
      <c r="J7" t="str">
        <f t="shared" ca="1" si="1"/>
        <v>60+</v>
      </c>
      <c r="K7">
        <v>117017.01</v>
      </c>
      <c r="L7" t="str">
        <f>IF(Workforce[[#This Row],[Salary]]&lt;50000,"30k-49k",IF(Workforce[[#This Row],[Salary]]&lt;70000,"50k-69k",IF(Workforce[[#This Row],[Salary]]&lt;90000,"70k-89k","90k+")))</f>
        <v>90k+</v>
      </c>
      <c r="M7" t="s">
        <v>67</v>
      </c>
      <c r="N7">
        <f t="shared" ca="1" si="2"/>
        <v>5</v>
      </c>
      <c r="O7" t="str">
        <f t="shared" ca="1" si="3"/>
        <v>Intermediate level</v>
      </c>
    </row>
    <row r="8" spans="1:17" x14ac:dyDescent="0.3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>
        <f t="shared" ca="1" si="0"/>
        <v>43</v>
      </c>
      <c r="J8" t="str">
        <f t="shared" ca="1" si="1"/>
        <v>40-49</v>
      </c>
      <c r="K8">
        <v>97854.3</v>
      </c>
      <c r="L8" t="str">
        <f>IF(Workforce[[#This Row],[Salary]]&lt;50000,"30k-49k",IF(Workforce[[#This Row],[Salary]]&lt;70000,"50k-69k",IF(Workforce[[#This Row],[Salary]]&lt;90000,"70k-89k","90k+")))</f>
        <v>90k+</v>
      </c>
      <c r="M8" t="s">
        <v>76</v>
      </c>
      <c r="N8">
        <f t="shared" ca="1" si="2"/>
        <v>10</v>
      </c>
      <c r="O8" t="str">
        <f t="shared" ca="1" si="3"/>
        <v>Senior level</v>
      </c>
    </row>
    <row r="9" spans="1:17" x14ac:dyDescent="0.3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>
        <f t="shared" ca="1" si="0"/>
        <v>39</v>
      </c>
      <c r="J9" t="str">
        <f t="shared" ca="1" si="1"/>
        <v>30-39</v>
      </c>
      <c r="K9">
        <v>44802.84</v>
      </c>
      <c r="L9" t="str">
        <f>IF(Workforce[[#This Row],[Salary]]&lt;50000,"30k-49k",IF(Workforce[[#This Row],[Salary]]&lt;70000,"50k-69k",IF(Workforce[[#This Row],[Salary]]&lt;90000,"70k-89k","90k+")))</f>
        <v>30k-49k</v>
      </c>
      <c r="M9" t="s">
        <v>85</v>
      </c>
      <c r="N9">
        <f t="shared" ca="1" si="2"/>
        <v>6</v>
      </c>
      <c r="O9" t="str">
        <f t="shared" ca="1" si="3"/>
        <v>Intermediate level</v>
      </c>
    </row>
    <row r="10" spans="1:17" x14ac:dyDescent="0.3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>
        <f t="shared" ca="1" si="0"/>
        <v>47</v>
      </c>
      <c r="J10" t="str">
        <f t="shared" ca="1" si="1"/>
        <v>40-49</v>
      </c>
      <c r="K10">
        <v>60030.96</v>
      </c>
      <c r="L10" t="str">
        <f>IF(Workforce[[#This Row],[Salary]]&lt;50000,"30k-49k",IF(Workforce[[#This Row],[Salary]]&lt;70000,"50k-69k",IF(Workforce[[#This Row],[Salary]]&lt;90000,"70k-89k","90k+")))</f>
        <v>50k-69k</v>
      </c>
      <c r="M10" t="s">
        <v>94</v>
      </c>
      <c r="N10">
        <f t="shared" ca="1" si="2"/>
        <v>4</v>
      </c>
      <c r="O10" t="str">
        <f t="shared" ca="1" si="3"/>
        <v>Intermediate level</v>
      </c>
    </row>
    <row r="11" spans="1:17" x14ac:dyDescent="0.3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>
        <f t="shared" ca="1" si="0"/>
        <v>40</v>
      </c>
      <c r="J11" t="str">
        <f t="shared" ca="1" si="1"/>
        <v>40-49</v>
      </c>
      <c r="K11">
        <v>30313.53</v>
      </c>
      <c r="L11" t="str">
        <f>IF(Workforce[[#This Row],[Salary]]&lt;50000,"30k-49k",IF(Workforce[[#This Row],[Salary]]&lt;70000,"50k-69k",IF(Workforce[[#This Row],[Salary]]&lt;90000,"70k-89k","90k+")))</f>
        <v>30k-49k</v>
      </c>
      <c r="M11" t="s">
        <v>103</v>
      </c>
      <c r="N11">
        <f t="shared" ca="1" si="2"/>
        <v>9</v>
      </c>
      <c r="O11" t="str">
        <f t="shared" ca="1" si="3"/>
        <v>Senior level</v>
      </c>
    </row>
    <row r="12" spans="1:17" x14ac:dyDescent="0.3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>
        <f t="shared" ca="1" si="0"/>
        <v>43</v>
      </c>
      <c r="J12" t="str">
        <f t="shared" ca="1" si="1"/>
        <v>40-49</v>
      </c>
      <c r="K12">
        <v>44087.73</v>
      </c>
      <c r="L12" t="str">
        <f>IF(Workforce[[#This Row],[Salary]]&lt;50000,"30k-49k",IF(Workforce[[#This Row],[Salary]]&lt;70000,"50k-69k",IF(Workforce[[#This Row],[Salary]]&lt;90000,"70k-89k","90k+")))</f>
        <v>30k-49k</v>
      </c>
      <c r="M12" t="s">
        <v>112</v>
      </c>
      <c r="N12">
        <f t="shared" ca="1" si="2"/>
        <v>4</v>
      </c>
      <c r="O12" t="str">
        <f t="shared" ca="1" si="3"/>
        <v>Intermediate level</v>
      </c>
    </row>
    <row r="13" spans="1:17" x14ac:dyDescent="0.3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>
        <f t="shared" ca="1" si="0"/>
        <v>34</v>
      </c>
      <c r="J13" t="str">
        <f t="shared" ca="1" si="1"/>
        <v>30-39</v>
      </c>
      <c r="K13">
        <v>96016.95</v>
      </c>
      <c r="L13" t="str">
        <f>IF(Workforce[[#This Row],[Salary]]&lt;50000,"30k-49k",IF(Workforce[[#This Row],[Salary]]&lt;70000,"50k-69k",IF(Workforce[[#This Row],[Salary]]&lt;90000,"70k-89k","90k+")))</f>
        <v>90k+</v>
      </c>
      <c r="M13" t="s">
        <v>121</v>
      </c>
      <c r="N13">
        <f t="shared" ca="1" si="2"/>
        <v>3</v>
      </c>
      <c r="O13" t="str">
        <f t="shared" ca="1" si="3"/>
        <v>Intermediate level</v>
      </c>
    </row>
    <row r="14" spans="1:17" x14ac:dyDescent="0.3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>
        <f t="shared" ca="1" si="0"/>
        <v>32</v>
      </c>
      <c r="J14" t="str">
        <f t="shared" ca="1" si="1"/>
        <v>30-39</v>
      </c>
      <c r="K14">
        <v>119729.63</v>
      </c>
      <c r="L14" t="str">
        <f>IF(Workforce[[#This Row],[Salary]]&lt;50000,"30k-49k",IF(Workforce[[#This Row],[Salary]]&lt;70000,"50k-69k",IF(Workforce[[#This Row],[Salary]]&lt;90000,"70k-89k","90k+")))</f>
        <v>90k+</v>
      </c>
      <c r="M14" t="s">
        <v>130</v>
      </c>
      <c r="N14">
        <f t="shared" ca="1" si="2"/>
        <v>1</v>
      </c>
      <c r="O14" t="str">
        <f t="shared" ca="1" si="3"/>
        <v>Beginner</v>
      </c>
    </row>
    <row r="15" spans="1:17" x14ac:dyDescent="0.3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>
        <f t="shared" ca="1" si="0"/>
        <v>44</v>
      </c>
      <c r="J15" t="str">
        <f t="shared" ca="1" si="1"/>
        <v>40-49</v>
      </c>
      <c r="K15">
        <v>65273.34</v>
      </c>
      <c r="L15" t="str">
        <f>IF(Workforce[[#This Row],[Salary]]&lt;50000,"30k-49k",IF(Workforce[[#This Row],[Salary]]&lt;70000,"50k-69k",IF(Workforce[[#This Row],[Salary]]&lt;90000,"70k-89k","90k+")))</f>
        <v>50k-69k</v>
      </c>
      <c r="M15" t="s">
        <v>139</v>
      </c>
      <c r="N15">
        <f t="shared" ca="1" si="2"/>
        <v>6</v>
      </c>
      <c r="O15" t="str">
        <f t="shared" ca="1" si="3"/>
        <v>Intermediate level</v>
      </c>
    </row>
    <row r="16" spans="1:17" x14ac:dyDescent="0.3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>
        <f t="shared" ca="1" si="0"/>
        <v>30</v>
      </c>
      <c r="J16" t="str">
        <f t="shared" ca="1" si="1"/>
        <v>30-39</v>
      </c>
      <c r="K16">
        <v>107533.03</v>
      </c>
      <c r="L16" t="str">
        <f>IF(Workforce[[#This Row],[Salary]]&lt;50000,"30k-49k",IF(Workforce[[#This Row],[Salary]]&lt;70000,"50k-69k",IF(Workforce[[#This Row],[Salary]]&lt;90000,"70k-89k","90k+")))</f>
        <v>90k+</v>
      </c>
      <c r="M16" t="s">
        <v>148</v>
      </c>
      <c r="N16">
        <f t="shared" ca="1" si="2"/>
        <v>10</v>
      </c>
      <c r="O16" t="str">
        <f t="shared" ca="1" si="3"/>
        <v>Senior level</v>
      </c>
    </row>
    <row r="17" spans="1:15" x14ac:dyDescent="0.3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>
        <f t="shared" ca="1" si="0"/>
        <v>64</v>
      </c>
      <c r="J17" t="str">
        <f t="shared" ca="1" si="1"/>
        <v>60+</v>
      </c>
      <c r="K17">
        <v>45276.19</v>
      </c>
      <c r="L17" t="str">
        <f>IF(Workforce[[#This Row],[Salary]]&lt;50000,"30k-49k",IF(Workforce[[#This Row],[Salary]]&lt;70000,"50k-69k",IF(Workforce[[#This Row],[Salary]]&lt;90000,"70k-89k","90k+")))</f>
        <v>30k-49k</v>
      </c>
      <c r="M17" t="s">
        <v>157</v>
      </c>
      <c r="N17">
        <f t="shared" ca="1" si="2"/>
        <v>8</v>
      </c>
      <c r="O17" t="str">
        <f t="shared" ca="1" si="3"/>
        <v>Senior level</v>
      </c>
    </row>
    <row r="18" spans="1:15" x14ac:dyDescent="0.3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165</v>
      </c>
      <c r="I18">
        <f t="shared" ca="1" si="0"/>
        <v>37</v>
      </c>
      <c r="J18" t="str">
        <f t="shared" ca="1" si="1"/>
        <v>30-39</v>
      </c>
      <c r="K18">
        <v>45313.07</v>
      </c>
      <c r="L18" t="str">
        <f>IF(Workforce[[#This Row],[Salary]]&lt;50000,"30k-49k",IF(Workforce[[#This Row],[Salary]]&lt;70000,"50k-69k",IF(Workforce[[#This Row],[Salary]]&lt;90000,"70k-89k","90k+")))</f>
        <v>30k-49k</v>
      </c>
      <c r="M18" t="s">
        <v>166</v>
      </c>
      <c r="N18">
        <f t="shared" ca="1" si="2"/>
        <v>4</v>
      </c>
      <c r="O18" t="str">
        <f t="shared" ca="1" si="3"/>
        <v>Intermediate level</v>
      </c>
    </row>
    <row r="19" spans="1:15" x14ac:dyDescent="0.3">
      <c r="A19" t="s">
        <v>167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>
        <f t="shared" ca="1" si="0"/>
        <v>24</v>
      </c>
      <c r="J19" t="str">
        <f t="shared" ca="1" si="1"/>
        <v>18-29</v>
      </c>
      <c r="K19">
        <v>64036.42</v>
      </c>
      <c r="L19" t="str">
        <f>IF(Workforce[[#This Row],[Salary]]&lt;50000,"30k-49k",IF(Workforce[[#This Row],[Salary]]&lt;70000,"50k-69k",IF(Workforce[[#This Row],[Salary]]&lt;90000,"70k-89k","90k+")))</f>
        <v>50k-69k</v>
      </c>
      <c r="M19" t="s">
        <v>175</v>
      </c>
      <c r="N19">
        <f t="shared" ca="1" si="2"/>
        <v>5</v>
      </c>
      <c r="O19" t="str">
        <f t="shared" ca="1" si="3"/>
        <v>Intermediate level</v>
      </c>
    </row>
    <row r="20" spans="1:15" x14ac:dyDescent="0.3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>
        <f t="shared" ca="1" si="0"/>
        <v>54</v>
      </c>
      <c r="J20" t="str">
        <f t="shared" ca="1" si="1"/>
        <v>50-59</v>
      </c>
      <c r="K20">
        <v>50905.75</v>
      </c>
      <c r="L20" t="str">
        <f>IF(Workforce[[#This Row],[Salary]]&lt;50000,"30k-49k",IF(Workforce[[#This Row],[Salary]]&lt;70000,"50k-69k",IF(Workforce[[#This Row],[Salary]]&lt;90000,"70k-89k","90k+")))</f>
        <v>50k-69k</v>
      </c>
      <c r="M20" t="s">
        <v>184</v>
      </c>
      <c r="N20">
        <f t="shared" ca="1" si="2"/>
        <v>2</v>
      </c>
      <c r="O20" t="str">
        <f t="shared" ca="1" si="3"/>
        <v>Beginner</v>
      </c>
    </row>
    <row r="21" spans="1:15" x14ac:dyDescent="0.3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192</v>
      </c>
      <c r="I21">
        <f t="shared" ca="1" si="0"/>
        <v>51</v>
      </c>
      <c r="J21" t="str">
        <f t="shared" ca="1" si="1"/>
        <v>50-59</v>
      </c>
      <c r="K21">
        <v>60531.1</v>
      </c>
      <c r="L21" t="str">
        <f>IF(Workforce[[#This Row],[Salary]]&lt;50000,"30k-49k",IF(Workforce[[#This Row],[Salary]]&lt;70000,"50k-69k",IF(Workforce[[#This Row],[Salary]]&lt;90000,"70k-89k","90k+")))</f>
        <v>50k-69k</v>
      </c>
      <c r="M21" t="s">
        <v>193</v>
      </c>
      <c r="N21">
        <f t="shared" ca="1" si="2"/>
        <v>1</v>
      </c>
      <c r="O21" t="str">
        <f t="shared" ca="1" si="3"/>
        <v>Beginner</v>
      </c>
    </row>
    <row r="22" spans="1:15" x14ac:dyDescent="0.3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199</v>
      </c>
      <c r="G22" t="s">
        <v>200</v>
      </c>
      <c r="H22" t="s">
        <v>201</v>
      </c>
      <c r="I22">
        <f t="shared" ca="1" si="0"/>
        <v>23</v>
      </c>
      <c r="J22" t="str">
        <f t="shared" ca="1" si="1"/>
        <v>18-29</v>
      </c>
      <c r="K22">
        <v>87671</v>
      </c>
      <c r="L22" t="str">
        <f>IF(Workforce[[#This Row],[Salary]]&lt;50000,"30k-49k",IF(Workforce[[#This Row],[Salary]]&lt;70000,"50k-69k",IF(Workforce[[#This Row],[Salary]]&lt;90000,"70k-89k","90k+")))</f>
        <v>70k-89k</v>
      </c>
      <c r="M22" t="s">
        <v>202</v>
      </c>
      <c r="N22">
        <f t="shared" ca="1" si="2"/>
        <v>9</v>
      </c>
      <c r="O22" t="str">
        <f t="shared" ca="1" si="3"/>
        <v>Senior level</v>
      </c>
    </row>
    <row r="23" spans="1:15" x14ac:dyDescent="0.3">
      <c r="A23" t="s">
        <v>203</v>
      </c>
      <c r="B23" t="s">
        <v>204</v>
      </c>
      <c r="C23" t="s">
        <v>106</v>
      </c>
      <c r="D23" t="s">
        <v>205</v>
      </c>
      <c r="E23" t="s">
        <v>206</v>
      </c>
      <c r="F23" t="s">
        <v>207</v>
      </c>
      <c r="G23" t="s">
        <v>208</v>
      </c>
      <c r="H23" t="s">
        <v>209</v>
      </c>
      <c r="I23">
        <f t="shared" ca="1" si="0"/>
        <v>27</v>
      </c>
      <c r="J23" t="str">
        <f t="shared" ca="1" si="1"/>
        <v>18-29</v>
      </c>
      <c r="K23">
        <v>79630.850000000006</v>
      </c>
      <c r="L23" t="str">
        <f>IF(Workforce[[#This Row],[Salary]]&lt;50000,"30k-49k",IF(Workforce[[#This Row],[Salary]]&lt;70000,"50k-69k",IF(Workforce[[#This Row],[Salary]]&lt;90000,"70k-89k","90k+")))</f>
        <v>70k-89k</v>
      </c>
      <c r="M23" t="s">
        <v>210</v>
      </c>
      <c r="N23">
        <f t="shared" ca="1" si="2"/>
        <v>10</v>
      </c>
      <c r="O23" t="str">
        <f t="shared" ca="1" si="3"/>
        <v>Senior level</v>
      </c>
    </row>
    <row r="24" spans="1:15" x14ac:dyDescent="0.3">
      <c r="A24" t="s">
        <v>211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>
        <f t="shared" ca="1" si="0"/>
        <v>32</v>
      </c>
      <c r="J24" t="str">
        <f t="shared" ca="1" si="1"/>
        <v>30-39</v>
      </c>
      <c r="K24">
        <v>115909.36</v>
      </c>
      <c r="L24" t="str">
        <f>IF(Workforce[[#This Row],[Salary]]&lt;50000,"30k-49k",IF(Workforce[[#This Row],[Salary]]&lt;70000,"50k-69k",IF(Workforce[[#This Row],[Salary]]&lt;90000,"70k-89k","90k+")))</f>
        <v>90k+</v>
      </c>
      <c r="M24" t="s">
        <v>219</v>
      </c>
      <c r="N24">
        <f t="shared" ca="1" si="2"/>
        <v>9</v>
      </c>
      <c r="O24" t="str">
        <f t="shared" ca="1" si="3"/>
        <v>Senior level</v>
      </c>
    </row>
    <row r="25" spans="1:15" x14ac:dyDescent="0.3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226</v>
      </c>
      <c r="H25" t="s">
        <v>227</v>
      </c>
      <c r="I25">
        <f t="shared" ca="1" si="0"/>
        <v>59</v>
      </c>
      <c r="J25" t="str">
        <f t="shared" ca="1" si="1"/>
        <v>50-59</v>
      </c>
      <c r="K25">
        <v>112821.78</v>
      </c>
      <c r="L25" t="str">
        <f>IF(Workforce[[#This Row],[Salary]]&lt;50000,"30k-49k",IF(Workforce[[#This Row],[Salary]]&lt;70000,"50k-69k",IF(Workforce[[#This Row],[Salary]]&lt;90000,"70k-89k","90k+")))</f>
        <v>90k+</v>
      </c>
      <c r="M25" t="s">
        <v>228</v>
      </c>
      <c r="N25">
        <f t="shared" ca="1" si="2"/>
        <v>8</v>
      </c>
      <c r="O25" t="str">
        <f t="shared" ca="1" si="3"/>
        <v>Senior level</v>
      </c>
    </row>
    <row r="26" spans="1:15" x14ac:dyDescent="0.3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235</v>
      </c>
      <c r="H26" t="s">
        <v>236</v>
      </c>
      <c r="I26">
        <f t="shared" ca="1" si="0"/>
        <v>53</v>
      </c>
      <c r="J26" t="str">
        <f t="shared" ca="1" si="1"/>
        <v>50-59</v>
      </c>
      <c r="K26">
        <v>35715.730000000003</v>
      </c>
      <c r="L26" t="str">
        <f>IF(Workforce[[#This Row],[Salary]]&lt;50000,"30k-49k",IF(Workforce[[#This Row],[Salary]]&lt;70000,"50k-69k",IF(Workforce[[#This Row],[Salary]]&lt;90000,"70k-89k","90k+")))</f>
        <v>30k-49k</v>
      </c>
      <c r="M26" t="s">
        <v>237</v>
      </c>
      <c r="N26">
        <f t="shared" ca="1" si="2"/>
        <v>6</v>
      </c>
      <c r="O26" t="str">
        <f t="shared" ca="1" si="3"/>
        <v>Intermediate level</v>
      </c>
    </row>
    <row r="27" spans="1:15" x14ac:dyDescent="0.3">
      <c r="A27" t="s">
        <v>238</v>
      </c>
      <c r="B27" t="s">
        <v>239</v>
      </c>
      <c r="C27" t="s">
        <v>240</v>
      </c>
      <c r="D27" t="s">
        <v>241</v>
      </c>
      <c r="E27" t="s">
        <v>242</v>
      </c>
      <c r="F27" t="s">
        <v>243</v>
      </c>
      <c r="G27" t="s">
        <v>244</v>
      </c>
      <c r="H27" t="s">
        <v>245</v>
      </c>
      <c r="I27">
        <f t="shared" ca="1" si="0"/>
        <v>35</v>
      </c>
      <c r="J27" t="str">
        <f t="shared" ca="1" si="1"/>
        <v>30-39</v>
      </c>
      <c r="K27">
        <v>98533.72</v>
      </c>
      <c r="L27" t="str">
        <f>IF(Workforce[[#This Row],[Salary]]&lt;50000,"30k-49k",IF(Workforce[[#This Row],[Salary]]&lt;70000,"50k-69k",IF(Workforce[[#This Row],[Salary]]&lt;90000,"70k-89k","90k+")))</f>
        <v>90k+</v>
      </c>
      <c r="M27" t="s">
        <v>246</v>
      </c>
      <c r="N27">
        <f t="shared" ca="1" si="2"/>
        <v>2</v>
      </c>
      <c r="O27" t="str">
        <f t="shared" ca="1" si="3"/>
        <v>Beginner</v>
      </c>
    </row>
    <row r="28" spans="1:15" x14ac:dyDescent="0.3">
      <c r="A28" t="s">
        <v>247</v>
      </c>
      <c r="B28" t="s">
        <v>248</v>
      </c>
      <c r="C28" t="s">
        <v>61</v>
      </c>
      <c r="D28" t="s">
        <v>249</v>
      </c>
      <c r="E28" t="s">
        <v>250</v>
      </c>
      <c r="F28" t="s">
        <v>251</v>
      </c>
      <c r="G28" t="s">
        <v>252</v>
      </c>
      <c r="H28" t="s">
        <v>253</v>
      </c>
      <c r="I28">
        <f t="shared" ca="1" si="0"/>
        <v>60</v>
      </c>
      <c r="J28" t="str">
        <f t="shared" ca="1" si="1"/>
        <v>60+</v>
      </c>
      <c r="K28">
        <v>53591.4</v>
      </c>
      <c r="L28" t="str">
        <f>IF(Workforce[[#This Row],[Salary]]&lt;50000,"30k-49k",IF(Workforce[[#This Row],[Salary]]&lt;70000,"50k-69k",IF(Workforce[[#This Row],[Salary]]&lt;90000,"70k-89k","90k+")))</f>
        <v>50k-69k</v>
      </c>
      <c r="M28" t="s">
        <v>254</v>
      </c>
      <c r="N28">
        <f t="shared" ca="1" si="2"/>
        <v>5</v>
      </c>
      <c r="O28" t="str">
        <f t="shared" ca="1" si="3"/>
        <v>Intermediate level</v>
      </c>
    </row>
    <row r="29" spans="1:15" x14ac:dyDescent="0.3">
      <c r="A29" t="s">
        <v>255</v>
      </c>
      <c r="B29" t="s">
        <v>256</v>
      </c>
      <c r="C29" t="s">
        <v>257</v>
      </c>
      <c r="D29" t="s">
        <v>258</v>
      </c>
      <c r="E29" t="s">
        <v>259</v>
      </c>
      <c r="F29" t="s">
        <v>260</v>
      </c>
      <c r="G29" t="s">
        <v>261</v>
      </c>
      <c r="H29" t="s">
        <v>262</v>
      </c>
      <c r="I29">
        <f t="shared" ca="1" si="0"/>
        <v>46</v>
      </c>
      <c r="J29" t="str">
        <f t="shared" ca="1" si="1"/>
        <v>40-49</v>
      </c>
      <c r="K29">
        <v>78300.070000000007</v>
      </c>
      <c r="L29" t="str">
        <f>IF(Workforce[[#This Row],[Salary]]&lt;50000,"30k-49k",IF(Workforce[[#This Row],[Salary]]&lt;70000,"50k-69k",IF(Workforce[[#This Row],[Salary]]&lt;90000,"70k-89k","90k+")))</f>
        <v>70k-89k</v>
      </c>
      <c r="M29" t="s">
        <v>263</v>
      </c>
      <c r="N29">
        <f t="shared" ca="1" si="2"/>
        <v>10</v>
      </c>
      <c r="O29" t="str">
        <f t="shared" ca="1" si="3"/>
        <v>Senior level</v>
      </c>
    </row>
    <row r="30" spans="1:15" x14ac:dyDescent="0.3">
      <c r="A30" t="s">
        <v>264</v>
      </c>
      <c r="B30" t="s">
        <v>265</v>
      </c>
      <c r="C30" t="s">
        <v>266</v>
      </c>
      <c r="D30" t="s">
        <v>267</v>
      </c>
      <c r="E30" t="s">
        <v>268</v>
      </c>
      <c r="F30" t="s">
        <v>269</v>
      </c>
      <c r="G30" t="s">
        <v>270</v>
      </c>
      <c r="H30" t="s">
        <v>271</v>
      </c>
      <c r="I30">
        <f t="shared" ca="1" si="0"/>
        <v>52</v>
      </c>
      <c r="J30" t="str">
        <f t="shared" ca="1" si="1"/>
        <v>50-59</v>
      </c>
      <c r="K30">
        <v>94218.77</v>
      </c>
      <c r="L30" t="str">
        <f>IF(Workforce[[#This Row],[Salary]]&lt;50000,"30k-49k",IF(Workforce[[#This Row],[Salary]]&lt;70000,"50k-69k",IF(Workforce[[#This Row],[Salary]]&lt;90000,"70k-89k","90k+")))</f>
        <v>90k+</v>
      </c>
      <c r="M30" t="s">
        <v>272</v>
      </c>
      <c r="N30">
        <f t="shared" ca="1" si="2"/>
        <v>6</v>
      </c>
      <c r="O30" t="str">
        <f t="shared" ca="1" si="3"/>
        <v>Intermediate level</v>
      </c>
    </row>
    <row r="31" spans="1:15" x14ac:dyDescent="0.3">
      <c r="A31" t="s">
        <v>273</v>
      </c>
      <c r="B31" t="s">
        <v>274</v>
      </c>
      <c r="C31" t="s">
        <v>275</v>
      </c>
      <c r="D31" t="s">
        <v>276</v>
      </c>
      <c r="E31" t="s">
        <v>277</v>
      </c>
      <c r="F31" t="s">
        <v>278</v>
      </c>
      <c r="G31" t="s">
        <v>279</v>
      </c>
      <c r="H31" t="s">
        <v>280</v>
      </c>
      <c r="I31">
        <f t="shared" ca="1" si="0"/>
        <v>34</v>
      </c>
      <c r="J31" t="str">
        <f t="shared" ca="1" si="1"/>
        <v>30-39</v>
      </c>
      <c r="K31">
        <v>52649.01</v>
      </c>
      <c r="L31" t="str">
        <f>IF(Workforce[[#This Row],[Salary]]&lt;50000,"30k-49k",IF(Workforce[[#This Row],[Salary]]&lt;70000,"50k-69k",IF(Workforce[[#This Row],[Salary]]&lt;90000,"70k-89k","90k+")))</f>
        <v>50k-69k</v>
      </c>
      <c r="M31" t="s">
        <v>281</v>
      </c>
      <c r="N31">
        <f t="shared" ca="1" si="2"/>
        <v>2</v>
      </c>
      <c r="O31" t="str">
        <f t="shared" ca="1" si="3"/>
        <v>Beginner</v>
      </c>
    </row>
    <row r="32" spans="1:15" x14ac:dyDescent="0.3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F32" t="s">
        <v>287</v>
      </c>
      <c r="G32" t="s">
        <v>288</v>
      </c>
      <c r="H32" t="s">
        <v>289</v>
      </c>
      <c r="I32">
        <f t="shared" ca="1" si="0"/>
        <v>56</v>
      </c>
      <c r="J32" t="str">
        <f t="shared" ca="1" si="1"/>
        <v>50-59</v>
      </c>
      <c r="K32">
        <v>66183.56</v>
      </c>
      <c r="L32" t="str">
        <f>IF(Workforce[[#This Row],[Salary]]&lt;50000,"30k-49k",IF(Workforce[[#This Row],[Salary]]&lt;70000,"50k-69k",IF(Workforce[[#This Row],[Salary]]&lt;90000,"70k-89k","90k+")))</f>
        <v>50k-69k</v>
      </c>
      <c r="M32" t="s">
        <v>290</v>
      </c>
      <c r="N32">
        <f t="shared" ca="1" si="2"/>
        <v>9</v>
      </c>
      <c r="O32" t="str">
        <f t="shared" ca="1" si="3"/>
        <v>Senior level</v>
      </c>
    </row>
    <row r="33" spans="1:15" x14ac:dyDescent="0.3">
      <c r="A33" t="s">
        <v>291</v>
      </c>
      <c r="B33" t="s">
        <v>292</v>
      </c>
      <c r="C33" t="s">
        <v>88</v>
      </c>
      <c r="D33" t="s">
        <v>293</v>
      </c>
      <c r="E33" t="s">
        <v>294</v>
      </c>
      <c r="F33" t="s">
        <v>295</v>
      </c>
      <c r="G33" t="s">
        <v>296</v>
      </c>
      <c r="H33" t="s">
        <v>297</v>
      </c>
      <c r="I33">
        <f t="shared" ca="1" si="0"/>
        <v>25</v>
      </c>
      <c r="J33" t="str">
        <f t="shared" ca="1" si="1"/>
        <v>18-29</v>
      </c>
      <c r="K33">
        <v>113200.84</v>
      </c>
      <c r="L33" t="str">
        <f>IF(Workforce[[#This Row],[Salary]]&lt;50000,"30k-49k",IF(Workforce[[#This Row],[Salary]]&lt;70000,"50k-69k",IF(Workforce[[#This Row],[Salary]]&lt;90000,"70k-89k","90k+")))</f>
        <v>90k+</v>
      </c>
      <c r="M33" t="s">
        <v>298</v>
      </c>
      <c r="N33">
        <f t="shared" ca="1" si="2"/>
        <v>10</v>
      </c>
      <c r="O33" t="str">
        <f t="shared" ca="1" si="3"/>
        <v>Senior level</v>
      </c>
    </row>
    <row r="34" spans="1:15" x14ac:dyDescent="0.3">
      <c r="A34" t="s">
        <v>299</v>
      </c>
      <c r="B34" t="s">
        <v>300</v>
      </c>
      <c r="C34" t="s">
        <v>284</v>
      </c>
      <c r="D34" t="s">
        <v>301</v>
      </c>
      <c r="E34" t="s">
        <v>302</v>
      </c>
      <c r="F34" t="s">
        <v>303</v>
      </c>
      <c r="G34" t="s">
        <v>304</v>
      </c>
      <c r="H34" t="s">
        <v>305</v>
      </c>
      <c r="I34">
        <f t="shared" ca="1" si="0"/>
        <v>61</v>
      </c>
      <c r="J34" t="str">
        <f t="shared" ca="1" si="1"/>
        <v>60+</v>
      </c>
      <c r="K34">
        <v>48722.2</v>
      </c>
      <c r="L34" t="str">
        <f>IF(Workforce[[#This Row],[Salary]]&lt;50000,"30k-49k",IF(Workforce[[#This Row],[Salary]]&lt;70000,"50k-69k",IF(Workforce[[#This Row],[Salary]]&lt;90000,"70k-89k","90k+")))</f>
        <v>30k-49k</v>
      </c>
      <c r="M34" t="s">
        <v>306</v>
      </c>
      <c r="N34">
        <f t="shared" ca="1" si="2"/>
        <v>10</v>
      </c>
      <c r="O34" t="str">
        <f t="shared" ca="1" si="3"/>
        <v>Senior level</v>
      </c>
    </row>
    <row r="35" spans="1:15" x14ac:dyDescent="0.3">
      <c r="A35" t="s">
        <v>307</v>
      </c>
      <c r="B35" t="s">
        <v>308</v>
      </c>
      <c r="C35" t="s">
        <v>231</v>
      </c>
      <c r="D35" t="s">
        <v>309</v>
      </c>
      <c r="E35" t="s">
        <v>310</v>
      </c>
      <c r="F35" t="s">
        <v>311</v>
      </c>
      <c r="G35" t="s">
        <v>312</v>
      </c>
      <c r="H35" t="s">
        <v>313</v>
      </c>
      <c r="I35">
        <f t="shared" ca="1" si="0"/>
        <v>36</v>
      </c>
      <c r="J35" t="str">
        <f t="shared" ca="1" si="1"/>
        <v>30-39</v>
      </c>
      <c r="K35">
        <v>72637.58</v>
      </c>
      <c r="L35" t="str">
        <f>IF(Workforce[[#This Row],[Salary]]&lt;50000,"30k-49k",IF(Workforce[[#This Row],[Salary]]&lt;70000,"50k-69k",IF(Workforce[[#This Row],[Salary]]&lt;90000,"70k-89k","90k+")))</f>
        <v>70k-89k</v>
      </c>
      <c r="M35" t="s">
        <v>314</v>
      </c>
      <c r="N35">
        <f t="shared" ca="1" si="2"/>
        <v>3</v>
      </c>
      <c r="O35" t="str">
        <f t="shared" ca="1" si="3"/>
        <v>Intermediate level</v>
      </c>
    </row>
    <row r="36" spans="1:15" x14ac:dyDescent="0.3">
      <c r="A36" t="s">
        <v>315</v>
      </c>
      <c r="B36" t="s">
        <v>316</v>
      </c>
      <c r="C36" t="s">
        <v>317</v>
      </c>
      <c r="D36" t="s">
        <v>318</v>
      </c>
      <c r="E36" t="s">
        <v>319</v>
      </c>
      <c r="F36" t="s">
        <v>320</v>
      </c>
      <c r="G36" t="s">
        <v>321</v>
      </c>
      <c r="H36" t="s">
        <v>322</v>
      </c>
      <c r="I36">
        <f t="shared" ca="1" si="0"/>
        <v>52</v>
      </c>
      <c r="J36" t="str">
        <f t="shared" ca="1" si="1"/>
        <v>50-59</v>
      </c>
      <c r="K36">
        <v>61929.09</v>
      </c>
      <c r="L36" t="str">
        <f>IF(Workforce[[#This Row],[Salary]]&lt;50000,"30k-49k",IF(Workforce[[#This Row],[Salary]]&lt;70000,"50k-69k",IF(Workforce[[#This Row],[Salary]]&lt;90000,"70k-89k","90k+")))</f>
        <v>50k-69k</v>
      </c>
      <c r="M36" t="s">
        <v>323</v>
      </c>
      <c r="N36">
        <f t="shared" ca="1" si="2"/>
        <v>6</v>
      </c>
      <c r="O36" t="str">
        <f t="shared" ca="1" si="3"/>
        <v>Intermediate level</v>
      </c>
    </row>
    <row r="37" spans="1:15" x14ac:dyDescent="0.3">
      <c r="A37" t="s">
        <v>324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330</v>
      </c>
      <c r="H37" t="s">
        <v>331</v>
      </c>
      <c r="I37">
        <f t="shared" ca="1" si="0"/>
        <v>35</v>
      </c>
      <c r="J37" t="str">
        <f t="shared" ca="1" si="1"/>
        <v>30-39</v>
      </c>
      <c r="K37">
        <v>30876.65</v>
      </c>
      <c r="L37" t="str">
        <f>IF(Workforce[[#This Row],[Salary]]&lt;50000,"30k-49k",IF(Workforce[[#This Row],[Salary]]&lt;70000,"50k-69k",IF(Workforce[[#This Row],[Salary]]&lt;90000,"70k-89k","90k+")))</f>
        <v>30k-49k</v>
      </c>
      <c r="M37" t="s">
        <v>332</v>
      </c>
      <c r="N37">
        <f t="shared" ca="1" si="2"/>
        <v>6</v>
      </c>
      <c r="O37" t="str">
        <f t="shared" ca="1" si="3"/>
        <v>Intermediate level</v>
      </c>
    </row>
    <row r="38" spans="1:15" x14ac:dyDescent="0.3">
      <c r="A38" t="s">
        <v>333</v>
      </c>
      <c r="B38" t="s">
        <v>334</v>
      </c>
      <c r="C38" t="s">
        <v>335</v>
      </c>
      <c r="D38" t="s">
        <v>336</v>
      </c>
      <c r="E38" t="s">
        <v>337</v>
      </c>
      <c r="F38" t="s">
        <v>136</v>
      </c>
      <c r="G38" t="s">
        <v>338</v>
      </c>
      <c r="H38" t="s">
        <v>339</v>
      </c>
      <c r="I38">
        <f t="shared" ca="1" si="0"/>
        <v>39</v>
      </c>
      <c r="J38" t="str">
        <f t="shared" ca="1" si="1"/>
        <v>30-39</v>
      </c>
      <c r="K38">
        <v>79391.600000000006</v>
      </c>
      <c r="L38" t="str">
        <f>IF(Workforce[[#This Row],[Salary]]&lt;50000,"30k-49k",IF(Workforce[[#This Row],[Salary]]&lt;70000,"50k-69k",IF(Workforce[[#This Row],[Salary]]&lt;90000,"70k-89k","90k+")))</f>
        <v>70k-89k</v>
      </c>
      <c r="M38" t="s">
        <v>340</v>
      </c>
      <c r="N38">
        <f t="shared" ca="1" si="2"/>
        <v>7</v>
      </c>
      <c r="O38" t="str">
        <f t="shared" ca="1" si="3"/>
        <v>Senior level</v>
      </c>
    </row>
    <row r="39" spans="1:15" x14ac:dyDescent="0.3">
      <c r="A39" t="s">
        <v>341</v>
      </c>
      <c r="B39" t="s">
        <v>342</v>
      </c>
      <c r="C39" t="s">
        <v>70</v>
      </c>
      <c r="D39" t="s">
        <v>343</v>
      </c>
      <c r="E39" t="s">
        <v>344</v>
      </c>
      <c r="F39" t="s">
        <v>345</v>
      </c>
      <c r="G39" t="s">
        <v>346</v>
      </c>
      <c r="H39" t="s">
        <v>347</v>
      </c>
      <c r="I39">
        <f t="shared" ca="1" si="0"/>
        <v>45</v>
      </c>
      <c r="J39" t="str">
        <f t="shared" ca="1" si="1"/>
        <v>40-49</v>
      </c>
      <c r="K39">
        <v>119079.52</v>
      </c>
      <c r="L39" t="str">
        <f>IF(Workforce[[#This Row],[Salary]]&lt;50000,"30k-49k",IF(Workforce[[#This Row],[Salary]]&lt;70000,"50k-69k",IF(Workforce[[#This Row],[Salary]]&lt;90000,"70k-89k","90k+")))</f>
        <v>90k+</v>
      </c>
      <c r="M39" t="s">
        <v>348</v>
      </c>
      <c r="N39">
        <f t="shared" ca="1" si="2"/>
        <v>9</v>
      </c>
      <c r="O39" t="str">
        <f t="shared" ca="1" si="3"/>
        <v>Senior level</v>
      </c>
    </row>
    <row r="40" spans="1:15" x14ac:dyDescent="0.3">
      <c r="A40" t="s">
        <v>349</v>
      </c>
      <c r="B40" t="s">
        <v>350</v>
      </c>
      <c r="C40" t="s">
        <v>351</v>
      </c>
      <c r="D40" t="s">
        <v>352</v>
      </c>
      <c r="E40" t="s">
        <v>353</v>
      </c>
      <c r="F40" t="s">
        <v>354</v>
      </c>
      <c r="G40" t="s">
        <v>355</v>
      </c>
      <c r="H40" t="s">
        <v>356</v>
      </c>
      <c r="I40">
        <f t="shared" ca="1" si="0"/>
        <v>34</v>
      </c>
      <c r="J40" t="str">
        <f t="shared" ca="1" si="1"/>
        <v>30-39</v>
      </c>
      <c r="K40">
        <v>100033.19</v>
      </c>
      <c r="L40" t="str">
        <f>IF(Workforce[[#This Row],[Salary]]&lt;50000,"30k-49k",IF(Workforce[[#This Row],[Salary]]&lt;70000,"50k-69k",IF(Workforce[[#This Row],[Salary]]&lt;90000,"70k-89k","90k+")))</f>
        <v>90k+</v>
      </c>
      <c r="M40" t="s">
        <v>357</v>
      </c>
      <c r="N40">
        <f t="shared" ca="1" si="2"/>
        <v>9</v>
      </c>
      <c r="O40" t="str">
        <f t="shared" ca="1" si="3"/>
        <v>Senior level</v>
      </c>
    </row>
    <row r="41" spans="1:15" x14ac:dyDescent="0.3">
      <c r="A41" t="s">
        <v>358</v>
      </c>
      <c r="B41" t="s">
        <v>359</v>
      </c>
      <c r="C41" t="s">
        <v>284</v>
      </c>
      <c r="D41" t="s">
        <v>360</v>
      </c>
      <c r="E41" t="s">
        <v>361</v>
      </c>
      <c r="F41" t="s">
        <v>362</v>
      </c>
      <c r="G41" t="s">
        <v>363</v>
      </c>
      <c r="H41" t="s">
        <v>364</v>
      </c>
      <c r="I41">
        <f t="shared" ca="1" si="0"/>
        <v>29</v>
      </c>
      <c r="J41" t="str">
        <f t="shared" ca="1" si="1"/>
        <v>18-29</v>
      </c>
      <c r="K41">
        <v>53836.94</v>
      </c>
      <c r="L41" t="str">
        <f>IF(Workforce[[#This Row],[Salary]]&lt;50000,"30k-49k",IF(Workforce[[#This Row],[Salary]]&lt;70000,"50k-69k",IF(Workforce[[#This Row],[Salary]]&lt;90000,"70k-89k","90k+")))</f>
        <v>50k-69k</v>
      </c>
      <c r="M41" t="s">
        <v>365</v>
      </c>
      <c r="N41">
        <f t="shared" ca="1" si="2"/>
        <v>7</v>
      </c>
      <c r="O41" t="str">
        <f t="shared" ca="1" si="3"/>
        <v>Senior level</v>
      </c>
    </row>
    <row r="42" spans="1:15" x14ac:dyDescent="0.3">
      <c r="A42" t="s">
        <v>366</v>
      </c>
      <c r="B42" t="s">
        <v>367</v>
      </c>
      <c r="C42" t="s">
        <v>213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f t="shared" ca="1" si="0"/>
        <v>27</v>
      </c>
      <c r="J42" t="str">
        <f t="shared" ca="1" si="1"/>
        <v>18-29</v>
      </c>
      <c r="K42">
        <v>119613.57</v>
      </c>
      <c r="L42" t="str">
        <f>IF(Workforce[[#This Row],[Salary]]&lt;50000,"30k-49k",IF(Workforce[[#This Row],[Salary]]&lt;70000,"50k-69k",IF(Workforce[[#This Row],[Salary]]&lt;90000,"70k-89k","90k+")))</f>
        <v>90k+</v>
      </c>
      <c r="M42" t="s">
        <v>373</v>
      </c>
      <c r="N42">
        <f t="shared" ca="1" si="2"/>
        <v>1</v>
      </c>
      <c r="O42" t="str">
        <f t="shared" ca="1" si="3"/>
        <v>Beginner</v>
      </c>
    </row>
    <row r="43" spans="1:15" x14ac:dyDescent="0.3">
      <c r="A43" t="s">
        <v>374</v>
      </c>
      <c r="B43" t="s">
        <v>375</v>
      </c>
      <c r="C43" t="s">
        <v>160</v>
      </c>
      <c r="D43" t="s">
        <v>376</v>
      </c>
      <c r="E43" t="s">
        <v>377</v>
      </c>
      <c r="F43" t="s">
        <v>378</v>
      </c>
      <c r="G43" t="s">
        <v>379</v>
      </c>
      <c r="H43" t="s">
        <v>380</v>
      </c>
      <c r="I43">
        <f t="shared" ca="1" si="0"/>
        <v>49</v>
      </c>
      <c r="J43" t="str">
        <f t="shared" ca="1" si="1"/>
        <v>40-49</v>
      </c>
      <c r="K43">
        <v>86230.88</v>
      </c>
      <c r="L43" t="str">
        <f>IF(Workforce[[#This Row],[Salary]]&lt;50000,"30k-49k",IF(Workforce[[#This Row],[Salary]]&lt;70000,"50k-69k",IF(Workforce[[#This Row],[Salary]]&lt;90000,"70k-89k","90k+")))</f>
        <v>70k-89k</v>
      </c>
      <c r="M43" t="s">
        <v>381</v>
      </c>
      <c r="N43">
        <f t="shared" ca="1" si="2"/>
        <v>7</v>
      </c>
      <c r="O43" t="str">
        <f t="shared" ca="1" si="3"/>
        <v>Senior level</v>
      </c>
    </row>
    <row r="44" spans="1:15" x14ac:dyDescent="0.3">
      <c r="A44" t="s">
        <v>382</v>
      </c>
      <c r="B44" t="s">
        <v>383</v>
      </c>
      <c r="C44" t="s">
        <v>115</v>
      </c>
      <c r="D44" t="s">
        <v>384</v>
      </c>
      <c r="E44" t="s">
        <v>385</v>
      </c>
      <c r="F44" t="s">
        <v>386</v>
      </c>
      <c r="G44" t="s">
        <v>387</v>
      </c>
      <c r="H44" t="s">
        <v>388</v>
      </c>
      <c r="I44">
        <f t="shared" ca="1" si="0"/>
        <v>29</v>
      </c>
      <c r="J44" t="str">
        <f t="shared" ca="1" si="1"/>
        <v>18-29</v>
      </c>
      <c r="K44">
        <v>35913.5</v>
      </c>
      <c r="L44" t="str">
        <f>IF(Workforce[[#This Row],[Salary]]&lt;50000,"30k-49k",IF(Workforce[[#This Row],[Salary]]&lt;70000,"50k-69k",IF(Workforce[[#This Row],[Salary]]&lt;90000,"70k-89k","90k+")))</f>
        <v>30k-49k</v>
      </c>
      <c r="M44" t="s">
        <v>389</v>
      </c>
      <c r="N44">
        <f t="shared" ca="1" si="2"/>
        <v>9</v>
      </c>
      <c r="O44" t="str">
        <f t="shared" ca="1" si="3"/>
        <v>Senior level</v>
      </c>
    </row>
    <row r="45" spans="1:15" x14ac:dyDescent="0.3">
      <c r="A45" t="s">
        <v>390</v>
      </c>
      <c r="B45" t="s">
        <v>391</v>
      </c>
      <c r="C45" t="s">
        <v>70</v>
      </c>
      <c r="D45" t="s">
        <v>392</v>
      </c>
      <c r="E45" t="s">
        <v>393</v>
      </c>
      <c r="F45" t="s">
        <v>394</v>
      </c>
      <c r="G45" t="s">
        <v>395</v>
      </c>
      <c r="H45" t="s">
        <v>396</v>
      </c>
      <c r="I45">
        <f t="shared" ca="1" si="0"/>
        <v>58</v>
      </c>
      <c r="J45" t="str">
        <f t="shared" ca="1" si="1"/>
        <v>50-59</v>
      </c>
      <c r="K45">
        <v>97262.14</v>
      </c>
      <c r="L45" t="str">
        <f>IF(Workforce[[#This Row],[Salary]]&lt;50000,"30k-49k",IF(Workforce[[#This Row],[Salary]]&lt;70000,"50k-69k",IF(Workforce[[#This Row],[Salary]]&lt;90000,"70k-89k","90k+")))</f>
        <v>90k+</v>
      </c>
      <c r="M45" t="s">
        <v>397</v>
      </c>
      <c r="N45">
        <f t="shared" ca="1" si="2"/>
        <v>7</v>
      </c>
      <c r="O45" t="str">
        <f t="shared" ca="1" si="3"/>
        <v>Senior level</v>
      </c>
    </row>
    <row r="46" spans="1:15" x14ac:dyDescent="0.3">
      <c r="A46" t="s">
        <v>398</v>
      </c>
      <c r="B46" t="s">
        <v>399</v>
      </c>
      <c r="C46" t="s">
        <v>400</v>
      </c>
      <c r="D46" t="s">
        <v>401</v>
      </c>
      <c r="E46" t="s">
        <v>402</v>
      </c>
      <c r="F46" t="s">
        <v>403</v>
      </c>
      <c r="G46" t="s">
        <v>404</v>
      </c>
      <c r="H46" t="s">
        <v>405</v>
      </c>
      <c r="I46">
        <f t="shared" ca="1" si="0"/>
        <v>66</v>
      </c>
      <c r="J46" t="str">
        <f t="shared" ca="1" si="1"/>
        <v>60+</v>
      </c>
      <c r="K46">
        <v>118297.95</v>
      </c>
      <c r="L46" t="str">
        <f>IF(Workforce[[#This Row],[Salary]]&lt;50000,"30k-49k",IF(Workforce[[#This Row],[Salary]]&lt;70000,"50k-69k",IF(Workforce[[#This Row],[Salary]]&lt;90000,"70k-89k","90k+")))</f>
        <v>90k+</v>
      </c>
      <c r="M46" t="s">
        <v>406</v>
      </c>
      <c r="N46">
        <f t="shared" ca="1" si="2"/>
        <v>10</v>
      </c>
      <c r="O46" t="str">
        <f t="shared" ca="1" si="3"/>
        <v>Senior level</v>
      </c>
    </row>
    <row r="47" spans="1:15" x14ac:dyDescent="0.3">
      <c r="A47" t="s">
        <v>407</v>
      </c>
      <c r="B47" t="s">
        <v>408</v>
      </c>
      <c r="C47" t="s">
        <v>351</v>
      </c>
      <c r="D47" t="s">
        <v>409</v>
      </c>
      <c r="E47" t="s">
        <v>410</v>
      </c>
      <c r="F47" t="s">
        <v>411</v>
      </c>
      <c r="G47" t="s">
        <v>412</v>
      </c>
      <c r="H47" t="s">
        <v>413</v>
      </c>
      <c r="I47">
        <f t="shared" ca="1" si="0"/>
        <v>32</v>
      </c>
      <c r="J47" t="str">
        <f t="shared" ca="1" si="1"/>
        <v>30-39</v>
      </c>
      <c r="K47">
        <v>73050.92</v>
      </c>
      <c r="L47" t="str">
        <f>IF(Workforce[[#This Row],[Salary]]&lt;50000,"30k-49k",IF(Workforce[[#This Row],[Salary]]&lt;70000,"50k-69k",IF(Workforce[[#This Row],[Salary]]&lt;90000,"70k-89k","90k+")))</f>
        <v>70k-89k</v>
      </c>
      <c r="M47" t="s">
        <v>414</v>
      </c>
      <c r="N47">
        <f t="shared" ca="1" si="2"/>
        <v>6</v>
      </c>
      <c r="O47" t="str">
        <f t="shared" ca="1" si="3"/>
        <v>Intermediate level</v>
      </c>
    </row>
    <row r="48" spans="1:15" x14ac:dyDescent="0.3">
      <c r="A48" t="s">
        <v>415</v>
      </c>
      <c r="B48" t="s">
        <v>416</v>
      </c>
      <c r="C48" t="s">
        <v>222</v>
      </c>
      <c r="D48" t="s">
        <v>417</v>
      </c>
      <c r="E48" t="s">
        <v>418</v>
      </c>
      <c r="F48" t="s">
        <v>64</v>
      </c>
      <c r="G48" t="s">
        <v>419</v>
      </c>
      <c r="H48" t="s">
        <v>420</v>
      </c>
      <c r="I48">
        <f t="shared" ca="1" si="0"/>
        <v>35</v>
      </c>
      <c r="J48" t="str">
        <f t="shared" ca="1" si="1"/>
        <v>30-39</v>
      </c>
      <c r="K48">
        <v>118114.22</v>
      </c>
      <c r="L48" t="str">
        <f>IF(Workforce[[#This Row],[Salary]]&lt;50000,"30k-49k",IF(Workforce[[#This Row],[Salary]]&lt;70000,"50k-69k",IF(Workforce[[#This Row],[Salary]]&lt;90000,"70k-89k","90k+")))</f>
        <v>90k+</v>
      </c>
      <c r="M48" t="s">
        <v>421</v>
      </c>
      <c r="N48">
        <f t="shared" ca="1" si="2"/>
        <v>3</v>
      </c>
      <c r="O48" t="str">
        <f t="shared" ca="1" si="3"/>
        <v>Intermediate level</v>
      </c>
    </row>
    <row r="49" spans="1:15" x14ac:dyDescent="0.3">
      <c r="A49" t="s">
        <v>422</v>
      </c>
      <c r="B49" t="s">
        <v>423</v>
      </c>
      <c r="C49" t="s">
        <v>79</v>
      </c>
      <c r="D49" t="s">
        <v>424</v>
      </c>
      <c r="E49" t="s">
        <v>425</v>
      </c>
      <c r="F49" t="s">
        <v>426</v>
      </c>
      <c r="G49" t="s">
        <v>427</v>
      </c>
      <c r="H49" t="s">
        <v>428</v>
      </c>
      <c r="I49">
        <f t="shared" ca="1" si="0"/>
        <v>66</v>
      </c>
      <c r="J49" t="str">
        <f t="shared" ca="1" si="1"/>
        <v>60+</v>
      </c>
      <c r="K49">
        <v>108004.03</v>
      </c>
      <c r="L49" t="str">
        <f>IF(Workforce[[#This Row],[Salary]]&lt;50000,"30k-49k",IF(Workforce[[#This Row],[Salary]]&lt;70000,"50k-69k",IF(Workforce[[#This Row],[Salary]]&lt;90000,"70k-89k","90k+")))</f>
        <v>90k+</v>
      </c>
      <c r="M49" t="s">
        <v>429</v>
      </c>
      <c r="N49">
        <f t="shared" ca="1" si="2"/>
        <v>4</v>
      </c>
      <c r="O49" t="str">
        <f t="shared" ca="1" si="3"/>
        <v>Intermediate level</v>
      </c>
    </row>
    <row r="50" spans="1:15" x14ac:dyDescent="0.3">
      <c r="A50" t="s">
        <v>430</v>
      </c>
      <c r="B50" t="s">
        <v>431</v>
      </c>
      <c r="C50" t="s">
        <v>266</v>
      </c>
      <c r="D50" t="s">
        <v>432</v>
      </c>
      <c r="E50" t="s">
        <v>433</v>
      </c>
      <c r="F50" t="s">
        <v>434</v>
      </c>
      <c r="G50" t="s">
        <v>435</v>
      </c>
      <c r="H50" t="s">
        <v>436</v>
      </c>
      <c r="I50">
        <f t="shared" ca="1" si="0"/>
        <v>39</v>
      </c>
      <c r="J50" t="str">
        <f t="shared" ca="1" si="1"/>
        <v>30-39</v>
      </c>
      <c r="K50">
        <v>77152.45</v>
      </c>
      <c r="L50" t="str">
        <f>IF(Workforce[[#This Row],[Salary]]&lt;50000,"30k-49k",IF(Workforce[[#This Row],[Salary]]&lt;70000,"50k-69k",IF(Workforce[[#This Row],[Salary]]&lt;90000,"70k-89k","90k+")))</f>
        <v>70k-89k</v>
      </c>
      <c r="M50" t="s">
        <v>437</v>
      </c>
      <c r="N50">
        <f t="shared" ca="1" si="2"/>
        <v>9</v>
      </c>
      <c r="O50" t="str">
        <f t="shared" ca="1" si="3"/>
        <v>Senior level</v>
      </c>
    </row>
    <row r="51" spans="1:15" x14ac:dyDescent="0.3">
      <c r="A51" t="s">
        <v>438</v>
      </c>
      <c r="B51" t="s">
        <v>439</v>
      </c>
      <c r="C51" t="s">
        <v>440</v>
      </c>
      <c r="D51" t="s">
        <v>441</v>
      </c>
      <c r="E51" t="s">
        <v>442</v>
      </c>
      <c r="F51" t="s">
        <v>443</v>
      </c>
      <c r="G51" t="s">
        <v>444</v>
      </c>
      <c r="H51" t="s">
        <v>445</v>
      </c>
      <c r="I51">
        <f t="shared" ca="1" si="0"/>
        <v>27</v>
      </c>
      <c r="J51" t="str">
        <f t="shared" ca="1" si="1"/>
        <v>18-29</v>
      </c>
      <c r="K51">
        <v>52305.37</v>
      </c>
      <c r="L51" t="str">
        <f>IF(Workforce[[#This Row],[Salary]]&lt;50000,"30k-49k",IF(Workforce[[#This Row],[Salary]]&lt;70000,"50k-69k",IF(Workforce[[#This Row],[Salary]]&lt;90000,"70k-89k","90k+")))</f>
        <v>50k-69k</v>
      </c>
      <c r="M51" t="s">
        <v>446</v>
      </c>
      <c r="N51">
        <f t="shared" ca="1" si="2"/>
        <v>4</v>
      </c>
      <c r="O51" t="str">
        <f t="shared" ca="1" si="3"/>
        <v>Intermediate level</v>
      </c>
    </row>
    <row r="52" spans="1:15" x14ac:dyDescent="0.3">
      <c r="A52" t="s">
        <v>447</v>
      </c>
      <c r="B52" t="s">
        <v>448</v>
      </c>
      <c r="C52" t="s">
        <v>400</v>
      </c>
      <c r="D52" t="s">
        <v>449</v>
      </c>
      <c r="E52" t="s">
        <v>450</v>
      </c>
      <c r="F52" t="s">
        <v>451</v>
      </c>
      <c r="G52" t="s">
        <v>452</v>
      </c>
      <c r="H52" t="s">
        <v>453</v>
      </c>
      <c r="I52">
        <f t="shared" ca="1" si="0"/>
        <v>61</v>
      </c>
      <c r="J52" t="str">
        <f t="shared" ca="1" si="1"/>
        <v>60+</v>
      </c>
      <c r="K52">
        <v>57089.09</v>
      </c>
      <c r="L52" t="str">
        <f>IF(Workforce[[#This Row],[Salary]]&lt;50000,"30k-49k",IF(Workforce[[#This Row],[Salary]]&lt;70000,"50k-69k",IF(Workforce[[#This Row],[Salary]]&lt;90000,"70k-89k","90k+")))</f>
        <v>50k-69k</v>
      </c>
      <c r="M52" t="s">
        <v>454</v>
      </c>
      <c r="N52">
        <f t="shared" ca="1" si="2"/>
        <v>10</v>
      </c>
      <c r="O52" t="str">
        <f t="shared" ca="1" si="3"/>
        <v>Senior level</v>
      </c>
    </row>
    <row r="53" spans="1:15" x14ac:dyDescent="0.3">
      <c r="A53" t="s">
        <v>455</v>
      </c>
      <c r="B53" t="s">
        <v>456</v>
      </c>
      <c r="C53" t="s">
        <v>457</v>
      </c>
      <c r="D53" t="s">
        <v>458</v>
      </c>
      <c r="E53" t="s">
        <v>459</v>
      </c>
      <c r="F53" t="s">
        <v>460</v>
      </c>
      <c r="G53" t="s">
        <v>461</v>
      </c>
      <c r="H53" t="s">
        <v>462</v>
      </c>
      <c r="I53">
        <f t="shared" ca="1" si="0"/>
        <v>23</v>
      </c>
      <c r="J53" t="str">
        <f t="shared" ca="1" si="1"/>
        <v>18-29</v>
      </c>
      <c r="K53">
        <v>72216.55</v>
      </c>
      <c r="L53" t="str">
        <f>IF(Workforce[[#This Row],[Salary]]&lt;50000,"30k-49k",IF(Workforce[[#This Row],[Salary]]&lt;70000,"50k-69k",IF(Workforce[[#This Row],[Salary]]&lt;90000,"70k-89k","90k+")))</f>
        <v>70k-89k</v>
      </c>
      <c r="M53" t="s">
        <v>463</v>
      </c>
      <c r="N53">
        <f t="shared" ca="1" si="2"/>
        <v>0</v>
      </c>
      <c r="O53" t="str">
        <f t="shared" ca="1" si="3"/>
        <v>Beginner</v>
      </c>
    </row>
    <row r="54" spans="1:15" x14ac:dyDescent="0.3">
      <c r="A54" t="s">
        <v>464</v>
      </c>
      <c r="B54" t="s">
        <v>465</v>
      </c>
      <c r="C54" t="s">
        <v>326</v>
      </c>
      <c r="D54" t="s">
        <v>466</v>
      </c>
      <c r="E54" t="s">
        <v>467</v>
      </c>
      <c r="F54" t="s">
        <v>468</v>
      </c>
      <c r="G54" t="s">
        <v>469</v>
      </c>
      <c r="H54" t="s">
        <v>470</v>
      </c>
      <c r="I54">
        <f t="shared" ca="1" si="0"/>
        <v>22</v>
      </c>
      <c r="J54" t="str">
        <f t="shared" ca="1" si="1"/>
        <v>18-29</v>
      </c>
      <c r="K54">
        <v>84523.73</v>
      </c>
      <c r="L54" t="str">
        <f>IF(Workforce[[#This Row],[Salary]]&lt;50000,"30k-49k",IF(Workforce[[#This Row],[Salary]]&lt;70000,"50k-69k",IF(Workforce[[#This Row],[Salary]]&lt;90000,"70k-89k","90k+")))</f>
        <v>70k-89k</v>
      </c>
      <c r="M54" t="s">
        <v>471</v>
      </c>
      <c r="N54">
        <f t="shared" ca="1" si="2"/>
        <v>1</v>
      </c>
      <c r="O54" t="str">
        <f t="shared" ca="1" si="3"/>
        <v>Beginner</v>
      </c>
    </row>
    <row r="55" spans="1:15" x14ac:dyDescent="0.3">
      <c r="A55" t="s">
        <v>472</v>
      </c>
      <c r="B55" t="s">
        <v>473</v>
      </c>
      <c r="C55" t="s">
        <v>151</v>
      </c>
      <c r="D55" t="s">
        <v>474</v>
      </c>
      <c r="E55" t="s">
        <v>475</v>
      </c>
      <c r="F55" t="s">
        <v>476</v>
      </c>
      <c r="G55" t="s">
        <v>477</v>
      </c>
      <c r="H55" t="s">
        <v>478</v>
      </c>
      <c r="I55">
        <f t="shared" ca="1" si="0"/>
        <v>54</v>
      </c>
      <c r="J55" t="str">
        <f t="shared" ca="1" si="1"/>
        <v>50-59</v>
      </c>
      <c r="K55">
        <v>119041.9</v>
      </c>
      <c r="L55" t="str">
        <f>IF(Workforce[[#This Row],[Salary]]&lt;50000,"30k-49k",IF(Workforce[[#This Row],[Salary]]&lt;70000,"50k-69k",IF(Workforce[[#This Row],[Salary]]&lt;90000,"70k-89k","90k+")))</f>
        <v>90k+</v>
      </c>
      <c r="M55" t="s">
        <v>479</v>
      </c>
      <c r="N55">
        <f t="shared" ca="1" si="2"/>
        <v>1</v>
      </c>
      <c r="O55" t="str">
        <f t="shared" ca="1" si="3"/>
        <v>Beginner</v>
      </c>
    </row>
    <row r="56" spans="1:15" x14ac:dyDescent="0.3">
      <c r="A56" t="s">
        <v>480</v>
      </c>
      <c r="B56" t="s">
        <v>481</v>
      </c>
      <c r="C56" t="s">
        <v>482</v>
      </c>
      <c r="D56" t="s">
        <v>483</v>
      </c>
      <c r="E56" t="s">
        <v>484</v>
      </c>
      <c r="F56" t="s">
        <v>485</v>
      </c>
      <c r="G56" t="s">
        <v>486</v>
      </c>
      <c r="H56" t="s">
        <v>487</v>
      </c>
      <c r="I56">
        <f t="shared" ca="1" si="0"/>
        <v>62</v>
      </c>
      <c r="J56" t="str">
        <f t="shared" ca="1" si="1"/>
        <v>60+</v>
      </c>
      <c r="K56">
        <v>35437.35</v>
      </c>
      <c r="L56" t="str">
        <f>IF(Workforce[[#This Row],[Salary]]&lt;50000,"30k-49k",IF(Workforce[[#This Row],[Salary]]&lt;70000,"50k-69k",IF(Workforce[[#This Row],[Salary]]&lt;90000,"70k-89k","90k+")))</f>
        <v>30k-49k</v>
      </c>
      <c r="M56" t="s">
        <v>488</v>
      </c>
      <c r="N56">
        <f t="shared" ca="1" si="2"/>
        <v>4</v>
      </c>
      <c r="O56" t="str">
        <f t="shared" ca="1" si="3"/>
        <v>Intermediate level</v>
      </c>
    </row>
    <row r="57" spans="1:15" x14ac:dyDescent="0.3">
      <c r="A57" t="s">
        <v>489</v>
      </c>
      <c r="B57" t="s">
        <v>490</v>
      </c>
      <c r="C57" t="s">
        <v>400</v>
      </c>
      <c r="D57" t="s">
        <v>491</v>
      </c>
      <c r="E57" t="s">
        <v>492</v>
      </c>
      <c r="F57" t="s">
        <v>493</v>
      </c>
      <c r="G57" t="s">
        <v>494</v>
      </c>
      <c r="H57" t="s">
        <v>495</v>
      </c>
      <c r="I57">
        <f t="shared" ca="1" si="0"/>
        <v>35</v>
      </c>
      <c r="J57" t="str">
        <f t="shared" ca="1" si="1"/>
        <v>30-39</v>
      </c>
      <c r="K57">
        <v>90411.97</v>
      </c>
      <c r="L57" t="str">
        <f>IF(Workforce[[#This Row],[Salary]]&lt;50000,"30k-49k",IF(Workforce[[#This Row],[Salary]]&lt;70000,"50k-69k",IF(Workforce[[#This Row],[Salary]]&lt;90000,"70k-89k","90k+")))</f>
        <v>90k+</v>
      </c>
      <c r="M57" t="s">
        <v>496</v>
      </c>
      <c r="N57">
        <f t="shared" ca="1" si="2"/>
        <v>7</v>
      </c>
      <c r="O57" t="str">
        <f t="shared" ca="1" si="3"/>
        <v>Senior level</v>
      </c>
    </row>
    <row r="58" spans="1:15" x14ac:dyDescent="0.3">
      <c r="A58" t="s">
        <v>497</v>
      </c>
      <c r="B58" t="s">
        <v>498</v>
      </c>
      <c r="C58" t="s">
        <v>44</v>
      </c>
      <c r="D58" t="s">
        <v>499</v>
      </c>
      <c r="E58" t="s">
        <v>500</v>
      </c>
      <c r="F58" t="s">
        <v>501</v>
      </c>
      <c r="G58" t="s">
        <v>502</v>
      </c>
      <c r="H58" t="s">
        <v>503</v>
      </c>
      <c r="I58">
        <f t="shared" ca="1" si="0"/>
        <v>27</v>
      </c>
      <c r="J58" t="str">
        <f t="shared" ca="1" si="1"/>
        <v>18-29</v>
      </c>
      <c r="K58">
        <v>52946.55</v>
      </c>
      <c r="L58" t="str">
        <f>IF(Workforce[[#This Row],[Salary]]&lt;50000,"30k-49k",IF(Workforce[[#This Row],[Salary]]&lt;70000,"50k-69k",IF(Workforce[[#This Row],[Salary]]&lt;90000,"70k-89k","90k+")))</f>
        <v>50k-69k</v>
      </c>
      <c r="M58" t="s">
        <v>504</v>
      </c>
      <c r="N58">
        <f t="shared" ca="1" si="2"/>
        <v>8</v>
      </c>
      <c r="O58" t="str">
        <f t="shared" ca="1" si="3"/>
        <v>Senior level</v>
      </c>
    </row>
    <row r="59" spans="1:15" x14ac:dyDescent="0.3">
      <c r="A59" t="s">
        <v>505</v>
      </c>
      <c r="B59" t="s">
        <v>506</v>
      </c>
      <c r="C59" t="s">
        <v>151</v>
      </c>
      <c r="D59" t="s">
        <v>507</v>
      </c>
      <c r="E59" t="s">
        <v>508</v>
      </c>
      <c r="F59" t="s">
        <v>509</v>
      </c>
      <c r="G59" t="s">
        <v>510</v>
      </c>
      <c r="H59" t="s">
        <v>511</v>
      </c>
      <c r="I59">
        <f t="shared" ca="1" si="0"/>
        <v>55</v>
      </c>
      <c r="J59" t="str">
        <f t="shared" ca="1" si="1"/>
        <v>50-59</v>
      </c>
      <c r="K59">
        <v>89882.74</v>
      </c>
      <c r="L59" t="str">
        <f>IF(Workforce[[#This Row],[Salary]]&lt;50000,"30k-49k",IF(Workforce[[#This Row],[Salary]]&lt;70000,"50k-69k",IF(Workforce[[#This Row],[Salary]]&lt;90000,"70k-89k","90k+")))</f>
        <v>70k-89k</v>
      </c>
      <c r="M59" t="s">
        <v>512</v>
      </c>
      <c r="N59">
        <f t="shared" ca="1" si="2"/>
        <v>5</v>
      </c>
      <c r="O59" t="str">
        <f t="shared" ca="1" si="3"/>
        <v>Intermediate level</v>
      </c>
    </row>
    <row r="60" spans="1:15" x14ac:dyDescent="0.3">
      <c r="A60" t="s">
        <v>513</v>
      </c>
      <c r="B60" t="s">
        <v>514</v>
      </c>
      <c r="C60" t="s">
        <v>213</v>
      </c>
      <c r="D60" t="s">
        <v>515</v>
      </c>
      <c r="E60" t="s">
        <v>516</v>
      </c>
      <c r="F60" t="s">
        <v>517</v>
      </c>
      <c r="G60" t="s">
        <v>518</v>
      </c>
      <c r="H60" t="s">
        <v>519</v>
      </c>
      <c r="I60">
        <f t="shared" ca="1" si="0"/>
        <v>38</v>
      </c>
      <c r="J60" t="str">
        <f t="shared" ca="1" si="1"/>
        <v>30-39</v>
      </c>
      <c r="K60">
        <v>87662.75</v>
      </c>
      <c r="L60" t="str">
        <f>IF(Workforce[[#This Row],[Salary]]&lt;50000,"30k-49k",IF(Workforce[[#This Row],[Salary]]&lt;70000,"50k-69k",IF(Workforce[[#This Row],[Salary]]&lt;90000,"70k-89k","90k+")))</f>
        <v>70k-89k</v>
      </c>
      <c r="M60" t="s">
        <v>520</v>
      </c>
      <c r="N60">
        <f t="shared" ca="1" si="2"/>
        <v>1</v>
      </c>
      <c r="O60" t="str">
        <f t="shared" ca="1" si="3"/>
        <v>Beginner</v>
      </c>
    </row>
    <row r="61" spans="1:15" x14ac:dyDescent="0.3">
      <c r="A61" t="s">
        <v>521</v>
      </c>
      <c r="B61" t="s">
        <v>522</v>
      </c>
      <c r="C61" t="s">
        <v>482</v>
      </c>
      <c r="D61" t="s">
        <v>523</v>
      </c>
      <c r="E61" t="s">
        <v>524</v>
      </c>
      <c r="F61" t="s">
        <v>525</v>
      </c>
      <c r="G61" t="s">
        <v>526</v>
      </c>
      <c r="H61" t="s">
        <v>527</v>
      </c>
      <c r="I61">
        <f t="shared" ca="1" si="0"/>
        <v>58</v>
      </c>
      <c r="J61" t="str">
        <f t="shared" ca="1" si="1"/>
        <v>50-59</v>
      </c>
      <c r="K61">
        <v>112711.57</v>
      </c>
      <c r="L61" t="str">
        <f>IF(Workforce[[#This Row],[Salary]]&lt;50000,"30k-49k",IF(Workforce[[#This Row],[Salary]]&lt;70000,"50k-69k",IF(Workforce[[#This Row],[Salary]]&lt;90000,"70k-89k","90k+")))</f>
        <v>90k+</v>
      </c>
      <c r="M61" t="s">
        <v>528</v>
      </c>
      <c r="N61">
        <f t="shared" ca="1" si="2"/>
        <v>6</v>
      </c>
      <c r="O61" t="str">
        <f t="shared" ca="1" si="3"/>
        <v>Intermediate level</v>
      </c>
    </row>
    <row r="62" spans="1:15" x14ac:dyDescent="0.3">
      <c r="A62" t="s">
        <v>529</v>
      </c>
      <c r="B62" t="s">
        <v>530</v>
      </c>
      <c r="C62" t="s">
        <v>61</v>
      </c>
      <c r="D62" t="s">
        <v>531</v>
      </c>
      <c r="E62" t="s">
        <v>532</v>
      </c>
      <c r="F62" t="s">
        <v>533</v>
      </c>
      <c r="G62" t="s">
        <v>534</v>
      </c>
      <c r="H62" t="s">
        <v>535</v>
      </c>
      <c r="I62">
        <f t="shared" ca="1" si="0"/>
        <v>38</v>
      </c>
      <c r="J62" t="str">
        <f t="shared" ca="1" si="1"/>
        <v>30-39</v>
      </c>
      <c r="K62">
        <v>47591.7</v>
      </c>
      <c r="L62" t="str">
        <f>IF(Workforce[[#This Row],[Salary]]&lt;50000,"30k-49k",IF(Workforce[[#This Row],[Salary]]&lt;70000,"50k-69k",IF(Workforce[[#This Row],[Salary]]&lt;90000,"70k-89k","90k+")))</f>
        <v>30k-49k</v>
      </c>
      <c r="M62" t="s">
        <v>536</v>
      </c>
      <c r="N62">
        <f t="shared" ca="1" si="2"/>
        <v>6</v>
      </c>
      <c r="O62" t="str">
        <f t="shared" ca="1" si="3"/>
        <v>Intermediate level</v>
      </c>
    </row>
    <row r="63" spans="1:15" x14ac:dyDescent="0.3">
      <c r="A63" t="s">
        <v>537</v>
      </c>
      <c r="B63" t="s">
        <v>538</v>
      </c>
      <c r="C63" t="s">
        <v>539</v>
      </c>
      <c r="D63" t="s">
        <v>540</v>
      </c>
      <c r="E63" t="s">
        <v>541</v>
      </c>
      <c r="F63" t="s">
        <v>542</v>
      </c>
      <c r="G63" t="s">
        <v>543</v>
      </c>
      <c r="H63" t="s">
        <v>544</v>
      </c>
      <c r="I63">
        <f t="shared" ca="1" si="0"/>
        <v>42</v>
      </c>
      <c r="J63" t="str">
        <f t="shared" ca="1" si="1"/>
        <v>40-49</v>
      </c>
      <c r="K63">
        <v>77885.539999999994</v>
      </c>
      <c r="L63" t="str">
        <f>IF(Workforce[[#This Row],[Salary]]&lt;50000,"30k-49k",IF(Workforce[[#This Row],[Salary]]&lt;70000,"50k-69k",IF(Workforce[[#This Row],[Salary]]&lt;90000,"70k-89k","90k+")))</f>
        <v>70k-89k</v>
      </c>
      <c r="M63" t="s">
        <v>545</v>
      </c>
      <c r="N63">
        <f t="shared" ca="1" si="2"/>
        <v>1</v>
      </c>
      <c r="O63" t="str">
        <f t="shared" ca="1" si="3"/>
        <v>Beginner</v>
      </c>
    </row>
    <row r="64" spans="1:15" x14ac:dyDescent="0.3">
      <c r="A64" t="s">
        <v>546</v>
      </c>
      <c r="B64" t="s">
        <v>547</v>
      </c>
      <c r="C64" t="s">
        <v>284</v>
      </c>
      <c r="D64" t="s">
        <v>548</v>
      </c>
      <c r="E64" t="s">
        <v>549</v>
      </c>
      <c r="F64" t="s">
        <v>550</v>
      </c>
      <c r="G64" t="s">
        <v>551</v>
      </c>
      <c r="H64" t="s">
        <v>552</v>
      </c>
      <c r="I64">
        <f t="shared" ca="1" si="0"/>
        <v>63</v>
      </c>
      <c r="J64" t="str">
        <f t="shared" ca="1" si="1"/>
        <v>60+</v>
      </c>
      <c r="K64">
        <v>70665.37</v>
      </c>
      <c r="L64" t="str">
        <f>IF(Workforce[[#This Row],[Salary]]&lt;50000,"30k-49k",IF(Workforce[[#This Row],[Salary]]&lt;70000,"50k-69k",IF(Workforce[[#This Row],[Salary]]&lt;90000,"70k-89k","90k+")))</f>
        <v>70k-89k</v>
      </c>
      <c r="M64" t="s">
        <v>553</v>
      </c>
      <c r="N64">
        <f t="shared" ca="1" si="2"/>
        <v>3</v>
      </c>
      <c r="O64" t="str">
        <f t="shared" ca="1" si="3"/>
        <v>Intermediate level</v>
      </c>
    </row>
    <row r="65" spans="1:15" x14ac:dyDescent="0.3">
      <c r="A65" t="s">
        <v>554</v>
      </c>
      <c r="B65" t="s">
        <v>555</v>
      </c>
      <c r="C65" t="s">
        <v>539</v>
      </c>
      <c r="D65" t="s">
        <v>556</v>
      </c>
      <c r="E65" t="s">
        <v>557</v>
      </c>
      <c r="F65" t="s">
        <v>558</v>
      </c>
      <c r="G65" t="s">
        <v>559</v>
      </c>
      <c r="H65" t="s">
        <v>560</v>
      </c>
      <c r="I65">
        <f t="shared" ca="1" si="0"/>
        <v>60</v>
      </c>
      <c r="J65" t="str">
        <f t="shared" ca="1" si="1"/>
        <v>60+</v>
      </c>
      <c r="K65">
        <v>94329.61</v>
      </c>
      <c r="L65" t="str">
        <f>IF(Workforce[[#This Row],[Salary]]&lt;50000,"30k-49k",IF(Workforce[[#This Row],[Salary]]&lt;70000,"50k-69k",IF(Workforce[[#This Row],[Salary]]&lt;90000,"70k-89k","90k+")))</f>
        <v>90k+</v>
      </c>
      <c r="M65" t="s">
        <v>561</v>
      </c>
      <c r="N65">
        <f t="shared" ca="1" si="2"/>
        <v>5</v>
      </c>
      <c r="O65" t="str">
        <f t="shared" ca="1" si="3"/>
        <v>Intermediate level</v>
      </c>
    </row>
    <row r="66" spans="1:15" x14ac:dyDescent="0.3">
      <c r="A66" t="s">
        <v>562</v>
      </c>
      <c r="B66" t="s">
        <v>563</v>
      </c>
      <c r="C66" t="s">
        <v>17</v>
      </c>
      <c r="D66" t="s">
        <v>564</v>
      </c>
      <c r="E66" t="s">
        <v>565</v>
      </c>
      <c r="F66" t="s">
        <v>566</v>
      </c>
      <c r="G66" t="s">
        <v>567</v>
      </c>
      <c r="H66" t="s">
        <v>568</v>
      </c>
      <c r="I66">
        <f t="shared" ref="I66:I129" ca="1" si="4">DATEDIF(H66,TODAY(),"y")</f>
        <v>51</v>
      </c>
      <c r="J66" t="str">
        <f t="shared" ref="J66:J129" ca="1" si="5">IF(I66&lt;30,"18-29",IF(I66&lt;40,"30-39",IF(I66&lt;50,"40-49",IF(I66&lt;60,"50-59","60+"))))</f>
        <v>50-59</v>
      </c>
      <c r="K66">
        <v>94396.2</v>
      </c>
      <c r="L66" t="str">
        <f>IF(Workforce[[#This Row],[Salary]]&lt;50000,"30k-49k",IF(Workforce[[#This Row],[Salary]]&lt;70000,"50k-69k",IF(Workforce[[#This Row],[Salary]]&lt;90000,"70k-89k","90k+")))</f>
        <v>90k+</v>
      </c>
      <c r="M66" t="s">
        <v>569</v>
      </c>
      <c r="N66">
        <f t="shared" ref="N66:N129" ca="1" si="6">DATEDIF(M66,TODAY(),"y")</f>
        <v>2</v>
      </c>
      <c r="O66" t="str">
        <f t="shared" ref="O66:O129" ca="1" si="7">IF(N66&lt;=2,"Beginner",IF(N66&lt;=6,"Intermediate level","Senior level"))</f>
        <v>Beginner</v>
      </c>
    </row>
    <row r="67" spans="1:15" x14ac:dyDescent="0.3">
      <c r="A67" t="s">
        <v>570</v>
      </c>
      <c r="B67" t="s">
        <v>571</v>
      </c>
      <c r="C67" t="s">
        <v>88</v>
      </c>
      <c r="D67" t="s">
        <v>572</v>
      </c>
      <c r="E67" t="s">
        <v>573</v>
      </c>
      <c r="F67" t="s">
        <v>574</v>
      </c>
      <c r="G67" t="s">
        <v>575</v>
      </c>
      <c r="H67" t="s">
        <v>576</v>
      </c>
      <c r="I67">
        <f t="shared" ca="1" si="4"/>
        <v>36</v>
      </c>
      <c r="J67" t="str">
        <f t="shared" ca="1" si="5"/>
        <v>30-39</v>
      </c>
      <c r="K67">
        <v>78762.62</v>
      </c>
      <c r="L67" t="str">
        <f>IF(Workforce[[#This Row],[Salary]]&lt;50000,"30k-49k",IF(Workforce[[#This Row],[Salary]]&lt;70000,"50k-69k",IF(Workforce[[#This Row],[Salary]]&lt;90000,"70k-89k","90k+")))</f>
        <v>70k-89k</v>
      </c>
      <c r="M67" t="s">
        <v>577</v>
      </c>
      <c r="N67">
        <f t="shared" ca="1" si="6"/>
        <v>10</v>
      </c>
      <c r="O67" t="str">
        <f t="shared" ca="1" si="7"/>
        <v>Senior level</v>
      </c>
    </row>
    <row r="68" spans="1:15" x14ac:dyDescent="0.3">
      <c r="A68" t="s">
        <v>578</v>
      </c>
      <c r="B68" t="s">
        <v>579</v>
      </c>
      <c r="C68" t="s">
        <v>580</v>
      </c>
      <c r="D68" t="s">
        <v>581</v>
      </c>
      <c r="E68" t="s">
        <v>582</v>
      </c>
      <c r="F68" t="s">
        <v>583</v>
      </c>
      <c r="G68" t="s">
        <v>584</v>
      </c>
      <c r="H68" t="s">
        <v>585</v>
      </c>
      <c r="I68">
        <f t="shared" ca="1" si="4"/>
        <v>26</v>
      </c>
      <c r="J68" t="str">
        <f t="shared" ca="1" si="5"/>
        <v>18-29</v>
      </c>
      <c r="K68">
        <v>89683.7</v>
      </c>
      <c r="L68" t="str">
        <f>IF(Workforce[[#This Row],[Salary]]&lt;50000,"30k-49k",IF(Workforce[[#This Row],[Salary]]&lt;70000,"50k-69k",IF(Workforce[[#This Row],[Salary]]&lt;90000,"70k-89k","90k+")))</f>
        <v>70k-89k</v>
      </c>
      <c r="M68" t="s">
        <v>586</v>
      </c>
      <c r="N68">
        <f t="shared" ca="1" si="6"/>
        <v>3</v>
      </c>
      <c r="O68" t="str">
        <f t="shared" ca="1" si="7"/>
        <v>Intermediate level</v>
      </c>
    </row>
    <row r="69" spans="1:15" x14ac:dyDescent="0.3">
      <c r="A69" t="s">
        <v>587</v>
      </c>
      <c r="B69" t="s">
        <v>588</v>
      </c>
      <c r="C69" t="s">
        <v>70</v>
      </c>
      <c r="D69" t="s">
        <v>589</v>
      </c>
      <c r="E69" t="s">
        <v>590</v>
      </c>
      <c r="F69" t="s">
        <v>190</v>
      </c>
      <c r="G69" t="s">
        <v>591</v>
      </c>
      <c r="H69" t="s">
        <v>592</v>
      </c>
      <c r="I69">
        <f t="shared" ca="1" si="4"/>
        <v>25</v>
      </c>
      <c r="J69" t="str">
        <f t="shared" ca="1" si="5"/>
        <v>18-29</v>
      </c>
      <c r="K69">
        <v>100196.01</v>
      </c>
      <c r="L69" t="str">
        <f>IF(Workforce[[#This Row],[Salary]]&lt;50000,"30k-49k",IF(Workforce[[#This Row],[Salary]]&lt;70000,"50k-69k",IF(Workforce[[#This Row],[Salary]]&lt;90000,"70k-89k","90k+")))</f>
        <v>90k+</v>
      </c>
      <c r="M69" t="s">
        <v>593</v>
      </c>
      <c r="N69">
        <f t="shared" ca="1" si="6"/>
        <v>8</v>
      </c>
      <c r="O69" t="str">
        <f t="shared" ca="1" si="7"/>
        <v>Senior level</v>
      </c>
    </row>
    <row r="70" spans="1:15" x14ac:dyDescent="0.3">
      <c r="A70" t="s">
        <v>594</v>
      </c>
      <c r="B70" t="s">
        <v>595</v>
      </c>
      <c r="C70" t="s">
        <v>457</v>
      </c>
      <c r="D70" t="s">
        <v>596</v>
      </c>
      <c r="E70" t="s">
        <v>597</v>
      </c>
      <c r="F70" t="s">
        <v>598</v>
      </c>
      <c r="G70" t="s">
        <v>599</v>
      </c>
      <c r="H70" t="s">
        <v>600</v>
      </c>
      <c r="I70">
        <f t="shared" ca="1" si="4"/>
        <v>23</v>
      </c>
      <c r="J70" t="str">
        <f t="shared" ca="1" si="5"/>
        <v>18-29</v>
      </c>
      <c r="K70">
        <v>82747.81</v>
      </c>
      <c r="L70" t="str">
        <f>IF(Workforce[[#This Row],[Salary]]&lt;50000,"30k-49k",IF(Workforce[[#This Row],[Salary]]&lt;70000,"50k-69k",IF(Workforce[[#This Row],[Salary]]&lt;90000,"70k-89k","90k+")))</f>
        <v>70k-89k</v>
      </c>
      <c r="M70" t="s">
        <v>601</v>
      </c>
      <c r="N70">
        <f t="shared" ca="1" si="6"/>
        <v>1</v>
      </c>
      <c r="O70" t="str">
        <f t="shared" ca="1" si="7"/>
        <v>Beginner</v>
      </c>
    </row>
    <row r="71" spans="1:15" x14ac:dyDescent="0.3">
      <c r="A71" t="s">
        <v>602</v>
      </c>
      <c r="B71" t="s">
        <v>603</v>
      </c>
      <c r="C71" t="s">
        <v>604</v>
      </c>
      <c r="D71" t="s">
        <v>605</v>
      </c>
      <c r="E71" t="s">
        <v>606</v>
      </c>
      <c r="F71" t="s">
        <v>607</v>
      </c>
      <c r="G71" t="s">
        <v>608</v>
      </c>
      <c r="H71" t="s">
        <v>609</v>
      </c>
      <c r="I71">
        <f t="shared" ca="1" si="4"/>
        <v>46</v>
      </c>
      <c r="J71" t="str">
        <f t="shared" ca="1" si="5"/>
        <v>40-49</v>
      </c>
      <c r="K71">
        <v>72389.06</v>
      </c>
      <c r="L71" t="str">
        <f>IF(Workforce[[#This Row],[Salary]]&lt;50000,"30k-49k",IF(Workforce[[#This Row],[Salary]]&lt;70000,"50k-69k",IF(Workforce[[#This Row],[Salary]]&lt;90000,"70k-89k","90k+")))</f>
        <v>70k-89k</v>
      </c>
      <c r="M71" t="s">
        <v>610</v>
      </c>
      <c r="N71">
        <f t="shared" ca="1" si="6"/>
        <v>7</v>
      </c>
      <c r="O71" t="str">
        <f t="shared" ca="1" si="7"/>
        <v>Senior level</v>
      </c>
    </row>
    <row r="72" spans="1:15" x14ac:dyDescent="0.3">
      <c r="A72" t="s">
        <v>611</v>
      </c>
      <c r="B72" t="s">
        <v>612</v>
      </c>
      <c r="C72" t="s">
        <v>604</v>
      </c>
      <c r="D72" t="s">
        <v>613</v>
      </c>
      <c r="E72" t="s">
        <v>614</v>
      </c>
      <c r="F72" t="s">
        <v>615</v>
      </c>
      <c r="G72" t="s">
        <v>616</v>
      </c>
      <c r="H72" t="s">
        <v>617</v>
      </c>
      <c r="I72">
        <f t="shared" ca="1" si="4"/>
        <v>33</v>
      </c>
      <c r="J72" t="str">
        <f t="shared" ca="1" si="5"/>
        <v>30-39</v>
      </c>
      <c r="K72">
        <v>106751.5</v>
      </c>
      <c r="L72" t="str">
        <f>IF(Workforce[[#This Row],[Salary]]&lt;50000,"30k-49k",IF(Workforce[[#This Row],[Salary]]&lt;70000,"50k-69k",IF(Workforce[[#This Row],[Salary]]&lt;90000,"70k-89k","90k+")))</f>
        <v>90k+</v>
      </c>
      <c r="M72" t="s">
        <v>618</v>
      </c>
      <c r="N72">
        <f t="shared" ca="1" si="6"/>
        <v>6</v>
      </c>
      <c r="O72" t="str">
        <f t="shared" ca="1" si="7"/>
        <v>Intermediate level</v>
      </c>
    </row>
    <row r="73" spans="1:15" x14ac:dyDescent="0.3">
      <c r="A73" t="s">
        <v>619</v>
      </c>
      <c r="B73" t="s">
        <v>620</v>
      </c>
      <c r="C73" t="s">
        <v>26</v>
      </c>
      <c r="D73" t="s">
        <v>621</v>
      </c>
      <c r="E73" t="s">
        <v>622</v>
      </c>
      <c r="F73" t="s">
        <v>623</v>
      </c>
      <c r="G73" t="s">
        <v>624</v>
      </c>
      <c r="H73" t="s">
        <v>625</v>
      </c>
      <c r="I73">
        <f t="shared" ca="1" si="4"/>
        <v>41</v>
      </c>
      <c r="J73" t="str">
        <f t="shared" ca="1" si="5"/>
        <v>40-49</v>
      </c>
      <c r="K73">
        <v>50890.83</v>
      </c>
      <c r="L73" t="str">
        <f>IF(Workforce[[#This Row],[Salary]]&lt;50000,"30k-49k",IF(Workforce[[#This Row],[Salary]]&lt;70000,"50k-69k",IF(Workforce[[#This Row],[Salary]]&lt;90000,"70k-89k","90k+")))</f>
        <v>50k-69k</v>
      </c>
      <c r="M73" t="s">
        <v>626</v>
      </c>
      <c r="N73">
        <f t="shared" ca="1" si="6"/>
        <v>9</v>
      </c>
      <c r="O73" t="str">
        <f t="shared" ca="1" si="7"/>
        <v>Senior level</v>
      </c>
    </row>
    <row r="74" spans="1:15" x14ac:dyDescent="0.3">
      <c r="A74" t="s">
        <v>627</v>
      </c>
      <c r="B74" t="s">
        <v>628</v>
      </c>
      <c r="C74" t="s">
        <v>351</v>
      </c>
      <c r="D74" t="s">
        <v>629</v>
      </c>
      <c r="E74" t="s">
        <v>630</v>
      </c>
      <c r="F74" t="s">
        <v>631</v>
      </c>
      <c r="G74" t="s">
        <v>632</v>
      </c>
      <c r="H74" t="s">
        <v>633</v>
      </c>
      <c r="I74">
        <f t="shared" ca="1" si="4"/>
        <v>45</v>
      </c>
      <c r="J74" t="str">
        <f t="shared" ca="1" si="5"/>
        <v>40-49</v>
      </c>
      <c r="K74">
        <v>113235.21</v>
      </c>
      <c r="L74" t="str">
        <f>IF(Workforce[[#This Row],[Salary]]&lt;50000,"30k-49k",IF(Workforce[[#This Row],[Salary]]&lt;70000,"50k-69k",IF(Workforce[[#This Row],[Salary]]&lt;90000,"70k-89k","90k+")))</f>
        <v>90k+</v>
      </c>
      <c r="M74" t="s">
        <v>634</v>
      </c>
      <c r="N74">
        <f t="shared" ca="1" si="6"/>
        <v>6</v>
      </c>
      <c r="O74" t="str">
        <f t="shared" ca="1" si="7"/>
        <v>Intermediate level</v>
      </c>
    </row>
    <row r="75" spans="1:15" x14ac:dyDescent="0.3">
      <c r="A75" t="s">
        <v>635</v>
      </c>
      <c r="B75" t="s">
        <v>636</v>
      </c>
      <c r="C75" t="s">
        <v>88</v>
      </c>
      <c r="D75" t="s">
        <v>637</v>
      </c>
      <c r="E75" t="s">
        <v>638</v>
      </c>
      <c r="F75" t="s">
        <v>639</v>
      </c>
      <c r="G75" t="s">
        <v>640</v>
      </c>
      <c r="H75" t="s">
        <v>641</v>
      </c>
      <c r="I75">
        <f t="shared" ca="1" si="4"/>
        <v>61</v>
      </c>
      <c r="J75" t="str">
        <f t="shared" ca="1" si="5"/>
        <v>60+</v>
      </c>
      <c r="K75">
        <v>31849.55</v>
      </c>
      <c r="L75" t="str">
        <f>IF(Workforce[[#This Row],[Salary]]&lt;50000,"30k-49k",IF(Workforce[[#This Row],[Salary]]&lt;70000,"50k-69k",IF(Workforce[[#This Row],[Salary]]&lt;90000,"70k-89k","90k+")))</f>
        <v>30k-49k</v>
      </c>
      <c r="M75" t="s">
        <v>642</v>
      </c>
      <c r="N75">
        <f t="shared" ca="1" si="6"/>
        <v>4</v>
      </c>
      <c r="O75" t="str">
        <f t="shared" ca="1" si="7"/>
        <v>Intermediate level</v>
      </c>
    </row>
    <row r="76" spans="1:15" x14ac:dyDescent="0.3">
      <c r="A76" t="s">
        <v>643</v>
      </c>
      <c r="B76" t="s">
        <v>644</v>
      </c>
      <c r="C76" t="s">
        <v>457</v>
      </c>
      <c r="D76" t="s">
        <v>645</v>
      </c>
      <c r="E76" t="s">
        <v>646</v>
      </c>
      <c r="F76" t="s">
        <v>647</v>
      </c>
      <c r="G76" t="s">
        <v>648</v>
      </c>
      <c r="H76" t="s">
        <v>649</v>
      </c>
      <c r="I76">
        <f t="shared" ca="1" si="4"/>
        <v>51</v>
      </c>
      <c r="J76" t="str">
        <f t="shared" ca="1" si="5"/>
        <v>50-59</v>
      </c>
      <c r="K76">
        <v>51317.66</v>
      </c>
      <c r="L76" t="str">
        <f>IF(Workforce[[#This Row],[Salary]]&lt;50000,"30k-49k",IF(Workforce[[#This Row],[Salary]]&lt;70000,"50k-69k",IF(Workforce[[#This Row],[Salary]]&lt;90000,"70k-89k","90k+")))</f>
        <v>50k-69k</v>
      </c>
      <c r="M76" t="s">
        <v>650</v>
      </c>
      <c r="N76">
        <f t="shared" ca="1" si="6"/>
        <v>1</v>
      </c>
      <c r="O76" t="str">
        <f t="shared" ca="1" si="7"/>
        <v>Beginner</v>
      </c>
    </row>
    <row r="77" spans="1:15" x14ac:dyDescent="0.3">
      <c r="A77" t="s">
        <v>651</v>
      </c>
      <c r="B77" t="s">
        <v>652</v>
      </c>
      <c r="C77" t="s">
        <v>653</v>
      </c>
      <c r="D77" t="s">
        <v>654</v>
      </c>
      <c r="E77" t="s">
        <v>655</v>
      </c>
      <c r="F77" t="s">
        <v>656</v>
      </c>
      <c r="G77" t="s">
        <v>657</v>
      </c>
      <c r="H77" t="s">
        <v>658</v>
      </c>
      <c r="I77">
        <f t="shared" ca="1" si="4"/>
        <v>45</v>
      </c>
      <c r="J77" t="str">
        <f t="shared" ca="1" si="5"/>
        <v>40-49</v>
      </c>
      <c r="K77">
        <v>101405.39</v>
      </c>
      <c r="L77" t="str">
        <f>IF(Workforce[[#This Row],[Salary]]&lt;50000,"30k-49k",IF(Workforce[[#This Row],[Salary]]&lt;70000,"50k-69k",IF(Workforce[[#This Row],[Salary]]&lt;90000,"70k-89k","90k+")))</f>
        <v>90k+</v>
      </c>
      <c r="M77" t="s">
        <v>659</v>
      </c>
      <c r="N77">
        <f t="shared" ca="1" si="6"/>
        <v>1</v>
      </c>
      <c r="O77" t="str">
        <f t="shared" ca="1" si="7"/>
        <v>Beginner</v>
      </c>
    </row>
    <row r="78" spans="1:15" x14ac:dyDescent="0.3">
      <c r="A78" t="s">
        <v>660</v>
      </c>
      <c r="B78" t="s">
        <v>661</v>
      </c>
      <c r="C78" t="s">
        <v>213</v>
      </c>
      <c r="D78" t="s">
        <v>662</v>
      </c>
      <c r="E78" t="s">
        <v>663</v>
      </c>
      <c r="F78" t="s">
        <v>664</v>
      </c>
      <c r="G78" t="s">
        <v>665</v>
      </c>
      <c r="H78" t="s">
        <v>666</v>
      </c>
      <c r="I78">
        <f t="shared" ca="1" si="4"/>
        <v>58</v>
      </c>
      <c r="J78" t="str">
        <f t="shared" ca="1" si="5"/>
        <v>50-59</v>
      </c>
      <c r="K78">
        <v>45252.3</v>
      </c>
      <c r="L78" t="str">
        <f>IF(Workforce[[#This Row],[Salary]]&lt;50000,"30k-49k",IF(Workforce[[#This Row],[Salary]]&lt;70000,"50k-69k",IF(Workforce[[#This Row],[Salary]]&lt;90000,"70k-89k","90k+")))</f>
        <v>30k-49k</v>
      </c>
      <c r="M78" t="s">
        <v>667</v>
      </c>
      <c r="N78">
        <f t="shared" ca="1" si="6"/>
        <v>10</v>
      </c>
      <c r="O78" t="str">
        <f t="shared" ca="1" si="7"/>
        <v>Senior level</v>
      </c>
    </row>
    <row r="79" spans="1:15" x14ac:dyDescent="0.3">
      <c r="A79" t="s">
        <v>668</v>
      </c>
      <c r="B79" t="s">
        <v>669</v>
      </c>
      <c r="C79" t="s">
        <v>317</v>
      </c>
      <c r="D79" t="s">
        <v>670</v>
      </c>
      <c r="E79" t="s">
        <v>671</v>
      </c>
      <c r="F79" t="s">
        <v>672</v>
      </c>
      <c r="G79" t="s">
        <v>673</v>
      </c>
      <c r="H79" t="s">
        <v>674</v>
      </c>
      <c r="I79">
        <f t="shared" ca="1" si="4"/>
        <v>22</v>
      </c>
      <c r="J79" t="str">
        <f t="shared" ca="1" si="5"/>
        <v>18-29</v>
      </c>
      <c r="K79">
        <v>41260.800000000003</v>
      </c>
      <c r="L79" t="str">
        <f>IF(Workforce[[#This Row],[Salary]]&lt;50000,"30k-49k",IF(Workforce[[#This Row],[Salary]]&lt;70000,"50k-69k",IF(Workforce[[#This Row],[Salary]]&lt;90000,"70k-89k","90k+")))</f>
        <v>30k-49k</v>
      </c>
      <c r="M79" t="s">
        <v>675</v>
      </c>
      <c r="N79">
        <f t="shared" ca="1" si="6"/>
        <v>3</v>
      </c>
      <c r="O79" t="str">
        <f t="shared" ca="1" si="7"/>
        <v>Intermediate level</v>
      </c>
    </row>
    <row r="80" spans="1:15" x14ac:dyDescent="0.3">
      <c r="A80" t="s">
        <v>676</v>
      </c>
      <c r="B80" t="s">
        <v>677</v>
      </c>
      <c r="C80" t="s">
        <v>187</v>
      </c>
      <c r="D80" t="s">
        <v>678</v>
      </c>
      <c r="E80" t="s">
        <v>679</v>
      </c>
      <c r="F80" t="s">
        <v>295</v>
      </c>
      <c r="G80" t="s">
        <v>680</v>
      </c>
      <c r="H80" t="s">
        <v>681</v>
      </c>
      <c r="I80">
        <f t="shared" ca="1" si="4"/>
        <v>54</v>
      </c>
      <c r="J80" t="str">
        <f t="shared" ca="1" si="5"/>
        <v>50-59</v>
      </c>
      <c r="K80">
        <v>64694.1</v>
      </c>
      <c r="L80" t="str">
        <f>IF(Workforce[[#This Row],[Salary]]&lt;50000,"30k-49k",IF(Workforce[[#This Row],[Salary]]&lt;70000,"50k-69k",IF(Workforce[[#This Row],[Salary]]&lt;90000,"70k-89k","90k+")))</f>
        <v>50k-69k</v>
      </c>
      <c r="M80" t="s">
        <v>682</v>
      </c>
      <c r="N80">
        <f t="shared" ca="1" si="6"/>
        <v>2</v>
      </c>
      <c r="O80" t="str">
        <f t="shared" ca="1" si="7"/>
        <v>Beginner</v>
      </c>
    </row>
    <row r="81" spans="1:15" x14ac:dyDescent="0.3">
      <c r="A81" t="s">
        <v>683</v>
      </c>
      <c r="B81" t="s">
        <v>684</v>
      </c>
      <c r="C81" t="s">
        <v>124</v>
      </c>
      <c r="D81" t="s">
        <v>685</v>
      </c>
      <c r="E81" t="s">
        <v>686</v>
      </c>
      <c r="F81" t="s">
        <v>443</v>
      </c>
      <c r="G81" t="s">
        <v>687</v>
      </c>
      <c r="H81" t="s">
        <v>688</v>
      </c>
      <c r="I81">
        <f t="shared" ca="1" si="4"/>
        <v>48</v>
      </c>
      <c r="J81" t="str">
        <f t="shared" ca="1" si="5"/>
        <v>40-49</v>
      </c>
      <c r="K81">
        <v>33544.19</v>
      </c>
      <c r="L81" t="str">
        <f>IF(Workforce[[#This Row],[Salary]]&lt;50000,"30k-49k",IF(Workforce[[#This Row],[Salary]]&lt;70000,"50k-69k",IF(Workforce[[#This Row],[Salary]]&lt;90000,"70k-89k","90k+")))</f>
        <v>30k-49k</v>
      </c>
      <c r="M81" t="s">
        <v>689</v>
      </c>
      <c r="N81">
        <f t="shared" ca="1" si="6"/>
        <v>6</v>
      </c>
      <c r="O81" t="str">
        <f t="shared" ca="1" si="7"/>
        <v>Intermediate level</v>
      </c>
    </row>
    <row r="82" spans="1:15" x14ac:dyDescent="0.3">
      <c r="A82" t="s">
        <v>690</v>
      </c>
      <c r="B82" t="s">
        <v>691</v>
      </c>
      <c r="C82" t="s">
        <v>26</v>
      </c>
      <c r="D82" t="s">
        <v>692</v>
      </c>
      <c r="E82" t="s">
        <v>693</v>
      </c>
      <c r="F82" t="s">
        <v>694</v>
      </c>
      <c r="G82" t="s">
        <v>695</v>
      </c>
      <c r="H82" t="s">
        <v>696</v>
      </c>
      <c r="I82">
        <f t="shared" ca="1" si="4"/>
        <v>40</v>
      </c>
      <c r="J82" t="str">
        <f t="shared" ca="1" si="5"/>
        <v>40-49</v>
      </c>
      <c r="K82">
        <v>49715.18</v>
      </c>
      <c r="L82" t="str">
        <f>IF(Workforce[[#This Row],[Salary]]&lt;50000,"30k-49k",IF(Workforce[[#This Row],[Salary]]&lt;70000,"50k-69k",IF(Workforce[[#This Row],[Salary]]&lt;90000,"70k-89k","90k+")))</f>
        <v>30k-49k</v>
      </c>
      <c r="M82" t="s">
        <v>697</v>
      </c>
      <c r="N82">
        <f t="shared" ca="1" si="6"/>
        <v>9</v>
      </c>
      <c r="O82" t="str">
        <f t="shared" ca="1" si="7"/>
        <v>Senior level</v>
      </c>
    </row>
    <row r="83" spans="1:15" x14ac:dyDescent="0.3">
      <c r="A83" t="s">
        <v>698</v>
      </c>
      <c r="B83" t="s">
        <v>699</v>
      </c>
      <c r="C83" t="s">
        <v>257</v>
      </c>
      <c r="D83" t="s">
        <v>700</v>
      </c>
      <c r="E83" t="s">
        <v>701</v>
      </c>
      <c r="F83" t="s">
        <v>702</v>
      </c>
      <c r="G83" t="s">
        <v>703</v>
      </c>
      <c r="H83" t="s">
        <v>704</v>
      </c>
      <c r="I83">
        <f t="shared" ca="1" si="4"/>
        <v>31</v>
      </c>
      <c r="J83" t="str">
        <f t="shared" ca="1" si="5"/>
        <v>30-39</v>
      </c>
      <c r="K83">
        <v>80549.36</v>
      </c>
      <c r="L83" t="str">
        <f>IF(Workforce[[#This Row],[Salary]]&lt;50000,"30k-49k",IF(Workforce[[#This Row],[Salary]]&lt;70000,"50k-69k",IF(Workforce[[#This Row],[Salary]]&lt;90000,"70k-89k","90k+")))</f>
        <v>70k-89k</v>
      </c>
      <c r="M83" t="s">
        <v>705</v>
      </c>
      <c r="N83">
        <f t="shared" ca="1" si="6"/>
        <v>9</v>
      </c>
      <c r="O83" t="str">
        <f t="shared" ca="1" si="7"/>
        <v>Senior level</v>
      </c>
    </row>
    <row r="84" spans="1:15" x14ac:dyDescent="0.3">
      <c r="A84" t="s">
        <v>706</v>
      </c>
      <c r="B84" t="s">
        <v>707</v>
      </c>
      <c r="C84" t="s">
        <v>222</v>
      </c>
      <c r="D84" t="s">
        <v>708</v>
      </c>
      <c r="E84" t="s">
        <v>709</v>
      </c>
      <c r="F84" t="s">
        <v>710</v>
      </c>
      <c r="G84" t="s">
        <v>711</v>
      </c>
      <c r="H84" t="s">
        <v>712</v>
      </c>
      <c r="I84">
        <f t="shared" ca="1" si="4"/>
        <v>27</v>
      </c>
      <c r="J84" t="str">
        <f t="shared" ca="1" si="5"/>
        <v>18-29</v>
      </c>
      <c r="K84">
        <v>115646.75</v>
      </c>
      <c r="L84" t="str">
        <f>IF(Workforce[[#This Row],[Salary]]&lt;50000,"30k-49k",IF(Workforce[[#This Row],[Salary]]&lt;70000,"50k-69k",IF(Workforce[[#This Row],[Salary]]&lt;90000,"70k-89k","90k+")))</f>
        <v>90k+</v>
      </c>
      <c r="M84" t="s">
        <v>713</v>
      </c>
      <c r="N84">
        <f t="shared" ca="1" si="6"/>
        <v>2</v>
      </c>
      <c r="O84" t="str">
        <f t="shared" ca="1" si="7"/>
        <v>Beginner</v>
      </c>
    </row>
    <row r="85" spans="1:15" x14ac:dyDescent="0.3">
      <c r="A85" t="s">
        <v>714</v>
      </c>
      <c r="B85" t="s">
        <v>715</v>
      </c>
      <c r="C85" t="s">
        <v>88</v>
      </c>
      <c r="D85" t="s">
        <v>716</v>
      </c>
      <c r="E85" t="s">
        <v>717</v>
      </c>
      <c r="F85" t="s">
        <v>718</v>
      </c>
      <c r="G85" t="s">
        <v>719</v>
      </c>
      <c r="H85" t="s">
        <v>720</v>
      </c>
      <c r="I85">
        <f t="shared" ca="1" si="4"/>
        <v>24</v>
      </c>
      <c r="J85" t="str">
        <f t="shared" ca="1" si="5"/>
        <v>18-29</v>
      </c>
      <c r="K85">
        <v>67330.02</v>
      </c>
      <c r="L85" t="str">
        <f>IF(Workforce[[#This Row],[Salary]]&lt;50000,"30k-49k",IF(Workforce[[#This Row],[Salary]]&lt;70000,"50k-69k",IF(Workforce[[#This Row],[Salary]]&lt;90000,"70k-89k","90k+")))</f>
        <v>50k-69k</v>
      </c>
      <c r="M85" t="s">
        <v>721</v>
      </c>
      <c r="N85">
        <f t="shared" ca="1" si="6"/>
        <v>8</v>
      </c>
      <c r="O85" t="str">
        <f t="shared" ca="1" si="7"/>
        <v>Senior level</v>
      </c>
    </row>
    <row r="86" spans="1:15" x14ac:dyDescent="0.3">
      <c r="A86" t="s">
        <v>722</v>
      </c>
      <c r="B86" t="s">
        <v>723</v>
      </c>
      <c r="C86" t="s">
        <v>257</v>
      </c>
      <c r="D86" t="s">
        <v>724</v>
      </c>
      <c r="E86" t="s">
        <v>725</v>
      </c>
      <c r="F86" t="s">
        <v>726</v>
      </c>
      <c r="G86" t="s">
        <v>727</v>
      </c>
      <c r="H86" t="s">
        <v>728</v>
      </c>
      <c r="I86">
        <f t="shared" ca="1" si="4"/>
        <v>52</v>
      </c>
      <c r="J86" t="str">
        <f t="shared" ca="1" si="5"/>
        <v>50-59</v>
      </c>
      <c r="K86">
        <v>93280.61</v>
      </c>
      <c r="L86" t="str">
        <f>IF(Workforce[[#This Row],[Salary]]&lt;50000,"30k-49k",IF(Workforce[[#This Row],[Salary]]&lt;70000,"50k-69k",IF(Workforce[[#This Row],[Salary]]&lt;90000,"70k-89k","90k+")))</f>
        <v>90k+</v>
      </c>
      <c r="M86" t="s">
        <v>729</v>
      </c>
      <c r="N86">
        <f t="shared" ca="1" si="6"/>
        <v>1</v>
      </c>
      <c r="O86" t="str">
        <f t="shared" ca="1" si="7"/>
        <v>Beginner</v>
      </c>
    </row>
    <row r="87" spans="1:15" x14ac:dyDescent="0.3">
      <c r="A87" t="s">
        <v>730</v>
      </c>
      <c r="B87" t="s">
        <v>731</v>
      </c>
      <c r="C87" t="s">
        <v>222</v>
      </c>
      <c r="D87" t="s">
        <v>732</v>
      </c>
      <c r="E87" t="s">
        <v>733</v>
      </c>
      <c r="F87" t="s">
        <v>734</v>
      </c>
      <c r="G87" t="s">
        <v>735</v>
      </c>
      <c r="H87" t="s">
        <v>736</v>
      </c>
      <c r="I87">
        <f t="shared" ca="1" si="4"/>
        <v>57</v>
      </c>
      <c r="J87" t="str">
        <f t="shared" ca="1" si="5"/>
        <v>50-59</v>
      </c>
      <c r="K87">
        <v>57930.96</v>
      </c>
      <c r="L87" t="str">
        <f>IF(Workforce[[#This Row],[Salary]]&lt;50000,"30k-49k",IF(Workforce[[#This Row],[Salary]]&lt;70000,"50k-69k",IF(Workforce[[#This Row],[Salary]]&lt;90000,"70k-89k","90k+")))</f>
        <v>50k-69k</v>
      </c>
      <c r="M87" t="s">
        <v>737</v>
      </c>
      <c r="N87">
        <f t="shared" ca="1" si="6"/>
        <v>5</v>
      </c>
      <c r="O87" t="str">
        <f t="shared" ca="1" si="7"/>
        <v>Intermediate level</v>
      </c>
    </row>
    <row r="88" spans="1:15" x14ac:dyDescent="0.3">
      <c r="A88" t="s">
        <v>738</v>
      </c>
      <c r="B88" t="s">
        <v>739</v>
      </c>
      <c r="C88" t="s">
        <v>580</v>
      </c>
      <c r="D88" t="s">
        <v>740</v>
      </c>
      <c r="E88" t="s">
        <v>741</v>
      </c>
      <c r="F88" t="s">
        <v>742</v>
      </c>
      <c r="G88" t="s">
        <v>743</v>
      </c>
      <c r="H88" t="s">
        <v>744</v>
      </c>
      <c r="I88">
        <f t="shared" ca="1" si="4"/>
        <v>46</v>
      </c>
      <c r="J88" t="str">
        <f t="shared" ca="1" si="5"/>
        <v>40-49</v>
      </c>
      <c r="K88">
        <v>49044.1</v>
      </c>
      <c r="L88" t="str">
        <f>IF(Workforce[[#This Row],[Salary]]&lt;50000,"30k-49k",IF(Workforce[[#This Row],[Salary]]&lt;70000,"50k-69k",IF(Workforce[[#This Row],[Salary]]&lt;90000,"70k-89k","90k+")))</f>
        <v>30k-49k</v>
      </c>
      <c r="M88" t="s">
        <v>745</v>
      </c>
      <c r="N88">
        <f t="shared" ca="1" si="6"/>
        <v>4</v>
      </c>
      <c r="O88" t="str">
        <f t="shared" ca="1" si="7"/>
        <v>Intermediate level</v>
      </c>
    </row>
    <row r="89" spans="1:15" x14ac:dyDescent="0.3">
      <c r="A89" t="s">
        <v>746</v>
      </c>
      <c r="B89" t="s">
        <v>747</v>
      </c>
      <c r="C89" t="s">
        <v>748</v>
      </c>
      <c r="D89" t="s">
        <v>749</v>
      </c>
      <c r="E89" t="s">
        <v>750</v>
      </c>
      <c r="F89" t="s">
        <v>751</v>
      </c>
      <c r="G89" t="s">
        <v>752</v>
      </c>
      <c r="H89" t="s">
        <v>753</v>
      </c>
      <c r="I89">
        <f t="shared" ca="1" si="4"/>
        <v>23</v>
      </c>
      <c r="J89" t="str">
        <f t="shared" ca="1" si="5"/>
        <v>18-29</v>
      </c>
      <c r="K89">
        <v>81966.8</v>
      </c>
      <c r="L89" t="str">
        <f>IF(Workforce[[#This Row],[Salary]]&lt;50000,"30k-49k",IF(Workforce[[#This Row],[Salary]]&lt;70000,"50k-69k",IF(Workforce[[#This Row],[Salary]]&lt;90000,"70k-89k","90k+")))</f>
        <v>70k-89k</v>
      </c>
      <c r="M89" t="s">
        <v>754</v>
      </c>
      <c r="N89">
        <f t="shared" ca="1" si="6"/>
        <v>2</v>
      </c>
      <c r="O89" t="str">
        <f t="shared" ca="1" si="7"/>
        <v>Beginner</v>
      </c>
    </row>
    <row r="90" spans="1:15" x14ac:dyDescent="0.3">
      <c r="A90" t="s">
        <v>755</v>
      </c>
      <c r="B90" t="s">
        <v>756</v>
      </c>
      <c r="C90" t="s">
        <v>757</v>
      </c>
      <c r="D90" t="s">
        <v>758</v>
      </c>
      <c r="E90" t="s">
        <v>759</v>
      </c>
      <c r="F90" t="s">
        <v>760</v>
      </c>
      <c r="G90" t="s">
        <v>761</v>
      </c>
      <c r="H90" t="s">
        <v>762</v>
      </c>
      <c r="I90">
        <f t="shared" ca="1" si="4"/>
        <v>65</v>
      </c>
      <c r="J90" t="str">
        <f t="shared" ca="1" si="5"/>
        <v>60+</v>
      </c>
      <c r="K90">
        <v>69275.09</v>
      </c>
      <c r="L90" t="str">
        <f>IF(Workforce[[#This Row],[Salary]]&lt;50000,"30k-49k",IF(Workforce[[#This Row],[Salary]]&lt;70000,"50k-69k",IF(Workforce[[#This Row],[Salary]]&lt;90000,"70k-89k","90k+")))</f>
        <v>50k-69k</v>
      </c>
      <c r="M90" t="s">
        <v>763</v>
      </c>
      <c r="N90">
        <f t="shared" ca="1" si="6"/>
        <v>4</v>
      </c>
      <c r="O90" t="str">
        <f t="shared" ca="1" si="7"/>
        <v>Intermediate level</v>
      </c>
    </row>
    <row r="91" spans="1:15" x14ac:dyDescent="0.3">
      <c r="A91" t="s">
        <v>764</v>
      </c>
      <c r="B91" t="s">
        <v>765</v>
      </c>
      <c r="C91" t="s">
        <v>604</v>
      </c>
      <c r="D91" t="s">
        <v>766</v>
      </c>
      <c r="E91" t="s">
        <v>767</v>
      </c>
      <c r="F91" t="s">
        <v>768</v>
      </c>
      <c r="G91" t="s">
        <v>769</v>
      </c>
      <c r="H91" t="s">
        <v>770</v>
      </c>
      <c r="I91">
        <f t="shared" ca="1" si="4"/>
        <v>36</v>
      </c>
      <c r="J91" t="str">
        <f t="shared" ca="1" si="5"/>
        <v>30-39</v>
      </c>
      <c r="K91">
        <v>99208.73</v>
      </c>
      <c r="L91" t="str">
        <f>IF(Workforce[[#This Row],[Salary]]&lt;50000,"30k-49k",IF(Workforce[[#This Row],[Salary]]&lt;70000,"50k-69k",IF(Workforce[[#This Row],[Salary]]&lt;90000,"70k-89k","90k+")))</f>
        <v>90k+</v>
      </c>
      <c r="M91" t="s">
        <v>771</v>
      </c>
      <c r="N91">
        <f t="shared" ca="1" si="6"/>
        <v>9</v>
      </c>
      <c r="O91" t="str">
        <f t="shared" ca="1" si="7"/>
        <v>Senior level</v>
      </c>
    </row>
    <row r="92" spans="1:15" x14ac:dyDescent="0.3">
      <c r="A92" t="s">
        <v>772</v>
      </c>
      <c r="B92" t="s">
        <v>773</v>
      </c>
      <c r="C92" t="s">
        <v>774</v>
      </c>
      <c r="D92" t="s">
        <v>775</v>
      </c>
      <c r="E92" t="s">
        <v>776</v>
      </c>
      <c r="F92" t="s">
        <v>225</v>
      </c>
      <c r="G92" t="s">
        <v>777</v>
      </c>
      <c r="H92" t="s">
        <v>778</v>
      </c>
      <c r="I92">
        <f t="shared" ca="1" si="4"/>
        <v>44</v>
      </c>
      <c r="J92" t="str">
        <f t="shared" ca="1" si="5"/>
        <v>40-49</v>
      </c>
      <c r="K92">
        <v>69048.759999999995</v>
      </c>
      <c r="L92" t="str">
        <f>IF(Workforce[[#This Row],[Salary]]&lt;50000,"30k-49k",IF(Workforce[[#This Row],[Salary]]&lt;70000,"50k-69k",IF(Workforce[[#This Row],[Salary]]&lt;90000,"70k-89k","90k+")))</f>
        <v>50k-69k</v>
      </c>
      <c r="M92" t="s">
        <v>779</v>
      </c>
      <c r="N92">
        <f t="shared" ca="1" si="6"/>
        <v>10</v>
      </c>
      <c r="O92" t="str">
        <f t="shared" ca="1" si="7"/>
        <v>Senior level</v>
      </c>
    </row>
    <row r="93" spans="1:15" x14ac:dyDescent="0.3">
      <c r="A93" t="s">
        <v>780</v>
      </c>
      <c r="B93" t="s">
        <v>781</v>
      </c>
      <c r="C93" t="s">
        <v>604</v>
      </c>
      <c r="D93" t="s">
        <v>782</v>
      </c>
      <c r="E93" t="s">
        <v>783</v>
      </c>
      <c r="F93" t="s">
        <v>784</v>
      </c>
      <c r="G93" t="s">
        <v>785</v>
      </c>
      <c r="H93" t="s">
        <v>786</v>
      </c>
      <c r="I93">
        <f t="shared" ca="1" si="4"/>
        <v>22</v>
      </c>
      <c r="J93" t="str">
        <f t="shared" ca="1" si="5"/>
        <v>18-29</v>
      </c>
      <c r="K93">
        <v>100498.66</v>
      </c>
      <c r="L93" t="str">
        <f>IF(Workforce[[#This Row],[Salary]]&lt;50000,"30k-49k",IF(Workforce[[#This Row],[Salary]]&lt;70000,"50k-69k",IF(Workforce[[#This Row],[Salary]]&lt;90000,"70k-89k","90k+")))</f>
        <v>90k+</v>
      </c>
      <c r="M93" t="s">
        <v>787</v>
      </c>
      <c r="N93">
        <f t="shared" ca="1" si="6"/>
        <v>4</v>
      </c>
      <c r="O93" t="str">
        <f t="shared" ca="1" si="7"/>
        <v>Intermediate level</v>
      </c>
    </row>
    <row r="94" spans="1:15" x14ac:dyDescent="0.3">
      <c r="A94" t="s">
        <v>788</v>
      </c>
      <c r="B94" t="s">
        <v>789</v>
      </c>
      <c r="C94" t="s">
        <v>106</v>
      </c>
      <c r="D94" t="s">
        <v>790</v>
      </c>
      <c r="E94" t="s">
        <v>791</v>
      </c>
      <c r="F94" t="s">
        <v>792</v>
      </c>
      <c r="G94" t="s">
        <v>793</v>
      </c>
      <c r="H94" t="s">
        <v>794</v>
      </c>
      <c r="I94">
        <f t="shared" ca="1" si="4"/>
        <v>41</v>
      </c>
      <c r="J94" t="str">
        <f t="shared" ca="1" si="5"/>
        <v>40-49</v>
      </c>
      <c r="K94">
        <v>35389.040000000001</v>
      </c>
      <c r="L94" t="str">
        <f>IF(Workforce[[#This Row],[Salary]]&lt;50000,"30k-49k",IF(Workforce[[#This Row],[Salary]]&lt;70000,"50k-69k",IF(Workforce[[#This Row],[Salary]]&lt;90000,"70k-89k","90k+")))</f>
        <v>30k-49k</v>
      </c>
      <c r="M94" t="s">
        <v>795</v>
      </c>
      <c r="N94">
        <f t="shared" ca="1" si="6"/>
        <v>1</v>
      </c>
      <c r="O94" t="str">
        <f t="shared" ca="1" si="7"/>
        <v>Beginner</v>
      </c>
    </row>
    <row r="95" spans="1:15" x14ac:dyDescent="0.3">
      <c r="A95" t="s">
        <v>796</v>
      </c>
      <c r="B95" t="s">
        <v>797</v>
      </c>
      <c r="C95" t="s">
        <v>351</v>
      </c>
      <c r="D95" t="s">
        <v>798</v>
      </c>
      <c r="E95" t="s">
        <v>799</v>
      </c>
      <c r="F95" t="s">
        <v>800</v>
      </c>
      <c r="G95" t="s">
        <v>801</v>
      </c>
      <c r="H95" t="s">
        <v>802</v>
      </c>
      <c r="I95">
        <f t="shared" ca="1" si="4"/>
        <v>29</v>
      </c>
      <c r="J95" t="str">
        <f t="shared" ca="1" si="5"/>
        <v>18-29</v>
      </c>
      <c r="K95">
        <v>85082.8</v>
      </c>
      <c r="L95" t="str">
        <f>IF(Workforce[[#This Row],[Salary]]&lt;50000,"30k-49k",IF(Workforce[[#This Row],[Salary]]&lt;70000,"50k-69k",IF(Workforce[[#This Row],[Salary]]&lt;90000,"70k-89k","90k+")))</f>
        <v>70k-89k</v>
      </c>
      <c r="M95" t="s">
        <v>803</v>
      </c>
      <c r="N95">
        <f t="shared" ca="1" si="6"/>
        <v>1</v>
      </c>
      <c r="O95" t="str">
        <f t="shared" ca="1" si="7"/>
        <v>Beginner</v>
      </c>
    </row>
    <row r="96" spans="1:15" x14ac:dyDescent="0.3">
      <c r="A96" t="s">
        <v>804</v>
      </c>
      <c r="B96" t="s">
        <v>805</v>
      </c>
      <c r="C96" t="s">
        <v>115</v>
      </c>
      <c r="D96" t="s">
        <v>806</v>
      </c>
      <c r="E96" t="s">
        <v>807</v>
      </c>
      <c r="F96" t="s">
        <v>127</v>
      </c>
      <c r="G96" t="s">
        <v>808</v>
      </c>
      <c r="H96" t="s">
        <v>809</v>
      </c>
      <c r="I96">
        <f t="shared" ca="1" si="4"/>
        <v>25</v>
      </c>
      <c r="J96" t="str">
        <f t="shared" ca="1" si="5"/>
        <v>18-29</v>
      </c>
      <c r="K96">
        <v>111292.76</v>
      </c>
      <c r="L96" t="str">
        <f>IF(Workforce[[#This Row],[Salary]]&lt;50000,"30k-49k",IF(Workforce[[#This Row],[Salary]]&lt;70000,"50k-69k",IF(Workforce[[#This Row],[Salary]]&lt;90000,"70k-89k","90k+")))</f>
        <v>90k+</v>
      </c>
      <c r="M96" t="s">
        <v>810</v>
      </c>
      <c r="N96">
        <f t="shared" ca="1" si="6"/>
        <v>3</v>
      </c>
      <c r="O96" t="str">
        <f t="shared" ca="1" si="7"/>
        <v>Intermediate level</v>
      </c>
    </row>
    <row r="97" spans="1:15" x14ac:dyDescent="0.3">
      <c r="A97" t="s">
        <v>811</v>
      </c>
      <c r="B97" t="s">
        <v>812</v>
      </c>
      <c r="C97" t="s">
        <v>151</v>
      </c>
      <c r="D97" t="s">
        <v>813</v>
      </c>
      <c r="E97" t="s">
        <v>814</v>
      </c>
      <c r="F97" t="s">
        <v>815</v>
      </c>
      <c r="G97" t="s">
        <v>816</v>
      </c>
      <c r="H97" t="s">
        <v>817</v>
      </c>
      <c r="I97">
        <f t="shared" ca="1" si="4"/>
        <v>45</v>
      </c>
      <c r="J97" t="str">
        <f t="shared" ca="1" si="5"/>
        <v>40-49</v>
      </c>
      <c r="K97">
        <v>80355.34</v>
      </c>
      <c r="L97" t="str">
        <f>IF(Workforce[[#This Row],[Salary]]&lt;50000,"30k-49k",IF(Workforce[[#This Row],[Salary]]&lt;70000,"50k-69k",IF(Workforce[[#This Row],[Salary]]&lt;90000,"70k-89k","90k+")))</f>
        <v>70k-89k</v>
      </c>
      <c r="M97" t="s">
        <v>818</v>
      </c>
      <c r="N97">
        <f t="shared" ca="1" si="6"/>
        <v>4</v>
      </c>
      <c r="O97" t="str">
        <f t="shared" ca="1" si="7"/>
        <v>Intermediate level</v>
      </c>
    </row>
    <row r="98" spans="1:15" x14ac:dyDescent="0.3">
      <c r="A98" t="s">
        <v>819</v>
      </c>
      <c r="B98" t="s">
        <v>820</v>
      </c>
      <c r="C98" t="s">
        <v>79</v>
      </c>
      <c r="D98" t="s">
        <v>821</v>
      </c>
      <c r="E98" t="s">
        <v>822</v>
      </c>
      <c r="F98" t="s">
        <v>823</v>
      </c>
      <c r="G98" t="s">
        <v>824</v>
      </c>
      <c r="H98" t="s">
        <v>825</v>
      </c>
      <c r="I98">
        <f t="shared" ca="1" si="4"/>
        <v>49</v>
      </c>
      <c r="J98" t="str">
        <f t="shared" ca="1" si="5"/>
        <v>40-49</v>
      </c>
      <c r="K98">
        <v>68321.66</v>
      </c>
      <c r="L98" t="str">
        <f>IF(Workforce[[#This Row],[Salary]]&lt;50000,"30k-49k",IF(Workforce[[#This Row],[Salary]]&lt;70000,"50k-69k",IF(Workforce[[#This Row],[Salary]]&lt;90000,"70k-89k","90k+")))</f>
        <v>50k-69k</v>
      </c>
      <c r="M98" t="s">
        <v>826</v>
      </c>
      <c r="N98">
        <f t="shared" ca="1" si="6"/>
        <v>8</v>
      </c>
      <c r="O98" t="str">
        <f t="shared" ca="1" si="7"/>
        <v>Senior level</v>
      </c>
    </row>
    <row r="99" spans="1:15" x14ac:dyDescent="0.3">
      <c r="A99" t="s">
        <v>827</v>
      </c>
      <c r="B99" t="s">
        <v>828</v>
      </c>
      <c r="C99" t="s">
        <v>257</v>
      </c>
      <c r="D99" t="s">
        <v>829</v>
      </c>
      <c r="E99" t="s">
        <v>830</v>
      </c>
      <c r="F99" t="s">
        <v>831</v>
      </c>
      <c r="G99" t="s">
        <v>832</v>
      </c>
      <c r="H99" t="s">
        <v>833</v>
      </c>
      <c r="I99">
        <f t="shared" ca="1" si="4"/>
        <v>26</v>
      </c>
      <c r="J99" t="str">
        <f t="shared" ca="1" si="5"/>
        <v>18-29</v>
      </c>
      <c r="K99">
        <v>34330.58</v>
      </c>
      <c r="L99" t="str">
        <f>IF(Workforce[[#This Row],[Salary]]&lt;50000,"30k-49k",IF(Workforce[[#This Row],[Salary]]&lt;70000,"50k-69k",IF(Workforce[[#This Row],[Salary]]&lt;90000,"70k-89k","90k+")))</f>
        <v>30k-49k</v>
      </c>
      <c r="M99" t="s">
        <v>834</v>
      </c>
      <c r="N99">
        <f t="shared" ca="1" si="6"/>
        <v>4</v>
      </c>
      <c r="O99" t="str">
        <f t="shared" ca="1" si="7"/>
        <v>Intermediate level</v>
      </c>
    </row>
    <row r="100" spans="1:15" x14ac:dyDescent="0.3">
      <c r="A100" t="s">
        <v>835</v>
      </c>
      <c r="B100" t="s">
        <v>836</v>
      </c>
      <c r="C100" t="s">
        <v>748</v>
      </c>
      <c r="D100" t="s">
        <v>837</v>
      </c>
      <c r="E100" t="s">
        <v>838</v>
      </c>
      <c r="F100" t="s">
        <v>656</v>
      </c>
      <c r="G100" t="s">
        <v>839</v>
      </c>
      <c r="H100" t="s">
        <v>840</v>
      </c>
      <c r="I100">
        <f t="shared" ca="1" si="4"/>
        <v>63</v>
      </c>
      <c r="J100" t="str">
        <f t="shared" ca="1" si="5"/>
        <v>60+</v>
      </c>
      <c r="K100">
        <v>99754.68</v>
      </c>
      <c r="L100" t="str">
        <f>IF(Workforce[[#This Row],[Salary]]&lt;50000,"30k-49k",IF(Workforce[[#This Row],[Salary]]&lt;70000,"50k-69k",IF(Workforce[[#This Row],[Salary]]&lt;90000,"70k-89k","90k+")))</f>
        <v>90k+</v>
      </c>
      <c r="M100" t="s">
        <v>841</v>
      </c>
      <c r="N100">
        <f t="shared" ca="1" si="6"/>
        <v>6</v>
      </c>
      <c r="O100" t="str">
        <f t="shared" ca="1" si="7"/>
        <v>Intermediate level</v>
      </c>
    </row>
    <row r="101" spans="1:15" x14ac:dyDescent="0.3">
      <c r="A101" t="s">
        <v>842</v>
      </c>
      <c r="B101" t="s">
        <v>843</v>
      </c>
      <c r="C101" t="s">
        <v>844</v>
      </c>
      <c r="D101" t="s">
        <v>845</v>
      </c>
      <c r="E101" t="s">
        <v>846</v>
      </c>
      <c r="F101" t="s">
        <v>847</v>
      </c>
      <c r="G101" t="s">
        <v>848</v>
      </c>
      <c r="H101" t="s">
        <v>849</v>
      </c>
      <c r="I101">
        <f t="shared" ca="1" si="4"/>
        <v>52</v>
      </c>
      <c r="J101" t="str">
        <f t="shared" ca="1" si="5"/>
        <v>50-59</v>
      </c>
      <c r="K101">
        <v>83045.34</v>
      </c>
      <c r="L101" t="str">
        <f>IF(Workforce[[#This Row],[Salary]]&lt;50000,"30k-49k",IF(Workforce[[#This Row],[Salary]]&lt;70000,"50k-69k",IF(Workforce[[#This Row],[Salary]]&lt;90000,"70k-89k","90k+")))</f>
        <v>70k-89k</v>
      </c>
      <c r="M101" t="s">
        <v>850</v>
      </c>
      <c r="N101">
        <f t="shared" ca="1" si="6"/>
        <v>6</v>
      </c>
      <c r="O101" t="str">
        <f t="shared" ca="1" si="7"/>
        <v>Intermediate level</v>
      </c>
    </row>
    <row r="102" spans="1:15" x14ac:dyDescent="0.3">
      <c r="A102" t="s">
        <v>851</v>
      </c>
      <c r="B102" t="s">
        <v>852</v>
      </c>
      <c r="C102" t="s">
        <v>400</v>
      </c>
      <c r="D102" t="s">
        <v>853</v>
      </c>
      <c r="E102" t="s">
        <v>854</v>
      </c>
      <c r="F102" t="s">
        <v>855</v>
      </c>
      <c r="G102" t="s">
        <v>856</v>
      </c>
      <c r="H102" t="s">
        <v>857</v>
      </c>
      <c r="I102">
        <f t="shared" ca="1" si="4"/>
        <v>34</v>
      </c>
      <c r="J102" t="str">
        <f t="shared" ca="1" si="5"/>
        <v>30-39</v>
      </c>
      <c r="K102">
        <v>30114.86</v>
      </c>
      <c r="L102" t="str">
        <f>IF(Workforce[[#This Row],[Salary]]&lt;50000,"30k-49k",IF(Workforce[[#This Row],[Salary]]&lt;70000,"50k-69k",IF(Workforce[[#This Row],[Salary]]&lt;90000,"70k-89k","90k+")))</f>
        <v>30k-49k</v>
      </c>
      <c r="M102" t="s">
        <v>858</v>
      </c>
      <c r="N102">
        <f t="shared" ca="1" si="6"/>
        <v>6</v>
      </c>
      <c r="O102" t="str">
        <f t="shared" ca="1" si="7"/>
        <v>Intermediate level</v>
      </c>
    </row>
    <row r="103" spans="1:15" x14ac:dyDescent="0.3">
      <c r="A103" t="s">
        <v>859</v>
      </c>
      <c r="B103" t="s">
        <v>860</v>
      </c>
      <c r="C103" t="s">
        <v>440</v>
      </c>
      <c r="D103" t="s">
        <v>861</v>
      </c>
      <c r="E103" t="s">
        <v>862</v>
      </c>
      <c r="F103" t="s">
        <v>863</v>
      </c>
      <c r="G103" t="s">
        <v>864</v>
      </c>
      <c r="H103" t="s">
        <v>865</v>
      </c>
      <c r="I103">
        <f t="shared" ca="1" si="4"/>
        <v>26</v>
      </c>
      <c r="J103" t="str">
        <f t="shared" ca="1" si="5"/>
        <v>18-29</v>
      </c>
      <c r="K103">
        <v>110591.03</v>
      </c>
      <c r="L103" t="str">
        <f>IF(Workforce[[#This Row],[Salary]]&lt;50000,"30k-49k",IF(Workforce[[#This Row],[Salary]]&lt;70000,"50k-69k",IF(Workforce[[#This Row],[Salary]]&lt;90000,"70k-89k","90k+")))</f>
        <v>90k+</v>
      </c>
      <c r="M103" t="s">
        <v>866</v>
      </c>
      <c r="N103">
        <f t="shared" ca="1" si="6"/>
        <v>6</v>
      </c>
      <c r="O103" t="str">
        <f t="shared" ca="1" si="7"/>
        <v>Intermediate level</v>
      </c>
    </row>
    <row r="104" spans="1:15" x14ac:dyDescent="0.3">
      <c r="A104" t="s">
        <v>867</v>
      </c>
      <c r="B104" t="s">
        <v>868</v>
      </c>
      <c r="C104" t="s">
        <v>26</v>
      </c>
      <c r="D104" t="s">
        <v>869</v>
      </c>
      <c r="E104" t="s">
        <v>870</v>
      </c>
      <c r="F104" t="s">
        <v>871</v>
      </c>
      <c r="G104" t="s">
        <v>872</v>
      </c>
      <c r="H104" t="s">
        <v>873</v>
      </c>
      <c r="I104">
        <f t="shared" ca="1" si="4"/>
        <v>21</v>
      </c>
      <c r="J104" t="str">
        <f t="shared" ca="1" si="5"/>
        <v>18-29</v>
      </c>
      <c r="K104">
        <v>108858.25</v>
      </c>
      <c r="L104" t="str">
        <f>IF(Workforce[[#This Row],[Salary]]&lt;50000,"30k-49k",IF(Workforce[[#This Row],[Salary]]&lt;70000,"50k-69k",IF(Workforce[[#This Row],[Salary]]&lt;90000,"70k-89k","90k+")))</f>
        <v>90k+</v>
      </c>
      <c r="M104" t="s">
        <v>874</v>
      </c>
      <c r="N104">
        <f t="shared" ca="1" si="6"/>
        <v>2</v>
      </c>
      <c r="O104" t="str">
        <f t="shared" ca="1" si="7"/>
        <v>Beginner</v>
      </c>
    </row>
    <row r="105" spans="1:15" x14ac:dyDescent="0.3">
      <c r="A105" t="s">
        <v>875</v>
      </c>
      <c r="B105" t="s">
        <v>876</v>
      </c>
      <c r="C105" t="s">
        <v>79</v>
      </c>
      <c r="D105" t="s">
        <v>877</v>
      </c>
      <c r="E105" t="s">
        <v>878</v>
      </c>
      <c r="F105" t="s">
        <v>742</v>
      </c>
      <c r="G105" t="s">
        <v>879</v>
      </c>
      <c r="H105" t="s">
        <v>880</v>
      </c>
      <c r="I105">
        <f t="shared" ca="1" si="4"/>
        <v>41</v>
      </c>
      <c r="J105" t="str">
        <f t="shared" ca="1" si="5"/>
        <v>40-49</v>
      </c>
      <c r="K105">
        <v>43871.02</v>
      </c>
      <c r="L105" t="str">
        <f>IF(Workforce[[#This Row],[Salary]]&lt;50000,"30k-49k",IF(Workforce[[#This Row],[Salary]]&lt;70000,"50k-69k",IF(Workforce[[#This Row],[Salary]]&lt;90000,"70k-89k","90k+")))</f>
        <v>30k-49k</v>
      </c>
      <c r="M105" t="s">
        <v>881</v>
      </c>
      <c r="N105">
        <f t="shared" ca="1" si="6"/>
        <v>10</v>
      </c>
      <c r="O105" t="str">
        <f t="shared" ca="1" si="7"/>
        <v>Senior level</v>
      </c>
    </row>
    <row r="106" spans="1:15" x14ac:dyDescent="0.3">
      <c r="A106" t="s">
        <v>882</v>
      </c>
      <c r="B106" t="s">
        <v>883</v>
      </c>
      <c r="C106" t="s">
        <v>222</v>
      </c>
      <c r="D106" t="s">
        <v>884</v>
      </c>
      <c r="E106" t="s">
        <v>885</v>
      </c>
      <c r="F106" t="s">
        <v>886</v>
      </c>
      <c r="G106" t="s">
        <v>887</v>
      </c>
      <c r="H106" t="s">
        <v>888</v>
      </c>
      <c r="I106">
        <f t="shared" ca="1" si="4"/>
        <v>22</v>
      </c>
      <c r="J106" t="str">
        <f t="shared" ca="1" si="5"/>
        <v>18-29</v>
      </c>
      <c r="K106">
        <v>113732.3</v>
      </c>
      <c r="L106" t="str">
        <f>IF(Workforce[[#This Row],[Salary]]&lt;50000,"30k-49k",IF(Workforce[[#This Row],[Salary]]&lt;70000,"50k-69k",IF(Workforce[[#This Row],[Salary]]&lt;90000,"70k-89k","90k+")))</f>
        <v>90k+</v>
      </c>
      <c r="M106" t="s">
        <v>889</v>
      </c>
      <c r="N106">
        <f t="shared" ca="1" si="6"/>
        <v>9</v>
      </c>
      <c r="O106" t="str">
        <f t="shared" ca="1" si="7"/>
        <v>Senior level</v>
      </c>
    </row>
    <row r="107" spans="1:15" x14ac:dyDescent="0.3">
      <c r="A107" t="s">
        <v>890</v>
      </c>
      <c r="B107" t="s">
        <v>891</v>
      </c>
      <c r="C107" t="s">
        <v>133</v>
      </c>
      <c r="D107" t="s">
        <v>892</v>
      </c>
      <c r="E107" t="s">
        <v>893</v>
      </c>
      <c r="F107" t="s">
        <v>894</v>
      </c>
      <c r="G107" t="s">
        <v>895</v>
      </c>
      <c r="H107" t="s">
        <v>896</v>
      </c>
      <c r="I107">
        <f t="shared" ca="1" si="4"/>
        <v>50</v>
      </c>
      <c r="J107" t="str">
        <f t="shared" ca="1" si="5"/>
        <v>50-59</v>
      </c>
      <c r="K107">
        <v>111048.93</v>
      </c>
      <c r="L107" t="str">
        <f>IF(Workforce[[#This Row],[Salary]]&lt;50000,"30k-49k",IF(Workforce[[#This Row],[Salary]]&lt;70000,"50k-69k",IF(Workforce[[#This Row],[Salary]]&lt;90000,"70k-89k","90k+")))</f>
        <v>90k+</v>
      </c>
      <c r="M107" t="s">
        <v>897</v>
      </c>
      <c r="N107">
        <f t="shared" ca="1" si="6"/>
        <v>1</v>
      </c>
      <c r="O107" t="str">
        <f t="shared" ca="1" si="7"/>
        <v>Beginner</v>
      </c>
    </row>
    <row r="108" spans="1:15" x14ac:dyDescent="0.3">
      <c r="A108" t="s">
        <v>898</v>
      </c>
      <c r="B108" t="s">
        <v>899</v>
      </c>
      <c r="C108" t="s">
        <v>231</v>
      </c>
      <c r="D108" t="s">
        <v>900</v>
      </c>
      <c r="E108" t="s">
        <v>901</v>
      </c>
      <c r="F108" t="s">
        <v>902</v>
      </c>
      <c r="G108" t="s">
        <v>903</v>
      </c>
      <c r="H108" t="s">
        <v>904</v>
      </c>
      <c r="I108">
        <f t="shared" ca="1" si="4"/>
        <v>56</v>
      </c>
      <c r="J108" t="str">
        <f t="shared" ca="1" si="5"/>
        <v>50-59</v>
      </c>
      <c r="K108">
        <v>48047.72</v>
      </c>
      <c r="L108" t="str">
        <f>IF(Workforce[[#This Row],[Salary]]&lt;50000,"30k-49k",IF(Workforce[[#This Row],[Salary]]&lt;70000,"50k-69k",IF(Workforce[[#This Row],[Salary]]&lt;90000,"70k-89k","90k+")))</f>
        <v>30k-49k</v>
      </c>
      <c r="M108" t="s">
        <v>905</v>
      </c>
      <c r="N108">
        <f t="shared" ca="1" si="6"/>
        <v>6</v>
      </c>
      <c r="O108" t="str">
        <f t="shared" ca="1" si="7"/>
        <v>Intermediate level</v>
      </c>
    </row>
    <row r="109" spans="1:15" x14ac:dyDescent="0.3">
      <c r="A109" t="s">
        <v>906</v>
      </c>
      <c r="B109" t="s">
        <v>907</v>
      </c>
      <c r="C109" t="s">
        <v>748</v>
      </c>
      <c r="D109" t="s">
        <v>908</v>
      </c>
      <c r="E109" t="s">
        <v>909</v>
      </c>
      <c r="F109" t="s">
        <v>910</v>
      </c>
      <c r="G109" t="s">
        <v>911</v>
      </c>
      <c r="H109" t="s">
        <v>912</v>
      </c>
      <c r="I109">
        <f t="shared" ca="1" si="4"/>
        <v>32</v>
      </c>
      <c r="J109" t="str">
        <f t="shared" ca="1" si="5"/>
        <v>30-39</v>
      </c>
      <c r="K109">
        <v>99127.34</v>
      </c>
      <c r="L109" t="str">
        <f>IF(Workforce[[#This Row],[Salary]]&lt;50000,"30k-49k",IF(Workforce[[#This Row],[Salary]]&lt;70000,"50k-69k",IF(Workforce[[#This Row],[Salary]]&lt;90000,"70k-89k","90k+")))</f>
        <v>90k+</v>
      </c>
      <c r="M109" t="s">
        <v>913</v>
      </c>
      <c r="N109">
        <f t="shared" ca="1" si="6"/>
        <v>5</v>
      </c>
      <c r="O109" t="str">
        <f t="shared" ca="1" si="7"/>
        <v>Intermediate level</v>
      </c>
    </row>
    <row r="110" spans="1:15" x14ac:dyDescent="0.3">
      <c r="A110" t="s">
        <v>914</v>
      </c>
      <c r="B110" t="s">
        <v>915</v>
      </c>
      <c r="C110" t="s">
        <v>440</v>
      </c>
      <c r="D110" t="s">
        <v>916</v>
      </c>
      <c r="E110" t="s">
        <v>917</v>
      </c>
      <c r="F110" t="s">
        <v>918</v>
      </c>
      <c r="G110" t="s">
        <v>919</v>
      </c>
      <c r="H110" t="s">
        <v>920</v>
      </c>
      <c r="I110">
        <f t="shared" ca="1" si="4"/>
        <v>55</v>
      </c>
      <c r="J110" t="str">
        <f t="shared" ca="1" si="5"/>
        <v>50-59</v>
      </c>
      <c r="K110">
        <v>73571.86</v>
      </c>
      <c r="L110" t="str">
        <f>IF(Workforce[[#This Row],[Salary]]&lt;50000,"30k-49k",IF(Workforce[[#This Row],[Salary]]&lt;70000,"50k-69k",IF(Workforce[[#This Row],[Salary]]&lt;90000,"70k-89k","90k+")))</f>
        <v>70k-89k</v>
      </c>
      <c r="M110" t="s">
        <v>921</v>
      </c>
      <c r="N110">
        <f t="shared" ca="1" si="6"/>
        <v>9</v>
      </c>
      <c r="O110" t="str">
        <f t="shared" ca="1" si="7"/>
        <v>Senior level</v>
      </c>
    </row>
    <row r="111" spans="1:15" x14ac:dyDescent="0.3">
      <c r="A111" t="s">
        <v>922</v>
      </c>
      <c r="B111" t="s">
        <v>923</v>
      </c>
      <c r="C111" t="s">
        <v>169</v>
      </c>
      <c r="D111" t="s">
        <v>924</v>
      </c>
      <c r="E111" t="s">
        <v>925</v>
      </c>
      <c r="F111" t="s">
        <v>926</v>
      </c>
      <c r="G111" t="s">
        <v>927</v>
      </c>
      <c r="H111" t="s">
        <v>928</v>
      </c>
      <c r="I111">
        <f t="shared" ca="1" si="4"/>
        <v>51</v>
      </c>
      <c r="J111" t="str">
        <f t="shared" ca="1" si="5"/>
        <v>50-59</v>
      </c>
      <c r="K111">
        <v>62562.76</v>
      </c>
      <c r="L111" t="str">
        <f>IF(Workforce[[#This Row],[Salary]]&lt;50000,"30k-49k",IF(Workforce[[#This Row],[Salary]]&lt;70000,"50k-69k",IF(Workforce[[#This Row],[Salary]]&lt;90000,"70k-89k","90k+")))</f>
        <v>50k-69k</v>
      </c>
      <c r="M111" t="s">
        <v>929</v>
      </c>
      <c r="N111">
        <f t="shared" ca="1" si="6"/>
        <v>10</v>
      </c>
      <c r="O111" t="str">
        <f t="shared" ca="1" si="7"/>
        <v>Senior level</v>
      </c>
    </row>
    <row r="112" spans="1:15" x14ac:dyDescent="0.3">
      <c r="A112" t="s">
        <v>930</v>
      </c>
      <c r="B112" t="s">
        <v>931</v>
      </c>
      <c r="C112" t="s">
        <v>240</v>
      </c>
      <c r="D112" t="s">
        <v>932</v>
      </c>
      <c r="E112" t="s">
        <v>933</v>
      </c>
      <c r="F112" t="s">
        <v>934</v>
      </c>
      <c r="G112" t="s">
        <v>935</v>
      </c>
      <c r="H112" t="s">
        <v>936</v>
      </c>
      <c r="I112">
        <f t="shared" ca="1" si="4"/>
        <v>53</v>
      </c>
      <c r="J112" t="str">
        <f t="shared" ca="1" si="5"/>
        <v>50-59</v>
      </c>
      <c r="K112">
        <v>86286.9</v>
      </c>
      <c r="L112" t="str">
        <f>IF(Workforce[[#This Row],[Salary]]&lt;50000,"30k-49k",IF(Workforce[[#This Row],[Salary]]&lt;70000,"50k-69k",IF(Workforce[[#This Row],[Salary]]&lt;90000,"70k-89k","90k+")))</f>
        <v>70k-89k</v>
      </c>
      <c r="M112" t="s">
        <v>937</v>
      </c>
      <c r="N112">
        <f t="shared" ca="1" si="6"/>
        <v>8</v>
      </c>
      <c r="O112" t="str">
        <f t="shared" ca="1" si="7"/>
        <v>Senior level</v>
      </c>
    </row>
    <row r="113" spans="1:15" x14ac:dyDescent="0.3">
      <c r="A113" t="s">
        <v>938</v>
      </c>
      <c r="B113" t="s">
        <v>939</v>
      </c>
      <c r="C113" t="s">
        <v>653</v>
      </c>
      <c r="D113" t="s">
        <v>940</v>
      </c>
      <c r="E113" t="s">
        <v>941</v>
      </c>
      <c r="F113" t="s">
        <v>942</v>
      </c>
      <c r="G113" t="s">
        <v>943</v>
      </c>
      <c r="H113" t="s">
        <v>944</v>
      </c>
      <c r="I113">
        <f t="shared" ca="1" si="4"/>
        <v>31</v>
      </c>
      <c r="J113" t="str">
        <f t="shared" ca="1" si="5"/>
        <v>30-39</v>
      </c>
      <c r="K113">
        <v>75032.62</v>
      </c>
      <c r="L113" t="str">
        <f>IF(Workforce[[#This Row],[Salary]]&lt;50000,"30k-49k",IF(Workforce[[#This Row],[Salary]]&lt;70000,"50k-69k",IF(Workforce[[#This Row],[Salary]]&lt;90000,"70k-89k","90k+")))</f>
        <v>70k-89k</v>
      </c>
      <c r="M113" t="s">
        <v>945</v>
      </c>
      <c r="N113">
        <f t="shared" ca="1" si="6"/>
        <v>2</v>
      </c>
      <c r="O113" t="str">
        <f t="shared" ca="1" si="7"/>
        <v>Beginner</v>
      </c>
    </row>
    <row r="114" spans="1:15" x14ac:dyDescent="0.3">
      <c r="A114" t="s">
        <v>946</v>
      </c>
      <c r="B114" t="s">
        <v>947</v>
      </c>
      <c r="C114" t="s">
        <v>187</v>
      </c>
      <c r="D114" t="s">
        <v>948</v>
      </c>
      <c r="E114" t="s">
        <v>949</v>
      </c>
      <c r="F114" t="s">
        <v>950</v>
      </c>
      <c r="G114" t="s">
        <v>951</v>
      </c>
      <c r="H114" t="s">
        <v>952</v>
      </c>
      <c r="I114">
        <f t="shared" ca="1" si="4"/>
        <v>44</v>
      </c>
      <c r="J114" t="str">
        <f t="shared" ca="1" si="5"/>
        <v>40-49</v>
      </c>
      <c r="K114">
        <v>79566.05</v>
      </c>
      <c r="L114" t="str">
        <f>IF(Workforce[[#This Row],[Salary]]&lt;50000,"30k-49k",IF(Workforce[[#This Row],[Salary]]&lt;70000,"50k-69k",IF(Workforce[[#This Row],[Salary]]&lt;90000,"70k-89k","90k+")))</f>
        <v>70k-89k</v>
      </c>
      <c r="M114" t="s">
        <v>953</v>
      </c>
      <c r="N114">
        <f t="shared" ca="1" si="6"/>
        <v>9</v>
      </c>
      <c r="O114" t="str">
        <f t="shared" ca="1" si="7"/>
        <v>Senior level</v>
      </c>
    </row>
    <row r="115" spans="1:15" x14ac:dyDescent="0.3">
      <c r="A115" t="s">
        <v>954</v>
      </c>
      <c r="B115" t="s">
        <v>955</v>
      </c>
      <c r="C115" t="s">
        <v>151</v>
      </c>
      <c r="D115" t="s">
        <v>956</v>
      </c>
      <c r="E115" t="s">
        <v>957</v>
      </c>
      <c r="F115" t="s">
        <v>958</v>
      </c>
      <c r="G115" t="s">
        <v>959</v>
      </c>
      <c r="H115" t="s">
        <v>960</v>
      </c>
      <c r="I115">
        <f t="shared" ca="1" si="4"/>
        <v>42</v>
      </c>
      <c r="J115" t="str">
        <f t="shared" ca="1" si="5"/>
        <v>40-49</v>
      </c>
      <c r="K115">
        <v>49476.5</v>
      </c>
      <c r="L115" t="str">
        <f>IF(Workforce[[#This Row],[Salary]]&lt;50000,"30k-49k",IF(Workforce[[#This Row],[Salary]]&lt;70000,"50k-69k",IF(Workforce[[#This Row],[Salary]]&lt;90000,"70k-89k","90k+")))</f>
        <v>30k-49k</v>
      </c>
      <c r="M115" t="s">
        <v>961</v>
      </c>
      <c r="N115">
        <f t="shared" ca="1" si="6"/>
        <v>6</v>
      </c>
      <c r="O115" t="str">
        <f t="shared" ca="1" si="7"/>
        <v>Intermediate level</v>
      </c>
    </row>
    <row r="116" spans="1:15" x14ac:dyDescent="0.3">
      <c r="A116" t="s">
        <v>962</v>
      </c>
      <c r="B116" t="s">
        <v>963</v>
      </c>
      <c r="C116" t="s">
        <v>844</v>
      </c>
      <c r="D116" t="s">
        <v>964</v>
      </c>
      <c r="E116" t="s">
        <v>965</v>
      </c>
      <c r="F116" t="s">
        <v>966</v>
      </c>
      <c r="G116" t="s">
        <v>967</v>
      </c>
      <c r="H116" t="s">
        <v>968</v>
      </c>
      <c r="I116">
        <f t="shared" ca="1" si="4"/>
        <v>34</v>
      </c>
      <c r="J116" t="str">
        <f t="shared" ca="1" si="5"/>
        <v>30-39</v>
      </c>
      <c r="K116">
        <v>42526.54</v>
      </c>
      <c r="L116" t="str">
        <f>IF(Workforce[[#This Row],[Salary]]&lt;50000,"30k-49k",IF(Workforce[[#This Row],[Salary]]&lt;70000,"50k-69k",IF(Workforce[[#This Row],[Salary]]&lt;90000,"70k-89k","90k+")))</f>
        <v>30k-49k</v>
      </c>
      <c r="M116" t="s">
        <v>969</v>
      </c>
      <c r="N116">
        <f t="shared" ca="1" si="6"/>
        <v>1</v>
      </c>
      <c r="O116" t="str">
        <f t="shared" ca="1" si="7"/>
        <v>Beginner</v>
      </c>
    </row>
    <row r="117" spans="1:15" x14ac:dyDescent="0.3">
      <c r="A117" t="s">
        <v>970</v>
      </c>
      <c r="B117" t="s">
        <v>971</v>
      </c>
      <c r="C117" t="s">
        <v>317</v>
      </c>
      <c r="D117" t="s">
        <v>972</v>
      </c>
      <c r="E117" t="s">
        <v>973</v>
      </c>
      <c r="F117" t="s">
        <v>583</v>
      </c>
      <c r="G117" t="s">
        <v>974</v>
      </c>
      <c r="H117" t="s">
        <v>975</v>
      </c>
      <c r="I117">
        <f t="shared" ca="1" si="4"/>
        <v>40</v>
      </c>
      <c r="J117" t="str">
        <f t="shared" ca="1" si="5"/>
        <v>40-49</v>
      </c>
      <c r="K117">
        <v>37013.339999999997</v>
      </c>
      <c r="L117" t="str">
        <f>IF(Workforce[[#This Row],[Salary]]&lt;50000,"30k-49k",IF(Workforce[[#This Row],[Salary]]&lt;70000,"50k-69k",IF(Workforce[[#This Row],[Salary]]&lt;90000,"70k-89k","90k+")))</f>
        <v>30k-49k</v>
      </c>
      <c r="M117" t="s">
        <v>976</v>
      </c>
      <c r="N117">
        <f t="shared" ca="1" si="6"/>
        <v>10</v>
      </c>
      <c r="O117" t="str">
        <f t="shared" ca="1" si="7"/>
        <v>Senior level</v>
      </c>
    </row>
    <row r="118" spans="1:15" x14ac:dyDescent="0.3">
      <c r="A118" t="s">
        <v>977</v>
      </c>
      <c r="B118" t="s">
        <v>978</v>
      </c>
      <c r="C118" t="s">
        <v>97</v>
      </c>
      <c r="D118" t="s">
        <v>979</v>
      </c>
      <c r="E118" t="s">
        <v>980</v>
      </c>
      <c r="F118" t="s">
        <v>981</v>
      </c>
      <c r="G118" t="s">
        <v>982</v>
      </c>
      <c r="H118" t="s">
        <v>983</v>
      </c>
      <c r="I118">
        <f t="shared" ca="1" si="4"/>
        <v>42</v>
      </c>
      <c r="J118" t="str">
        <f t="shared" ca="1" si="5"/>
        <v>40-49</v>
      </c>
      <c r="K118">
        <v>50627.09</v>
      </c>
      <c r="L118" t="str">
        <f>IF(Workforce[[#This Row],[Salary]]&lt;50000,"30k-49k",IF(Workforce[[#This Row],[Salary]]&lt;70000,"50k-69k",IF(Workforce[[#This Row],[Salary]]&lt;90000,"70k-89k","90k+")))</f>
        <v>50k-69k</v>
      </c>
      <c r="M118" t="s">
        <v>984</v>
      </c>
      <c r="N118">
        <f t="shared" ca="1" si="6"/>
        <v>3</v>
      </c>
      <c r="O118" t="str">
        <f t="shared" ca="1" si="7"/>
        <v>Intermediate level</v>
      </c>
    </row>
    <row r="119" spans="1:15" x14ac:dyDescent="0.3">
      <c r="A119" t="s">
        <v>985</v>
      </c>
      <c r="B119" t="s">
        <v>986</v>
      </c>
      <c r="C119" t="s">
        <v>44</v>
      </c>
      <c r="D119" t="s">
        <v>987</v>
      </c>
      <c r="E119" t="s">
        <v>988</v>
      </c>
      <c r="F119" t="s">
        <v>989</v>
      </c>
      <c r="G119" t="s">
        <v>990</v>
      </c>
      <c r="H119" t="s">
        <v>991</v>
      </c>
      <c r="I119">
        <f t="shared" ca="1" si="4"/>
        <v>24</v>
      </c>
      <c r="J119" t="str">
        <f t="shared" ca="1" si="5"/>
        <v>18-29</v>
      </c>
      <c r="K119">
        <v>69121.94</v>
      </c>
      <c r="L119" t="str">
        <f>IF(Workforce[[#This Row],[Salary]]&lt;50000,"30k-49k",IF(Workforce[[#This Row],[Salary]]&lt;70000,"50k-69k",IF(Workforce[[#This Row],[Salary]]&lt;90000,"70k-89k","90k+")))</f>
        <v>50k-69k</v>
      </c>
      <c r="M119" t="s">
        <v>992</v>
      </c>
      <c r="N119">
        <f t="shared" ca="1" si="6"/>
        <v>9</v>
      </c>
      <c r="O119" t="str">
        <f t="shared" ca="1" si="7"/>
        <v>Senior level</v>
      </c>
    </row>
    <row r="120" spans="1:15" x14ac:dyDescent="0.3">
      <c r="A120" t="s">
        <v>993</v>
      </c>
      <c r="B120" t="s">
        <v>994</v>
      </c>
      <c r="C120" t="s">
        <v>995</v>
      </c>
      <c r="D120" t="s">
        <v>996</v>
      </c>
      <c r="E120" t="s">
        <v>997</v>
      </c>
      <c r="F120" t="s">
        <v>998</v>
      </c>
      <c r="G120" t="s">
        <v>999</v>
      </c>
      <c r="H120" t="s">
        <v>1000</v>
      </c>
      <c r="I120">
        <f t="shared" ca="1" si="4"/>
        <v>23</v>
      </c>
      <c r="J120" t="str">
        <f t="shared" ca="1" si="5"/>
        <v>18-29</v>
      </c>
      <c r="K120">
        <v>37559.61</v>
      </c>
      <c r="L120" t="str">
        <f>IF(Workforce[[#This Row],[Salary]]&lt;50000,"30k-49k",IF(Workforce[[#This Row],[Salary]]&lt;70000,"50k-69k",IF(Workforce[[#This Row],[Salary]]&lt;90000,"70k-89k","90k+")))</f>
        <v>30k-49k</v>
      </c>
      <c r="M120" t="s">
        <v>1001</v>
      </c>
      <c r="N120">
        <f t="shared" ca="1" si="6"/>
        <v>2</v>
      </c>
      <c r="O120" t="str">
        <f t="shared" ca="1" si="7"/>
        <v>Beginner</v>
      </c>
    </row>
    <row r="121" spans="1:15" x14ac:dyDescent="0.3">
      <c r="A121" t="s">
        <v>1002</v>
      </c>
      <c r="B121" t="s">
        <v>1003</v>
      </c>
      <c r="C121" t="s">
        <v>1004</v>
      </c>
      <c r="D121" t="s">
        <v>1005</v>
      </c>
      <c r="E121" t="s">
        <v>1006</v>
      </c>
      <c r="F121" t="s">
        <v>1007</v>
      </c>
      <c r="G121" t="s">
        <v>1008</v>
      </c>
      <c r="H121" t="s">
        <v>1009</v>
      </c>
      <c r="I121">
        <f t="shared" ca="1" si="4"/>
        <v>53</v>
      </c>
      <c r="J121" t="str">
        <f t="shared" ca="1" si="5"/>
        <v>50-59</v>
      </c>
      <c r="K121">
        <v>86254.720000000001</v>
      </c>
      <c r="L121" t="str">
        <f>IF(Workforce[[#This Row],[Salary]]&lt;50000,"30k-49k",IF(Workforce[[#This Row],[Salary]]&lt;70000,"50k-69k",IF(Workforce[[#This Row],[Salary]]&lt;90000,"70k-89k","90k+")))</f>
        <v>70k-89k</v>
      </c>
      <c r="M121" t="s">
        <v>1010</v>
      </c>
      <c r="N121">
        <f t="shared" ca="1" si="6"/>
        <v>8</v>
      </c>
      <c r="O121" t="str">
        <f t="shared" ca="1" si="7"/>
        <v>Senior level</v>
      </c>
    </row>
    <row r="122" spans="1:15" x14ac:dyDescent="0.3">
      <c r="A122" t="s">
        <v>1011</v>
      </c>
      <c r="B122" t="s">
        <v>1012</v>
      </c>
      <c r="C122" t="s">
        <v>257</v>
      </c>
      <c r="D122" t="s">
        <v>1013</v>
      </c>
      <c r="E122" t="s">
        <v>1014</v>
      </c>
      <c r="F122" t="s">
        <v>1015</v>
      </c>
      <c r="G122" t="s">
        <v>1016</v>
      </c>
      <c r="H122" t="s">
        <v>1017</v>
      </c>
      <c r="I122">
        <f t="shared" ca="1" si="4"/>
        <v>45</v>
      </c>
      <c r="J122" t="str">
        <f t="shared" ca="1" si="5"/>
        <v>40-49</v>
      </c>
      <c r="K122">
        <v>85742.5</v>
      </c>
      <c r="L122" t="str">
        <f>IF(Workforce[[#This Row],[Salary]]&lt;50000,"30k-49k",IF(Workforce[[#This Row],[Salary]]&lt;70000,"50k-69k",IF(Workforce[[#This Row],[Salary]]&lt;90000,"70k-89k","90k+")))</f>
        <v>70k-89k</v>
      </c>
      <c r="M122" t="s">
        <v>41</v>
      </c>
      <c r="N122">
        <f t="shared" ca="1" si="6"/>
        <v>6</v>
      </c>
      <c r="O122" t="str">
        <f t="shared" ca="1" si="7"/>
        <v>Intermediate level</v>
      </c>
    </row>
    <row r="123" spans="1:15" x14ac:dyDescent="0.3">
      <c r="A123" t="s">
        <v>1018</v>
      </c>
      <c r="B123" t="s">
        <v>1019</v>
      </c>
      <c r="C123" t="s">
        <v>317</v>
      </c>
      <c r="D123" t="s">
        <v>1020</v>
      </c>
      <c r="E123" t="s">
        <v>1021</v>
      </c>
      <c r="F123" t="s">
        <v>1022</v>
      </c>
      <c r="G123" t="s">
        <v>1023</v>
      </c>
      <c r="H123" t="s">
        <v>1024</v>
      </c>
      <c r="I123">
        <f t="shared" ca="1" si="4"/>
        <v>44</v>
      </c>
      <c r="J123" t="str">
        <f t="shared" ca="1" si="5"/>
        <v>40-49</v>
      </c>
      <c r="K123">
        <v>69190.52</v>
      </c>
      <c r="L123" t="str">
        <f>IF(Workforce[[#This Row],[Salary]]&lt;50000,"30k-49k",IF(Workforce[[#This Row],[Salary]]&lt;70000,"50k-69k",IF(Workforce[[#This Row],[Salary]]&lt;90000,"70k-89k","90k+")))</f>
        <v>50k-69k</v>
      </c>
      <c r="M123" t="s">
        <v>1025</v>
      </c>
      <c r="N123">
        <f t="shared" ca="1" si="6"/>
        <v>3</v>
      </c>
      <c r="O123" t="str">
        <f t="shared" ca="1" si="7"/>
        <v>Intermediate level</v>
      </c>
    </row>
    <row r="124" spans="1:15" x14ac:dyDescent="0.3">
      <c r="A124" t="s">
        <v>1026</v>
      </c>
      <c r="B124" t="s">
        <v>1027</v>
      </c>
      <c r="C124" t="s">
        <v>70</v>
      </c>
      <c r="D124" t="s">
        <v>1028</v>
      </c>
      <c r="E124" t="s">
        <v>1029</v>
      </c>
      <c r="F124" t="s">
        <v>710</v>
      </c>
      <c r="G124" t="s">
        <v>1030</v>
      </c>
      <c r="H124" t="s">
        <v>1031</v>
      </c>
      <c r="I124">
        <f t="shared" ca="1" si="4"/>
        <v>22</v>
      </c>
      <c r="J124" t="str">
        <f t="shared" ca="1" si="5"/>
        <v>18-29</v>
      </c>
      <c r="K124">
        <v>106779.62</v>
      </c>
      <c r="L124" t="str">
        <f>IF(Workforce[[#This Row],[Salary]]&lt;50000,"30k-49k",IF(Workforce[[#This Row],[Salary]]&lt;70000,"50k-69k",IF(Workforce[[#This Row],[Salary]]&lt;90000,"70k-89k","90k+")))</f>
        <v>90k+</v>
      </c>
      <c r="M124" t="s">
        <v>1032</v>
      </c>
      <c r="N124">
        <f t="shared" ca="1" si="6"/>
        <v>9</v>
      </c>
      <c r="O124" t="str">
        <f t="shared" ca="1" si="7"/>
        <v>Senior level</v>
      </c>
    </row>
    <row r="125" spans="1:15" x14ac:dyDescent="0.3">
      <c r="A125" t="s">
        <v>1033</v>
      </c>
      <c r="B125" t="s">
        <v>1034</v>
      </c>
      <c r="C125" t="s">
        <v>335</v>
      </c>
      <c r="D125" t="s">
        <v>1035</v>
      </c>
      <c r="E125" t="s">
        <v>1036</v>
      </c>
      <c r="F125" t="s">
        <v>1037</v>
      </c>
      <c r="G125" t="s">
        <v>1038</v>
      </c>
      <c r="H125" t="s">
        <v>1039</v>
      </c>
      <c r="I125">
        <f t="shared" ca="1" si="4"/>
        <v>39</v>
      </c>
      <c r="J125" t="str">
        <f t="shared" ca="1" si="5"/>
        <v>30-39</v>
      </c>
      <c r="K125">
        <v>40870.79</v>
      </c>
      <c r="L125" t="str">
        <f>IF(Workforce[[#This Row],[Salary]]&lt;50000,"30k-49k",IF(Workforce[[#This Row],[Salary]]&lt;70000,"50k-69k",IF(Workforce[[#This Row],[Salary]]&lt;90000,"70k-89k","90k+")))</f>
        <v>30k-49k</v>
      </c>
      <c r="M125" t="s">
        <v>1040</v>
      </c>
      <c r="N125">
        <f t="shared" ca="1" si="6"/>
        <v>2</v>
      </c>
      <c r="O125" t="str">
        <f t="shared" ca="1" si="7"/>
        <v>Beginner</v>
      </c>
    </row>
    <row r="126" spans="1:15" x14ac:dyDescent="0.3">
      <c r="A126" t="s">
        <v>1041</v>
      </c>
      <c r="B126" t="s">
        <v>1042</v>
      </c>
      <c r="C126" t="s">
        <v>1043</v>
      </c>
      <c r="D126" t="s">
        <v>1044</v>
      </c>
      <c r="E126" t="s">
        <v>1045</v>
      </c>
      <c r="F126" t="s">
        <v>55</v>
      </c>
      <c r="G126" t="s">
        <v>1046</v>
      </c>
      <c r="H126" t="s">
        <v>1047</v>
      </c>
      <c r="I126">
        <f t="shared" ca="1" si="4"/>
        <v>33</v>
      </c>
      <c r="J126" t="str">
        <f t="shared" ca="1" si="5"/>
        <v>30-39</v>
      </c>
      <c r="K126">
        <v>31806.61</v>
      </c>
      <c r="L126" t="str">
        <f>IF(Workforce[[#This Row],[Salary]]&lt;50000,"30k-49k",IF(Workforce[[#This Row],[Salary]]&lt;70000,"50k-69k",IF(Workforce[[#This Row],[Salary]]&lt;90000,"70k-89k","90k+")))</f>
        <v>30k-49k</v>
      </c>
      <c r="M126" t="s">
        <v>1048</v>
      </c>
      <c r="N126">
        <f t="shared" ca="1" si="6"/>
        <v>4</v>
      </c>
      <c r="O126" t="str">
        <f t="shared" ca="1" si="7"/>
        <v>Intermediate level</v>
      </c>
    </row>
    <row r="127" spans="1:15" x14ac:dyDescent="0.3">
      <c r="A127" t="s">
        <v>1049</v>
      </c>
      <c r="B127" t="s">
        <v>1050</v>
      </c>
      <c r="C127" t="s">
        <v>240</v>
      </c>
      <c r="D127" t="s">
        <v>1051</v>
      </c>
      <c r="E127" t="s">
        <v>1052</v>
      </c>
      <c r="F127" t="s">
        <v>1053</v>
      </c>
      <c r="G127" t="s">
        <v>1054</v>
      </c>
      <c r="H127" t="s">
        <v>1055</v>
      </c>
      <c r="I127">
        <f t="shared" ca="1" si="4"/>
        <v>22</v>
      </c>
      <c r="J127" t="str">
        <f t="shared" ca="1" si="5"/>
        <v>18-29</v>
      </c>
      <c r="K127">
        <v>78561.240000000005</v>
      </c>
      <c r="L127" t="str">
        <f>IF(Workforce[[#This Row],[Salary]]&lt;50000,"30k-49k",IF(Workforce[[#This Row],[Salary]]&lt;70000,"50k-69k",IF(Workforce[[#This Row],[Salary]]&lt;90000,"70k-89k","90k+")))</f>
        <v>70k-89k</v>
      </c>
      <c r="M127" t="s">
        <v>1056</v>
      </c>
      <c r="N127">
        <f t="shared" ca="1" si="6"/>
        <v>8</v>
      </c>
      <c r="O127" t="str">
        <f t="shared" ca="1" si="7"/>
        <v>Senior level</v>
      </c>
    </row>
    <row r="128" spans="1:15" x14ac:dyDescent="0.3">
      <c r="A128" t="s">
        <v>1057</v>
      </c>
      <c r="B128" t="s">
        <v>1058</v>
      </c>
      <c r="C128" t="s">
        <v>748</v>
      </c>
      <c r="D128" t="s">
        <v>1059</v>
      </c>
      <c r="E128" t="s">
        <v>1060</v>
      </c>
      <c r="F128" t="s">
        <v>1061</v>
      </c>
      <c r="G128" t="s">
        <v>1062</v>
      </c>
      <c r="H128" t="s">
        <v>1063</v>
      </c>
      <c r="I128">
        <f t="shared" ca="1" si="4"/>
        <v>59</v>
      </c>
      <c r="J128" t="str">
        <f t="shared" ca="1" si="5"/>
        <v>50-59</v>
      </c>
      <c r="K128">
        <v>77920.039999999994</v>
      </c>
      <c r="L128" t="str">
        <f>IF(Workforce[[#This Row],[Salary]]&lt;50000,"30k-49k",IF(Workforce[[#This Row],[Salary]]&lt;70000,"50k-69k",IF(Workforce[[#This Row],[Salary]]&lt;90000,"70k-89k","90k+")))</f>
        <v>70k-89k</v>
      </c>
      <c r="M128" t="s">
        <v>1064</v>
      </c>
      <c r="N128">
        <f t="shared" ca="1" si="6"/>
        <v>1</v>
      </c>
      <c r="O128" t="str">
        <f t="shared" ca="1" si="7"/>
        <v>Beginner</v>
      </c>
    </row>
    <row r="129" spans="1:15" x14ac:dyDescent="0.3">
      <c r="A129" t="s">
        <v>1065</v>
      </c>
      <c r="B129" t="s">
        <v>1066</v>
      </c>
      <c r="C129" t="s">
        <v>748</v>
      </c>
      <c r="D129" t="s">
        <v>1067</v>
      </c>
      <c r="E129" t="s">
        <v>1068</v>
      </c>
      <c r="F129" t="s">
        <v>583</v>
      </c>
      <c r="G129" t="s">
        <v>1069</v>
      </c>
      <c r="H129" t="s">
        <v>1070</v>
      </c>
      <c r="I129">
        <f t="shared" ca="1" si="4"/>
        <v>38</v>
      </c>
      <c r="J129" t="str">
        <f t="shared" ca="1" si="5"/>
        <v>30-39</v>
      </c>
      <c r="K129">
        <v>37324.76</v>
      </c>
      <c r="L129" t="str">
        <f>IF(Workforce[[#This Row],[Salary]]&lt;50000,"30k-49k",IF(Workforce[[#This Row],[Salary]]&lt;70000,"50k-69k",IF(Workforce[[#This Row],[Salary]]&lt;90000,"70k-89k","90k+")))</f>
        <v>30k-49k</v>
      </c>
      <c r="M129" t="s">
        <v>1071</v>
      </c>
      <c r="N129">
        <f t="shared" ca="1" si="6"/>
        <v>5</v>
      </c>
      <c r="O129" t="str">
        <f t="shared" ca="1" si="7"/>
        <v>Intermediate level</v>
      </c>
    </row>
    <row r="130" spans="1:15" x14ac:dyDescent="0.3">
      <c r="A130" t="s">
        <v>1072</v>
      </c>
      <c r="B130" t="s">
        <v>1073</v>
      </c>
      <c r="C130" t="s">
        <v>604</v>
      </c>
      <c r="D130" t="s">
        <v>1074</v>
      </c>
      <c r="E130" t="s">
        <v>1075</v>
      </c>
      <c r="F130" t="s">
        <v>1076</v>
      </c>
      <c r="G130" t="s">
        <v>1077</v>
      </c>
      <c r="H130" t="s">
        <v>1078</v>
      </c>
      <c r="I130">
        <f t="shared" ref="I130:I193" ca="1" si="8">DATEDIF(H130,TODAY(),"y")</f>
        <v>34</v>
      </c>
      <c r="J130" t="str">
        <f t="shared" ref="J130:J193" ca="1" si="9">IF(I130&lt;30,"18-29",IF(I130&lt;40,"30-39",IF(I130&lt;50,"40-49",IF(I130&lt;60,"50-59","60+"))))</f>
        <v>30-39</v>
      </c>
      <c r="K130">
        <v>68814.52</v>
      </c>
      <c r="L130" t="str">
        <f>IF(Workforce[[#This Row],[Salary]]&lt;50000,"30k-49k",IF(Workforce[[#This Row],[Salary]]&lt;70000,"50k-69k",IF(Workforce[[#This Row],[Salary]]&lt;90000,"70k-89k","90k+")))</f>
        <v>50k-69k</v>
      </c>
      <c r="M130" t="s">
        <v>1079</v>
      </c>
      <c r="N130">
        <f t="shared" ref="N130:N193" ca="1" si="10">DATEDIF(M130,TODAY(),"y")</f>
        <v>10</v>
      </c>
      <c r="O130" t="str">
        <f t="shared" ref="O130:O193" ca="1" si="11">IF(N130&lt;=2,"Beginner",IF(N130&lt;=6,"Intermediate level","Senior level"))</f>
        <v>Senior level</v>
      </c>
    </row>
    <row r="131" spans="1:15" x14ac:dyDescent="0.3">
      <c r="A131" t="s">
        <v>1080</v>
      </c>
      <c r="B131" t="s">
        <v>1081</v>
      </c>
      <c r="C131" t="s">
        <v>142</v>
      </c>
      <c r="D131" t="s">
        <v>1082</v>
      </c>
      <c r="E131" t="s">
        <v>1083</v>
      </c>
      <c r="F131" t="s">
        <v>1084</v>
      </c>
      <c r="G131" t="s">
        <v>1085</v>
      </c>
      <c r="H131" t="s">
        <v>1086</v>
      </c>
      <c r="I131">
        <f t="shared" ca="1" si="8"/>
        <v>32</v>
      </c>
      <c r="J131" t="str">
        <f t="shared" ca="1" si="9"/>
        <v>30-39</v>
      </c>
      <c r="K131">
        <v>84013.41</v>
      </c>
      <c r="L131" t="str">
        <f>IF(Workforce[[#This Row],[Salary]]&lt;50000,"30k-49k",IF(Workforce[[#This Row],[Salary]]&lt;70000,"50k-69k",IF(Workforce[[#This Row],[Salary]]&lt;90000,"70k-89k","90k+")))</f>
        <v>70k-89k</v>
      </c>
      <c r="M131" t="s">
        <v>373</v>
      </c>
      <c r="N131">
        <f t="shared" ca="1" si="10"/>
        <v>1</v>
      </c>
      <c r="O131" t="str">
        <f t="shared" ca="1" si="11"/>
        <v>Beginner</v>
      </c>
    </row>
    <row r="132" spans="1:15" x14ac:dyDescent="0.3">
      <c r="A132" t="s">
        <v>1087</v>
      </c>
      <c r="B132" t="s">
        <v>1088</v>
      </c>
      <c r="C132" t="s">
        <v>178</v>
      </c>
      <c r="D132" t="s">
        <v>1089</v>
      </c>
      <c r="E132" t="s">
        <v>1090</v>
      </c>
      <c r="F132" t="s">
        <v>1091</v>
      </c>
      <c r="G132" t="s">
        <v>1092</v>
      </c>
      <c r="H132" t="s">
        <v>1093</v>
      </c>
      <c r="I132">
        <f t="shared" ca="1" si="8"/>
        <v>25</v>
      </c>
      <c r="J132" t="str">
        <f t="shared" ca="1" si="9"/>
        <v>18-29</v>
      </c>
      <c r="K132">
        <v>109013.19</v>
      </c>
      <c r="L132" t="str">
        <f>IF(Workforce[[#This Row],[Salary]]&lt;50000,"30k-49k",IF(Workforce[[#This Row],[Salary]]&lt;70000,"50k-69k",IF(Workforce[[#This Row],[Salary]]&lt;90000,"70k-89k","90k+")))</f>
        <v>90k+</v>
      </c>
      <c r="M132" t="s">
        <v>1094</v>
      </c>
      <c r="N132">
        <f t="shared" ca="1" si="10"/>
        <v>2</v>
      </c>
      <c r="O132" t="str">
        <f t="shared" ca="1" si="11"/>
        <v>Beginner</v>
      </c>
    </row>
    <row r="133" spans="1:15" x14ac:dyDescent="0.3">
      <c r="A133" t="s">
        <v>1095</v>
      </c>
      <c r="B133" t="s">
        <v>1096</v>
      </c>
      <c r="C133" t="s">
        <v>61</v>
      </c>
      <c r="D133" t="s">
        <v>1097</v>
      </c>
      <c r="E133" t="s">
        <v>1098</v>
      </c>
      <c r="F133" t="s">
        <v>1099</v>
      </c>
      <c r="G133" t="s">
        <v>1100</v>
      </c>
      <c r="H133" t="s">
        <v>1101</v>
      </c>
      <c r="I133">
        <f t="shared" ca="1" si="8"/>
        <v>34</v>
      </c>
      <c r="J133" t="str">
        <f t="shared" ca="1" si="9"/>
        <v>30-39</v>
      </c>
      <c r="K133">
        <v>84440.2</v>
      </c>
      <c r="L133" t="str">
        <f>IF(Workforce[[#This Row],[Salary]]&lt;50000,"30k-49k",IF(Workforce[[#This Row],[Salary]]&lt;70000,"50k-69k",IF(Workforce[[#This Row],[Salary]]&lt;90000,"70k-89k","90k+")))</f>
        <v>70k-89k</v>
      </c>
      <c r="M133" t="s">
        <v>1102</v>
      </c>
      <c r="N133">
        <f t="shared" ca="1" si="10"/>
        <v>10</v>
      </c>
      <c r="O133" t="str">
        <f t="shared" ca="1" si="11"/>
        <v>Senior level</v>
      </c>
    </row>
    <row r="134" spans="1:15" x14ac:dyDescent="0.3">
      <c r="A134" t="s">
        <v>1103</v>
      </c>
      <c r="B134" t="s">
        <v>1104</v>
      </c>
      <c r="C134" t="s">
        <v>335</v>
      </c>
      <c r="D134" t="s">
        <v>1105</v>
      </c>
      <c r="E134" t="s">
        <v>1106</v>
      </c>
      <c r="F134" t="s">
        <v>1107</v>
      </c>
      <c r="G134" t="s">
        <v>1108</v>
      </c>
      <c r="H134" t="s">
        <v>1109</v>
      </c>
      <c r="I134">
        <f t="shared" ca="1" si="8"/>
        <v>33</v>
      </c>
      <c r="J134" t="str">
        <f t="shared" ca="1" si="9"/>
        <v>30-39</v>
      </c>
      <c r="K134">
        <v>103097.08</v>
      </c>
      <c r="L134" t="str">
        <f>IF(Workforce[[#This Row],[Salary]]&lt;50000,"30k-49k",IF(Workforce[[#This Row],[Salary]]&lt;70000,"50k-69k",IF(Workforce[[#This Row],[Salary]]&lt;90000,"70k-89k","90k+")))</f>
        <v>90k+</v>
      </c>
      <c r="M134" t="s">
        <v>1110</v>
      </c>
      <c r="N134">
        <f t="shared" ca="1" si="10"/>
        <v>8</v>
      </c>
      <c r="O134" t="str">
        <f t="shared" ca="1" si="11"/>
        <v>Senior level</v>
      </c>
    </row>
    <row r="135" spans="1:15" x14ac:dyDescent="0.3">
      <c r="A135" t="s">
        <v>1111</v>
      </c>
      <c r="B135" t="s">
        <v>1112</v>
      </c>
      <c r="C135" t="s">
        <v>1004</v>
      </c>
      <c r="D135" t="s">
        <v>1113</v>
      </c>
      <c r="E135" t="s">
        <v>1114</v>
      </c>
      <c r="F135" t="s">
        <v>1115</v>
      </c>
      <c r="G135" t="s">
        <v>1116</v>
      </c>
      <c r="H135" t="s">
        <v>1117</v>
      </c>
      <c r="I135">
        <f t="shared" ca="1" si="8"/>
        <v>21</v>
      </c>
      <c r="J135" t="str">
        <f t="shared" ca="1" si="9"/>
        <v>18-29</v>
      </c>
      <c r="K135">
        <v>53418.3</v>
      </c>
      <c r="L135" t="str">
        <f>IF(Workforce[[#This Row],[Salary]]&lt;50000,"30k-49k",IF(Workforce[[#This Row],[Salary]]&lt;70000,"50k-69k",IF(Workforce[[#This Row],[Salary]]&lt;90000,"70k-89k","90k+")))</f>
        <v>50k-69k</v>
      </c>
      <c r="M135" t="s">
        <v>1118</v>
      </c>
      <c r="N135">
        <f t="shared" ca="1" si="10"/>
        <v>2</v>
      </c>
      <c r="O135" t="str">
        <f t="shared" ca="1" si="11"/>
        <v>Beginner</v>
      </c>
    </row>
    <row r="136" spans="1:15" x14ac:dyDescent="0.3">
      <c r="A136" t="s">
        <v>1119</v>
      </c>
      <c r="B136" t="s">
        <v>1120</v>
      </c>
      <c r="C136" t="s">
        <v>124</v>
      </c>
      <c r="D136" t="s">
        <v>1121</v>
      </c>
      <c r="E136" t="s">
        <v>1122</v>
      </c>
      <c r="F136" t="s">
        <v>1123</v>
      </c>
      <c r="G136" t="s">
        <v>1124</v>
      </c>
      <c r="H136" t="s">
        <v>1125</v>
      </c>
      <c r="I136">
        <f t="shared" ca="1" si="8"/>
        <v>62</v>
      </c>
      <c r="J136" t="str">
        <f t="shared" ca="1" si="9"/>
        <v>60+</v>
      </c>
      <c r="K136">
        <v>83004.92</v>
      </c>
      <c r="L136" t="str">
        <f>IF(Workforce[[#This Row],[Salary]]&lt;50000,"30k-49k",IF(Workforce[[#This Row],[Salary]]&lt;70000,"50k-69k",IF(Workforce[[#This Row],[Salary]]&lt;90000,"70k-89k","90k+")))</f>
        <v>70k-89k</v>
      </c>
      <c r="M136" t="s">
        <v>1126</v>
      </c>
      <c r="N136">
        <f t="shared" ca="1" si="10"/>
        <v>8</v>
      </c>
      <c r="O136" t="str">
        <f t="shared" ca="1" si="11"/>
        <v>Senior level</v>
      </c>
    </row>
    <row r="137" spans="1:15" x14ac:dyDescent="0.3">
      <c r="A137" t="s">
        <v>1127</v>
      </c>
      <c r="B137" t="s">
        <v>1128</v>
      </c>
      <c r="C137" t="s">
        <v>61</v>
      </c>
      <c r="D137" t="s">
        <v>1129</v>
      </c>
      <c r="E137" t="s">
        <v>1130</v>
      </c>
      <c r="F137" t="s">
        <v>1131</v>
      </c>
      <c r="G137" t="s">
        <v>1132</v>
      </c>
      <c r="H137" t="s">
        <v>1133</v>
      </c>
      <c r="I137">
        <f t="shared" ca="1" si="8"/>
        <v>66</v>
      </c>
      <c r="J137" t="str">
        <f t="shared" ca="1" si="9"/>
        <v>60+</v>
      </c>
      <c r="K137">
        <v>30051.37</v>
      </c>
      <c r="L137" t="str">
        <f>IF(Workforce[[#This Row],[Salary]]&lt;50000,"30k-49k",IF(Workforce[[#This Row],[Salary]]&lt;70000,"50k-69k",IF(Workforce[[#This Row],[Salary]]&lt;90000,"70k-89k","90k+")))</f>
        <v>30k-49k</v>
      </c>
      <c r="M137" t="s">
        <v>675</v>
      </c>
      <c r="N137">
        <f t="shared" ca="1" si="10"/>
        <v>3</v>
      </c>
      <c r="O137" t="str">
        <f t="shared" ca="1" si="11"/>
        <v>Intermediate level</v>
      </c>
    </row>
    <row r="138" spans="1:15" x14ac:dyDescent="0.3">
      <c r="A138" t="s">
        <v>1134</v>
      </c>
      <c r="B138" t="s">
        <v>1135</v>
      </c>
      <c r="C138" t="s">
        <v>44</v>
      </c>
      <c r="D138" t="s">
        <v>1136</v>
      </c>
      <c r="E138" t="s">
        <v>1137</v>
      </c>
      <c r="F138" t="s">
        <v>918</v>
      </c>
      <c r="G138" t="s">
        <v>1138</v>
      </c>
      <c r="H138" t="s">
        <v>1139</v>
      </c>
      <c r="I138">
        <f t="shared" ca="1" si="8"/>
        <v>65</v>
      </c>
      <c r="J138" t="str">
        <f t="shared" ca="1" si="9"/>
        <v>60+</v>
      </c>
      <c r="K138">
        <v>98968.85</v>
      </c>
      <c r="L138" t="str">
        <f>IF(Workforce[[#This Row],[Salary]]&lt;50000,"30k-49k",IF(Workforce[[#This Row],[Salary]]&lt;70000,"50k-69k",IF(Workforce[[#This Row],[Salary]]&lt;90000,"70k-89k","90k+")))</f>
        <v>90k+</v>
      </c>
      <c r="M138" t="s">
        <v>1140</v>
      </c>
      <c r="N138">
        <f t="shared" ca="1" si="10"/>
        <v>7</v>
      </c>
      <c r="O138" t="str">
        <f t="shared" ca="1" si="11"/>
        <v>Senior level</v>
      </c>
    </row>
    <row r="139" spans="1:15" x14ac:dyDescent="0.3">
      <c r="A139" t="s">
        <v>1141</v>
      </c>
      <c r="B139" t="s">
        <v>1142</v>
      </c>
      <c r="C139" t="s">
        <v>213</v>
      </c>
      <c r="D139" t="s">
        <v>1143</v>
      </c>
      <c r="E139" t="s">
        <v>1144</v>
      </c>
      <c r="F139" t="s">
        <v>1145</v>
      </c>
      <c r="G139" t="s">
        <v>1146</v>
      </c>
      <c r="H139" t="s">
        <v>1147</v>
      </c>
      <c r="I139">
        <f t="shared" ca="1" si="8"/>
        <v>57</v>
      </c>
      <c r="J139" t="str">
        <f t="shared" ca="1" si="9"/>
        <v>50-59</v>
      </c>
      <c r="K139">
        <v>77107.38</v>
      </c>
      <c r="L139" t="str">
        <f>IF(Workforce[[#This Row],[Salary]]&lt;50000,"30k-49k",IF(Workforce[[#This Row],[Salary]]&lt;70000,"50k-69k",IF(Workforce[[#This Row],[Salary]]&lt;90000,"70k-89k","90k+")))</f>
        <v>70k-89k</v>
      </c>
      <c r="M139" t="s">
        <v>1148</v>
      </c>
      <c r="N139">
        <f t="shared" ca="1" si="10"/>
        <v>4</v>
      </c>
      <c r="O139" t="str">
        <f t="shared" ca="1" si="11"/>
        <v>Intermediate level</v>
      </c>
    </row>
    <row r="140" spans="1:15" x14ac:dyDescent="0.3">
      <c r="A140" t="s">
        <v>1149</v>
      </c>
      <c r="B140" t="s">
        <v>1150</v>
      </c>
      <c r="C140" t="s">
        <v>231</v>
      </c>
      <c r="D140" t="s">
        <v>1151</v>
      </c>
      <c r="E140" t="s">
        <v>1152</v>
      </c>
      <c r="F140" t="s">
        <v>1153</v>
      </c>
      <c r="G140" t="s">
        <v>1154</v>
      </c>
      <c r="H140" t="s">
        <v>1155</v>
      </c>
      <c r="I140">
        <f t="shared" ca="1" si="8"/>
        <v>61</v>
      </c>
      <c r="J140" t="str">
        <f t="shared" ca="1" si="9"/>
        <v>60+</v>
      </c>
      <c r="K140">
        <v>103826.2</v>
      </c>
      <c r="L140" t="str">
        <f>IF(Workforce[[#This Row],[Salary]]&lt;50000,"30k-49k",IF(Workforce[[#This Row],[Salary]]&lt;70000,"50k-69k",IF(Workforce[[#This Row],[Salary]]&lt;90000,"70k-89k","90k+")))</f>
        <v>90k+</v>
      </c>
      <c r="M140" t="s">
        <v>1156</v>
      </c>
      <c r="N140">
        <f t="shared" ca="1" si="10"/>
        <v>4</v>
      </c>
      <c r="O140" t="str">
        <f t="shared" ca="1" si="11"/>
        <v>Intermediate level</v>
      </c>
    </row>
    <row r="141" spans="1:15" x14ac:dyDescent="0.3">
      <c r="A141" t="s">
        <v>1157</v>
      </c>
      <c r="B141" t="s">
        <v>1158</v>
      </c>
      <c r="C141" t="s">
        <v>1159</v>
      </c>
      <c r="D141" t="s">
        <v>1160</v>
      </c>
      <c r="E141" t="s">
        <v>1161</v>
      </c>
      <c r="F141" t="s">
        <v>1162</v>
      </c>
      <c r="G141" t="s">
        <v>1163</v>
      </c>
      <c r="H141" t="s">
        <v>1164</v>
      </c>
      <c r="I141">
        <f t="shared" ca="1" si="8"/>
        <v>37</v>
      </c>
      <c r="J141" t="str">
        <f t="shared" ca="1" si="9"/>
        <v>30-39</v>
      </c>
      <c r="K141">
        <v>48509.4</v>
      </c>
      <c r="L141" t="str">
        <f>IF(Workforce[[#This Row],[Salary]]&lt;50000,"30k-49k",IF(Workforce[[#This Row],[Salary]]&lt;70000,"50k-69k",IF(Workforce[[#This Row],[Salary]]&lt;90000,"70k-89k","90k+")))</f>
        <v>30k-49k</v>
      </c>
      <c r="M141" t="s">
        <v>1165</v>
      </c>
      <c r="N141">
        <f t="shared" ca="1" si="10"/>
        <v>1</v>
      </c>
      <c r="O141" t="str">
        <f t="shared" ca="1" si="11"/>
        <v>Beginner</v>
      </c>
    </row>
    <row r="142" spans="1:15" x14ac:dyDescent="0.3">
      <c r="A142" t="s">
        <v>1166</v>
      </c>
      <c r="B142" t="s">
        <v>1167</v>
      </c>
      <c r="C142" t="s">
        <v>1159</v>
      </c>
      <c r="D142" t="s">
        <v>1168</v>
      </c>
      <c r="E142" t="s">
        <v>1169</v>
      </c>
      <c r="F142" t="s">
        <v>1170</v>
      </c>
      <c r="G142" t="s">
        <v>1171</v>
      </c>
      <c r="H142" t="s">
        <v>1172</v>
      </c>
      <c r="I142">
        <f t="shared" ca="1" si="8"/>
        <v>54</v>
      </c>
      <c r="J142" t="str">
        <f t="shared" ca="1" si="9"/>
        <v>50-59</v>
      </c>
      <c r="K142">
        <v>71162.06</v>
      </c>
      <c r="L142" t="str">
        <f>IF(Workforce[[#This Row],[Salary]]&lt;50000,"30k-49k",IF(Workforce[[#This Row],[Salary]]&lt;70000,"50k-69k",IF(Workforce[[#This Row],[Salary]]&lt;90000,"70k-89k","90k+")))</f>
        <v>70k-89k</v>
      </c>
      <c r="M142" t="s">
        <v>1173</v>
      </c>
      <c r="N142">
        <f t="shared" ca="1" si="10"/>
        <v>7</v>
      </c>
      <c r="O142" t="str">
        <f t="shared" ca="1" si="11"/>
        <v>Senior level</v>
      </c>
    </row>
    <row r="143" spans="1:15" x14ac:dyDescent="0.3">
      <c r="A143" t="s">
        <v>1174</v>
      </c>
      <c r="B143" t="s">
        <v>1175</v>
      </c>
      <c r="C143" t="s">
        <v>482</v>
      </c>
      <c r="D143" t="s">
        <v>1176</v>
      </c>
      <c r="E143" t="s">
        <v>1177</v>
      </c>
      <c r="F143" t="s">
        <v>1178</v>
      </c>
      <c r="G143" t="s">
        <v>1179</v>
      </c>
      <c r="H143" t="s">
        <v>1180</v>
      </c>
      <c r="I143">
        <f t="shared" ca="1" si="8"/>
        <v>23</v>
      </c>
      <c r="J143" t="str">
        <f t="shared" ca="1" si="9"/>
        <v>18-29</v>
      </c>
      <c r="K143">
        <v>113027.99</v>
      </c>
      <c r="L143" t="str">
        <f>IF(Workforce[[#This Row],[Salary]]&lt;50000,"30k-49k",IF(Workforce[[#This Row],[Salary]]&lt;70000,"50k-69k",IF(Workforce[[#This Row],[Salary]]&lt;90000,"70k-89k","90k+")))</f>
        <v>90k+</v>
      </c>
      <c r="M143" t="s">
        <v>1181</v>
      </c>
      <c r="N143">
        <f t="shared" ca="1" si="10"/>
        <v>2</v>
      </c>
      <c r="O143" t="str">
        <f t="shared" ca="1" si="11"/>
        <v>Beginner</v>
      </c>
    </row>
    <row r="144" spans="1:15" x14ac:dyDescent="0.3">
      <c r="A144" t="s">
        <v>1182</v>
      </c>
      <c r="B144" t="s">
        <v>1183</v>
      </c>
      <c r="C144" t="s">
        <v>79</v>
      </c>
      <c r="D144" t="s">
        <v>1184</v>
      </c>
      <c r="E144" t="s">
        <v>1185</v>
      </c>
      <c r="F144" t="s">
        <v>1186</v>
      </c>
      <c r="G144" t="s">
        <v>1187</v>
      </c>
      <c r="H144" t="s">
        <v>1188</v>
      </c>
      <c r="I144">
        <f t="shared" ca="1" si="8"/>
        <v>60</v>
      </c>
      <c r="J144" t="str">
        <f t="shared" ca="1" si="9"/>
        <v>60+</v>
      </c>
      <c r="K144">
        <v>107747.78</v>
      </c>
      <c r="L144" t="str">
        <f>IF(Workforce[[#This Row],[Salary]]&lt;50000,"30k-49k",IF(Workforce[[#This Row],[Salary]]&lt;70000,"50k-69k",IF(Workforce[[#This Row],[Salary]]&lt;90000,"70k-89k","90k+")))</f>
        <v>90k+</v>
      </c>
      <c r="M144" t="s">
        <v>1189</v>
      </c>
      <c r="N144">
        <f t="shared" ca="1" si="10"/>
        <v>4</v>
      </c>
      <c r="O144" t="str">
        <f t="shared" ca="1" si="11"/>
        <v>Intermediate level</v>
      </c>
    </row>
    <row r="145" spans="1:15" x14ac:dyDescent="0.3">
      <c r="A145" t="s">
        <v>1190</v>
      </c>
      <c r="B145" t="s">
        <v>1191</v>
      </c>
      <c r="C145" t="s">
        <v>440</v>
      </c>
      <c r="D145" t="s">
        <v>1192</v>
      </c>
      <c r="E145" t="s">
        <v>1193</v>
      </c>
      <c r="F145" t="s">
        <v>1194</v>
      </c>
      <c r="G145" t="s">
        <v>1195</v>
      </c>
      <c r="H145" t="s">
        <v>1196</v>
      </c>
      <c r="I145">
        <f t="shared" ca="1" si="8"/>
        <v>52</v>
      </c>
      <c r="J145" t="str">
        <f t="shared" ca="1" si="9"/>
        <v>50-59</v>
      </c>
      <c r="K145">
        <v>106283.83</v>
      </c>
      <c r="L145" t="str">
        <f>IF(Workforce[[#This Row],[Salary]]&lt;50000,"30k-49k",IF(Workforce[[#This Row],[Salary]]&lt;70000,"50k-69k",IF(Workforce[[#This Row],[Salary]]&lt;90000,"70k-89k","90k+")))</f>
        <v>90k+</v>
      </c>
      <c r="M145" t="s">
        <v>1197</v>
      </c>
      <c r="N145">
        <f t="shared" ca="1" si="10"/>
        <v>1</v>
      </c>
      <c r="O145" t="str">
        <f t="shared" ca="1" si="11"/>
        <v>Beginner</v>
      </c>
    </row>
    <row r="146" spans="1:15" x14ac:dyDescent="0.3">
      <c r="A146" t="s">
        <v>1198</v>
      </c>
      <c r="B146" t="s">
        <v>1199</v>
      </c>
      <c r="C146" t="s">
        <v>187</v>
      </c>
      <c r="D146" t="s">
        <v>1200</v>
      </c>
      <c r="E146" t="s">
        <v>1201</v>
      </c>
      <c r="F146" t="s">
        <v>1202</v>
      </c>
      <c r="G146" t="s">
        <v>1203</v>
      </c>
      <c r="H146" t="s">
        <v>1204</v>
      </c>
      <c r="I146">
        <f t="shared" ca="1" si="8"/>
        <v>59</v>
      </c>
      <c r="J146" t="str">
        <f t="shared" ca="1" si="9"/>
        <v>50-59</v>
      </c>
      <c r="K146">
        <v>76961.02</v>
      </c>
      <c r="L146" t="str">
        <f>IF(Workforce[[#This Row],[Salary]]&lt;50000,"30k-49k",IF(Workforce[[#This Row],[Salary]]&lt;70000,"50k-69k",IF(Workforce[[#This Row],[Salary]]&lt;90000,"70k-89k","90k+")))</f>
        <v>70k-89k</v>
      </c>
      <c r="M146" t="s">
        <v>1205</v>
      </c>
      <c r="N146">
        <f t="shared" ca="1" si="10"/>
        <v>2</v>
      </c>
      <c r="O146" t="str">
        <f t="shared" ca="1" si="11"/>
        <v>Beginner</v>
      </c>
    </row>
    <row r="147" spans="1:15" x14ac:dyDescent="0.3">
      <c r="A147" t="s">
        <v>1206</v>
      </c>
      <c r="B147" t="s">
        <v>1207</v>
      </c>
      <c r="C147" t="s">
        <v>70</v>
      </c>
      <c r="D147" t="s">
        <v>1208</v>
      </c>
      <c r="E147" t="s">
        <v>1209</v>
      </c>
      <c r="F147" t="s">
        <v>1210</v>
      </c>
      <c r="G147" t="s">
        <v>1211</v>
      </c>
      <c r="H147" t="s">
        <v>1212</v>
      </c>
      <c r="I147">
        <f t="shared" ca="1" si="8"/>
        <v>24</v>
      </c>
      <c r="J147" t="str">
        <f t="shared" ca="1" si="9"/>
        <v>18-29</v>
      </c>
      <c r="K147">
        <v>101648.97</v>
      </c>
      <c r="L147" t="str">
        <f>IF(Workforce[[#This Row],[Salary]]&lt;50000,"30k-49k",IF(Workforce[[#This Row],[Salary]]&lt;70000,"50k-69k",IF(Workforce[[#This Row],[Salary]]&lt;90000,"70k-89k","90k+")))</f>
        <v>90k+</v>
      </c>
      <c r="M147" t="s">
        <v>1213</v>
      </c>
      <c r="N147">
        <f t="shared" ca="1" si="10"/>
        <v>3</v>
      </c>
      <c r="O147" t="str">
        <f t="shared" ca="1" si="11"/>
        <v>Intermediate level</v>
      </c>
    </row>
    <row r="148" spans="1:15" x14ac:dyDescent="0.3">
      <c r="A148" t="s">
        <v>1214</v>
      </c>
      <c r="B148" t="s">
        <v>1215</v>
      </c>
      <c r="C148" t="s">
        <v>79</v>
      </c>
      <c r="D148" t="s">
        <v>1216</v>
      </c>
      <c r="E148" t="s">
        <v>1217</v>
      </c>
      <c r="F148" t="s">
        <v>1091</v>
      </c>
      <c r="G148" t="s">
        <v>1218</v>
      </c>
      <c r="H148" t="s">
        <v>1219</v>
      </c>
      <c r="I148">
        <f t="shared" ca="1" si="8"/>
        <v>59</v>
      </c>
      <c r="J148" t="str">
        <f t="shared" ca="1" si="9"/>
        <v>50-59</v>
      </c>
      <c r="K148">
        <v>53146.11</v>
      </c>
      <c r="L148" t="str">
        <f>IF(Workforce[[#This Row],[Salary]]&lt;50000,"30k-49k",IF(Workforce[[#This Row],[Salary]]&lt;70000,"50k-69k",IF(Workforce[[#This Row],[Salary]]&lt;90000,"70k-89k","90k+")))</f>
        <v>50k-69k</v>
      </c>
      <c r="M148" t="s">
        <v>1220</v>
      </c>
      <c r="N148">
        <f t="shared" ca="1" si="10"/>
        <v>2</v>
      </c>
      <c r="O148" t="str">
        <f t="shared" ca="1" si="11"/>
        <v>Beginner</v>
      </c>
    </row>
    <row r="149" spans="1:15" x14ac:dyDescent="0.3">
      <c r="A149" t="s">
        <v>1221</v>
      </c>
      <c r="B149" t="s">
        <v>1222</v>
      </c>
      <c r="C149" t="s">
        <v>1223</v>
      </c>
      <c r="D149" t="s">
        <v>1224</v>
      </c>
      <c r="E149" t="s">
        <v>1225</v>
      </c>
      <c r="F149" t="s">
        <v>1226</v>
      </c>
      <c r="G149" t="s">
        <v>1227</v>
      </c>
      <c r="H149" t="s">
        <v>1228</v>
      </c>
      <c r="I149">
        <f t="shared" ca="1" si="8"/>
        <v>54</v>
      </c>
      <c r="J149" t="str">
        <f t="shared" ca="1" si="9"/>
        <v>50-59</v>
      </c>
      <c r="K149">
        <v>94199.63</v>
      </c>
      <c r="L149" t="str">
        <f>IF(Workforce[[#This Row],[Salary]]&lt;50000,"30k-49k",IF(Workforce[[#This Row],[Salary]]&lt;70000,"50k-69k",IF(Workforce[[#This Row],[Salary]]&lt;90000,"70k-89k","90k+")))</f>
        <v>90k+</v>
      </c>
      <c r="M149" t="s">
        <v>1229</v>
      </c>
      <c r="N149">
        <f t="shared" ca="1" si="10"/>
        <v>5</v>
      </c>
      <c r="O149" t="str">
        <f t="shared" ca="1" si="11"/>
        <v>Intermediate level</v>
      </c>
    </row>
    <row r="150" spans="1:15" x14ac:dyDescent="0.3">
      <c r="A150" t="s">
        <v>1230</v>
      </c>
      <c r="B150" t="s">
        <v>1231</v>
      </c>
      <c r="C150" t="s">
        <v>284</v>
      </c>
      <c r="D150" t="s">
        <v>1232</v>
      </c>
      <c r="E150" t="s">
        <v>1233</v>
      </c>
      <c r="F150" t="s">
        <v>726</v>
      </c>
      <c r="G150" t="s">
        <v>1234</v>
      </c>
      <c r="H150" t="s">
        <v>1235</v>
      </c>
      <c r="I150">
        <f t="shared" ca="1" si="8"/>
        <v>33</v>
      </c>
      <c r="J150" t="str">
        <f t="shared" ca="1" si="9"/>
        <v>30-39</v>
      </c>
      <c r="K150">
        <v>101556.11</v>
      </c>
      <c r="L150" t="str">
        <f>IF(Workforce[[#This Row],[Salary]]&lt;50000,"30k-49k",IF(Workforce[[#This Row],[Salary]]&lt;70000,"50k-69k",IF(Workforce[[#This Row],[Salary]]&lt;90000,"70k-89k","90k+")))</f>
        <v>90k+</v>
      </c>
      <c r="M150" t="s">
        <v>1236</v>
      </c>
      <c r="N150">
        <f t="shared" ca="1" si="10"/>
        <v>3</v>
      </c>
      <c r="O150" t="str">
        <f t="shared" ca="1" si="11"/>
        <v>Intermediate level</v>
      </c>
    </row>
    <row r="151" spans="1:15" x14ac:dyDescent="0.3">
      <c r="A151" t="s">
        <v>1237</v>
      </c>
      <c r="B151" t="s">
        <v>1238</v>
      </c>
      <c r="C151" t="s">
        <v>257</v>
      </c>
      <c r="D151" t="s">
        <v>1239</v>
      </c>
      <c r="E151" t="s">
        <v>1240</v>
      </c>
      <c r="F151" t="s">
        <v>1241</v>
      </c>
      <c r="G151" t="s">
        <v>1242</v>
      </c>
      <c r="H151" t="s">
        <v>1243</v>
      </c>
      <c r="I151">
        <f t="shared" ca="1" si="8"/>
        <v>31</v>
      </c>
      <c r="J151" t="str">
        <f t="shared" ca="1" si="9"/>
        <v>30-39</v>
      </c>
      <c r="K151">
        <v>36861.56</v>
      </c>
      <c r="L151" t="str">
        <f>IF(Workforce[[#This Row],[Salary]]&lt;50000,"30k-49k",IF(Workforce[[#This Row],[Salary]]&lt;70000,"50k-69k",IF(Workforce[[#This Row],[Salary]]&lt;90000,"70k-89k","90k+")))</f>
        <v>30k-49k</v>
      </c>
      <c r="M151" t="s">
        <v>1244</v>
      </c>
      <c r="N151">
        <f t="shared" ca="1" si="10"/>
        <v>3</v>
      </c>
      <c r="O151" t="str">
        <f t="shared" ca="1" si="11"/>
        <v>Intermediate level</v>
      </c>
    </row>
    <row r="152" spans="1:15" x14ac:dyDescent="0.3">
      <c r="A152" t="s">
        <v>1245</v>
      </c>
      <c r="B152" t="s">
        <v>1246</v>
      </c>
      <c r="C152" t="s">
        <v>335</v>
      </c>
      <c r="D152" t="s">
        <v>1247</v>
      </c>
      <c r="E152" t="s">
        <v>1248</v>
      </c>
      <c r="F152" t="s">
        <v>1249</v>
      </c>
      <c r="G152" t="s">
        <v>1250</v>
      </c>
      <c r="H152" t="s">
        <v>1251</v>
      </c>
      <c r="I152">
        <f t="shared" ca="1" si="8"/>
        <v>38</v>
      </c>
      <c r="J152" t="str">
        <f t="shared" ca="1" si="9"/>
        <v>30-39</v>
      </c>
      <c r="K152">
        <v>105176.13</v>
      </c>
      <c r="L152" t="str">
        <f>IF(Workforce[[#This Row],[Salary]]&lt;50000,"30k-49k",IF(Workforce[[#This Row],[Salary]]&lt;70000,"50k-69k",IF(Workforce[[#This Row],[Salary]]&lt;90000,"70k-89k","90k+")))</f>
        <v>90k+</v>
      </c>
      <c r="M152" t="s">
        <v>1252</v>
      </c>
      <c r="N152">
        <f t="shared" ca="1" si="10"/>
        <v>6</v>
      </c>
      <c r="O152" t="str">
        <f t="shared" ca="1" si="11"/>
        <v>Intermediate level</v>
      </c>
    </row>
    <row r="153" spans="1:15" x14ac:dyDescent="0.3">
      <c r="A153" t="s">
        <v>1253</v>
      </c>
      <c r="B153" t="s">
        <v>1254</v>
      </c>
      <c r="C153" t="s">
        <v>26</v>
      </c>
      <c r="D153" t="s">
        <v>1255</v>
      </c>
      <c r="E153" t="s">
        <v>1256</v>
      </c>
      <c r="F153" t="s">
        <v>1257</v>
      </c>
      <c r="G153" t="s">
        <v>1258</v>
      </c>
      <c r="H153" t="s">
        <v>1259</v>
      </c>
      <c r="I153">
        <f t="shared" ca="1" si="8"/>
        <v>22</v>
      </c>
      <c r="J153" t="str">
        <f t="shared" ca="1" si="9"/>
        <v>18-29</v>
      </c>
      <c r="K153">
        <v>42400.82</v>
      </c>
      <c r="L153" t="str">
        <f>IF(Workforce[[#This Row],[Salary]]&lt;50000,"30k-49k",IF(Workforce[[#This Row],[Salary]]&lt;70000,"50k-69k",IF(Workforce[[#This Row],[Salary]]&lt;90000,"70k-89k","90k+")))</f>
        <v>30k-49k</v>
      </c>
      <c r="M153" t="s">
        <v>1260</v>
      </c>
      <c r="N153">
        <f t="shared" ca="1" si="10"/>
        <v>6</v>
      </c>
      <c r="O153" t="str">
        <f t="shared" ca="1" si="11"/>
        <v>Intermediate level</v>
      </c>
    </row>
    <row r="154" spans="1:15" x14ac:dyDescent="0.3">
      <c r="A154" t="s">
        <v>1261</v>
      </c>
      <c r="B154" t="s">
        <v>1262</v>
      </c>
      <c r="C154" t="s">
        <v>35</v>
      </c>
      <c r="D154" t="s">
        <v>1263</v>
      </c>
      <c r="E154" t="s">
        <v>1264</v>
      </c>
      <c r="F154" t="s">
        <v>1265</v>
      </c>
      <c r="G154" t="s">
        <v>1266</v>
      </c>
      <c r="H154" t="s">
        <v>1267</v>
      </c>
      <c r="I154">
        <f t="shared" ca="1" si="8"/>
        <v>43</v>
      </c>
      <c r="J154" t="str">
        <f t="shared" ca="1" si="9"/>
        <v>40-49</v>
      </c>
      <c r="K154">
        <v>87932.34</v>
      </c>
      <c r="L154" t="str">
        <f>IF(Workforce[[#This Row],[Salary]]&lt;50000,"30k-49k",IF(Workforce[[#This Row],[Salary]]&lt;70000,"50k-69k",IF(Workforce[[#This Row],[Salary]]&lt;90000,"70k-89k","90k+")))</f>
        <v>70k-89k</v>
      </c>
      <c r="M154" t="s">
        <v>1268</v>
      </c>
      <c r="N154">
        <f t="shared" ca="1" si="10"/>
        <v>9</v>
      </c>
      <c r="O154" t="str">
        <f t="shared" ca="1" si="11"/>
        <v>Senior level</v>
      </c>
    </row>
    <row r="155" spans="1:15" x14ac:dyDescent="0.3">
      <c r="A155" t="s">
        <v>1269</v>
      </c>
      <c r="B155" t="s">
        <v>1270</v>
      </c>
      <c r="C155" t="s">
        <v>115</v>
      </c>
      <c r="D155" t="s">
        <v>1271</v>
      </c>
      <c r="E155" t="s">
        <v>1272</v>
      </c>
      <c r="F155" t="s">
        <v>1273</v>
      </c>
      <c r="G155" t="s">
        <v>1274</v>
      </c>
      <c r="H155" t="s">
        <v>1275</v>
      </c>
      <c r="I155">
        <f t="shared" ca="1" si="8"/>
        <v>39</v>
      </c>
      <c r="J155" t="str">
        <f t="shared" ca="1" si="9"/>
        <v>30-39</v>
      </c>
      <c r="K155">
        <v>77250.880000000005</v>
      </c>
      <c r="L155" t="str">
        <f>IF(Workforce[[#This Row],[Salary]]&lt;50000,"30k-49k",IF(Workforce[[#This Row],[Salary]]&lt;70000,"50k-69k",IF(Workforce[[#This Row],[Salary]]&lt;90000,"70k-89k","90k+")))</f>
        <v>70k-89k</v>
      </c>
      <c r="M155" t="s">
        <v>1276</v>
      </c>
      <c r="N155">
        <f t="shared" ca="1" si="10"/>
        <v>2</v>
      </c>
      <c r="O155" t="str">
        <f t="shared" ca="1" si="11"/>
        <v>Beginner</v>
      </c>
    </row>
    <row r="156" spans="1:15" x14ac:dyDescent="0.3">
      <c r="A156" t="s">
        <v>1277</v>
      </c>
      <c r="B156" t="s">
        <v>1278</v>
      </c>
      <c r="C156" t="s">
        <v>482</v>
      </c>
      <c r="D156" t="s">
        <v>1279</v>
      </c>
      <c r="E156" t="s">
        <v>1280</v>
      </c>
      <c r="F156" t="s">
        <v>1281</v>
      </c>
      <c r="G156" t="s">
        <v>1282</v>
      </c>
      <c r="H156" t="s">
        <v>1283</v>
      </c>
      <c r="I156">
        <f t="shared" ca="1" si="8"/>
        <v>52</v>
      </c>
      <c r="J156" t="str">
        <f t="shared" ca="1" si="9"/>
        <v>50-59</v>
      </c>
      <c r="K156">
        <v>93926.64</v>
      </c>
      <c r="L156" t="str">
        <f>IF(Workforce[[#This Row],[Salary]]&lt;50000,"30k-49k",IF(Workforce[[#This Row],[Salary]]&lt;70000,"50k-69k",IF(Workforce[[#This Row],[Salary]]&lt;90000,"70k-89k","90k+")))</f>
        <v>90k+</v>
      </c>
      <c r="M156" t="s">
        <v>1284</v>
      </c>
      <c r="N156">
        <f t="shared" ca="1" si="10"/>
        <v>2</v>
      </c>
      <c r="O156" t="str">
        <f t="shared" ca="1" si="11"/>
        <v>Beginner</v>
      </c>
    </row>
    <row r="157" spans="1:15" x14ac:dyDescent="0.3">
      <c r="A157" t="s">
        <v>1285</v>
      </c>
      <c r="B157" t="s">
        <v>1286</v>
      </c>
      <c r="C157" t="s">
        <v>335</v>
      </c>
      <c r="D157" t="s">
        <v>1287</v>
      </c>
      <c r="E157" t="s">
        <v>1288</v>
      </c>
      <c r="F157" t="s">
        <v>1289</v>
      </c>
      <c r="G157" t="s">
        <v>1290</v>
      </c>
      <c r="H157" t="s">
        <v>1291</v>
      </c>
      <c r="I157">
        <f t="shared" ca="1" si="8"/>
        <v>37</v>
      </c>
      <c r="J157" t="str">
        <f t="shared" ca="1" si="9"/>
        <v>30-39</v>
      </c>
      <c r="K157">
        <v>91277.68</v>
      </c>
      <c r="L157" t="str">
        <f>IF(Workforce[[#This Row],[Salary]]&lt;50000,"30k-49k",IF(Workforce[[#This Row],[Salary]]&lt;70000,"50k-69k",IF(Workforce[[#This Row],[Salary]]&lt;90000,"70k-89k","90k+")))</f>
        <v>90k+</v>
      </c>
      <c r="M157" t="s">
        <v>1292</v>
      </c>
      <c r="N157">
        <f t="shared" ca="1" si="10"/>
        <v>4</v>
      </c>
      <c r="O157" t="str">
        <f t="shared" ca="1" si="11"/>
        <v>Intermediate level</v>
      </c>
    </row>
    <row r="158" spans="1:15" x14ac:dyDescent="0.3">
      <c r="A158" t="s">
        <v>1293</v>
      </c>
      <c r="B158" t="s">
        <v>1294</v>
      </c>
      <c r="C158" t="s">
        <v>335</v>
      </c>
      <c r="D158" t="s">
        <v>1295</v>
      </c>
      <c r="E158" t="s">
        <v>1296</v>
      </c>
      <c r="F158" t="s">
        <v>525</v>
      </c>
      <c r="G158" t="s">
        <v>1297</v>
      </c>
      <c r="H158" t="s">
        <v>1298</v>
      </c>
      <c r="I158">
        <f t="shared" ca="1" si="8"/>
        <v>35</v>
      </c>
      <c r="J158" t="str">
        <f t="shared" ca="1" si="9"/>
        <v>30-39</v>
      </c>
      <c r="K158">
        <v>112540.08</v>
      </c>
      <c r="L158" t="str">
        <f>IF(Workforce[[#This Row],[Salary]]&lt;50000,"30k-49k",IF(Workforce[[#This Row],[Salary]]&lt;70000,"50k-69k",IF(Workforce[[#This Row],[Salary]]&lt;90000,"70k-89k","90k+")))</f>
        <v>90k+</v>
      </c>
      <c r="M158" t="s">
        <v>1299</v>
      </c>
      <c r="N158">
        <f t="shared" ca="1" si="10"/>
        <v>6</v>
      </c>
      <c r="O158" t="str">
        <f t="shared" ca="1" si="11"/>
        <v>Intermediate level</v>
      </c>
    </row>
    <row r="159" spans="1:15" x14ac:dyDescent="0.3">
      <c r="A159" t="s">
        <v>1300</v>
      </c>
      <c r="B159" t="s">
        <v>1301</v>
      </c>
      <c r="C159" t="s">
        <v>79</v>
      </c>
      <c r="D159" t="s">
        <v>1302</v>
      </c>
      <c r="E159" t="s">
        <v>1303</v>
      </c>
      <c r="F159" t="s">
        <v>1304</v>
      </c>
      <c r="G159" t="s">
        <v>1305</v>
      </c>
      <c r="H159" t="s">
        <v>1306</v>
      </c>
      <c r="I159">
        <f t="shared" ca="1" si="8"/>
        <v>63</v>
      </c>
      <c r="J159" t="str">
        <f t="shared" ca="1" si="9"/>
        <v>60+</v>
      </c>
      <c r="K159">
        <v>59198.43</v>
      </c>
      <c r="L159" t="str">
        <f>IF(Workforce[[#This Row],[Salary]]&lt;50000,"30k-49k",IF(Workforce[[#This Row],[Salary]]&lt;70000,"50k-69k",IF(Workforce[[#This Row],[Salary]]&lt;90000,"70k-89k","90k+")))</f>
        <v>50k-69k</v>
      </c>
      <c r="M159" t="s">
        <v>1307</v>
      </c>
      <c r="N159">
        <f t="shared" ca="1" si="10"/>
        <v>1</v>
      </c>
      <c r="O159" t="str">
        <f t="shared" ca="1" si="11"/>
        <v>Beginner</v>
      </c>
    </row>
    <row r="160" spans="1:15" x14ac:dyDescent="0.3">
      <c r="A160" t="s">
        <v>1308</v>
      </c>
      <c r="B160" t="s">
        <v>1309</v>
      </c>
      <c r="C160" t="s">
        <v>1043</v>
      </c>
      <c r="D160" t="s">
        <v>1310</v>
      </c>
      <c r="E160" t="s">
        <v>1311</v>
      </c>
      <c r="F160" t="s">
        <v>1312</v>
      </c>
      <c r="G160" t="s">
        <v>1313</v>
      </c>
      <c r="H160" t="s">
        <v>1314</v>
      </c>
      <c r="I160">
        <f t="shared" ca="1" si="8"/>
        <v>38</v>
      </c>
      <c r="J160" t="str">
        <f t="shared" ca="1" si="9"/>
        <v>30-39</v>
      </c>
      <c r="K160">
        <v>88370.02</v>
      </c>
      <c r="L160" t="str">
        <f>IF(Workforce[[#This Row],[Salary]]&lt;50000,"30k-49k",IF(Workforce[[#This Row],[Salary]]&lt;70000,"50k-69k",IF(Workforce[[#This Row],[Salary]]&lt;90000,"70k-89k","90k+")))</f>
        <v>70k-89k</v>
      </c>
      <c r="M160" t="s">
        <v>1315</v>
      </c>
      <c r="N160">
        <f t="shared" ca="1" si="10"/>
        <v>7</v>
      </c>
      <c r="O160" t="str">
        <f t="shared" ca="1" si="11"/>
        <v>Senior level</v>
      </c>
    </row>
    <row r="161" spans="1:15" x14ac:dyDescent="0.3">
      <c r="A161" t="s">
        <v>1316</v>
      </c>
      <c r="B161" t="s">
        <v>1317</v>
      </c>
      <c r="C161" t="s">
        <v>187</v>
      </c>
      <c r="D161" t="s">
        <v>1318</v>
      </c>
      <c r="E161" t="s">
        <v>1319</v>
      </c>
      <c r="F161" t="s">
        <v>1320</v>
      </c>
      <c r="G161" t="s">
        <v>1321</v>
      </c>
      <c r="H161" t="s">
        <v>1322</v>
      </c>
      <c r="I161">
        <f t="shared" ca="1" si="8"/>
        <v>55</v>
      </c>
      <c r="J161" t="str">
        <f t="shared" ca="1" si="9"/>
        <v>50-59</v>
      </c>
      <c r="K161">
        <v>91225.41</v>
      </c>
      <c r="L161" t="str">
        <f>IF(Workforce[[#This Row],[Salary]]&lt;50000,"30k-49k",IF(Workforce[[#This Row],[Salary]]&lt;70000,"50k-69k",IF(Workforce[[#This Row],[Salary]]&lt;90000,"70k-89k","90k+")))</f>
        <v>90k+</v>
      </c>
      <c r="M161" t="s">
        <v>1323</v>
      </c>
      <c r="N161">
        <f t="shared" ca="1" si="10"/>
        <v>10</v>
      </c>
      <c r="O161" t="str">
        <f t="shared" ca="1" si="11"/>
        <v>Senior level</v>
      </c>
    </row>
    <row r="162" spans="1:15" x14ac:dyDescent="0.3">
      <c r="A162" t="s">
        <v>1324</v>
      </c>
      <c r="B162" t="s">
        <v>1325</v>
      </c>
      <c r="C162" t="s">
        <v>580</v>
      </c>
      <c r="D162" t="s">
        <v>1326</v>
      </c>
      <c r="E162" t="s">
        <v>1327</v>
      </c>
      <c r="F162" t="s">
        <v>1328</v>
      </c>
      <c r="G162" t="s">
        <v>1329</v>
      </c>
      <c r="H162" t="s">
        <v>1330</v>
      </c>
      <c r="I162">
        <f t="shared" ca="1" si="8"/>
        <v>27</v>
      </c>
      <c r="J162" t="str">
        <f t="shared" ca="1" si="9"/>
        <v>18-29</v>
      </c>
      <c r="K162">
        <v>79112.509999999995</v>
      </c>
      <c r="L162" t="str">
        <f>IF(Workforce[[#This Row],[Salary]]&lt;50000,"30k-49k",IF(Workforce[[#This Row],[Salary]]&lt;70000,"50k-69k",IF(Workforce[[#This Row],[Salary]]&lt;90000,"70k-89k","90k+")))</f>
        <v>70k-89k</v>
      </c>
      <c r="M162" t="s">
        <v>1331</v>
      </c>
      <c r="N162">
        <f t="shared" ca="1" si="10"/>
        <v>2</v>
      </c>
      <c r="O162" t="str">
        <f t="shared" ca="1" si="11"/>
        <v>Beginner</v>
      </c>
    </row>
    <row r="163" spans="1:15" x14ac:dyDescent="0.3">
      <c r="A163" t="s">
        <v>1332</v>
      </c>
      <c r="B163" t="s">
        <v>1333</v>
      </c>
      <c r="C163" t="s">
        <v>482</v>
      </c>
      <c r="D163" t="s">
        <v>1334</v>
      </c>
      <c r="E163" t="s">
        <v>1335</v>
      </c>
      <c r="F163" t="s">
        <v>998</v>
      </c>
      <c r="G163" t="s">
        <v>1336</v>
      </c>
      <c r="H163" t="s">
        <v>1337</v>
      </c>
      <c r="I163">
        <f t="shared" ca="1" si="8"/>
        <v>30</v>
      </c>
      <c r="J163" t="str">
        <f t="shared" ca="1" si="9"/>
        <v>30-39</v>
      </c>
      <c r="K163">
        <v>50932.6</v>
      </c>
      <c r="L163" t="str">
        <f>IF(Workforce[[#This Row],[Salary]]&lt;50000,"30k-49k",IF(Workforce[[#This Row],[Salary]]&lt;70000,"50k-69k",IF(Workforce[[#This Row],[Salary]]&lt;90000,"70k-89k","90k+")))</f>
        <v>50k-69k</v>
      </c>
      <c r="M163" t="s">
        <v>1338</v>
      </c>
      <c r="N163">
        <f t="shared" ca="1" si="10"/>
        <v>8</v>
      </c>
      <c r="O163" t="str">
        <f t="shared" ca="1" si="11"/>
        <v>Senior level</v>
      </c>
    </row>
    <row r="164" spans="1:15" x14ac:dyDescent="0.3">
      <c r="A164" t="s">
        <v>1339</v>
      </c>
      <c r="B164" t="s">
        <v>1340</v>
      </c>
      <c r="C164" t="s">
        <v>106</v>
      </c>
      <c r="D164" t="s">
        <v>1341</v>
      </c>
      <c r="E164" t="s">
        <v>1342</v>
      </c>
      <c r="F164" t="s">
        <v>1343</v>
      </c>
      <c r="G164" t="s">
        <v>1344</v>
      </c>
      <c r="H164" t="s">
        <v>1345</v>
      </c>
      <c r="I164">
        <f t="shared" ca="1" si="8"/>
        <v>27</v>
      </c>
      <c r="J164" t="str">
        <f t="shared" ca="1" si="9"/>
        <v>18-29</v>
      </c>
      <c r="K164">
        <v>74731.570000000007</v>
      </c>
      <c r="L164" t="str">
        <f>IF(Workforce[[#This Row],[Salary]]&lt;50000,"30k-49k",IF(Workforce[[#This Row],[Salary]]&lt;70000,"50k-69k",IF(Workforce[[#This Row],[Salary]]&lt;90000,"70k-89k","90k+")))</f>
        <v>70k-89k</v>
      </c>
      <c r="M164" t="s">
        <v>1346</v>
      </c>
      <c r="N164">
        <f t="shared" ca="1" si="10"/>
        <v>2</v>
      </c>
      <c r="O164" t="str">
        <f t="shared" ca="1" si="11"/>
        <v>Beginner</v>
      </c>
    </row>
    <row r="165" spans="1:15" x14ac:dyDescent="0.3">
      <c r="A165" t="s">
        <v>1347</v>
      </c>
      <c r="B165" t="s">
        <v>1348</v>
      </c>
      <c r="C165" t="s">
        <v>124</v>
      </c>
      <c r="D165" t="s">
        <v>1349</v>
      </c>
      <c r="E165" t="s">
        <v>1350</v>
      </c>
      <c r="F165" t="s">
        <v>1351</v>
      </c>
      <c r="G165" t="s">
        <v>1352</v>
      </c>
      <c r="H165" t="s">
        <v>1353</v>
      </c>
      <c r="I165">
        <f t="shared" ca="1" si="8"/>
        <v>42</v>
      </c>
      <c r="J165" t="str">
        <f t="shared" ca="1" si="9"/>
        <v>40-49</v>
      </c>
      <c r="K165">
        <v>37260.269999999997</v>
      </c>
      <c r="L165" t="str">
        <f>IF(Workforce[[#This Row],[Salary]]&lt;50000,"30k-49k",IF(Workforce[[#This Row],[Salary]]&lt;70000,"50k-69k",IF(Workforce[[#This Row],[Salary]]&lt;90000,"70k-89k","90k+")))</f>
        <v>30k-49k</v>
      </c>
      <c r="M165" t="s">
        <v>1354</v>
      </c>
      <c r="N165">
        <f t="shared" ca="1" si="10"/>
        <v>7</v>
      </c>
      <c r="O165" t="str">
        <f t="shared" ca="1" si="11"/>
        <v>Senior level</v>
      </c>
    </row>
    <row r="166" spans="1:15" x14ac:dyDescent="0.3">
      <c r="A166" t="s">
        <v>1355</v>
      </c>
      <c r="B166" t="s">
        <v>1356</v>
      </c>
      <c r="C166" t="s">
        <v>79</v>
      </c>
      <c r="D166" t="s">
        <v>1357</v>
      </c>
      <c r="E166" t="s">
        <v>1358</v>
      </c>
      <c r="F166" t="s">
        <v>1015</v>
      </c>
      <c r="G166" t="s">
        <v>1359</v>
      </c>
      <c r="H166" t="s">
        <v>1360</v>
      </c>
      <c r="I166">
        <f t="shared" ca="1" si="8"/>
        <v>47</v>
      </c>
      <c r="J166" t="str">
        <f t="shared" ca="1" si="9"/>
        <v>40-49</v>
      </c>
      <c r="K166">
        <v>72624.59</v>
      </c>
      <c r="L166" t="str">
        <f>IF(Workforce[[#This Row],[Salary]]&lt;50000,"30k-49k",IF(Workforce[[#This Row],[Salary]]&lt;70000,"50k-69k",IF(Workforce[[#This Row],[Salary]]&lt;90000,"70k-89k","90k+")))</f>
        <v>70k-89k</v>
      </c>
      <c r="M166" t="s">
        <v>1361</v>
      </c>
      <c r="N166">
        <f t="shared" ca="1" si="10"/>
        <v>7</v>
      </c>
      <c r="O166" t="str">
        <f t="shared" ca="1" si="11"/>
        <v>Senior level</v>
      </c>
    </row>
    <row r="167" spans="1:15" x14ac:dyDescent="0.3">
      <c r="A167" t="s">
        <v>1362</v>
      </c>
      <c r="B167" t="s">
        <v>1363</v>
      </c>
      <c r="C167" t="s">
        <v>440</v>
      </c>
      <c r="D167" t="s">
        <v>1364</v>
      </c>
      <c r="E167" t="s">
        <v>1365</v>
      </c>
      <c r="F167" t="s">
        <v>1366</v>
      </c>
      <c r="G167" t="s">
        <v>1367</v>
      </c>
      <c r="H167" t="s">
        <v>1368</v>
      </c>
      <c r="I167">
        <f t="shared" ca="1" si="8"/>
        <v>28</v>
      </c>
      <c r="J167" t="str">
        <f t="shared" ca="1" si="9"/>
        <v>18-29</v>
      </c>
      <c r="K167">
        <v>62285.65</v>
      </c>
      <c r="L167" t="str">
        <f>IF(Workforce[[#This Row],[Salary]]&lt;50000,"30k-49k",IF(Workforce[[#This Row],[Salary]]&lt;70000,"50k-69k",IF(Workforce[[#This Row],[Salary]]&lt;90000,"70k-89k","90k+")))</f>
        <v>50k-69k</v>
      </c>
      <c r="M167" t="s">
        <v>1369</v>
      </c>
      <c r="N167">
        <f t="shared" ca="1" si="10"/>
        <v>5</v>
      </c>
      <c r="O167" t="str">
        <f t="shared" ca="1" si="11"/>
        <v>Intermediate level</v>
      </c>
    </row>
    <row r="168" spans="1:15" x14ac:dyDescent="0.3">
      <c r="A168" t="s">
        <v>1370</v>
      </c>
      <c r="B168" t="s">
        <v>1371</v>
      </c>
      <c r="C168" t="s">
        <v>580</v>
      </c>
      <c r="D168" t="s">
        <v>1372</v>
      </c>
      <c r="E168" t="s">
        <v>1373</v>
      </c>
      <c r="F168" t="s">
        <v>443</v>
      </c>
      <c r="G168" t="s">
        <v>1374</v>
      </c>
      <c r="H168" t="s">
        <v>1375</v>
      </c>
      <c r="I168">
        <f t="shared" ca="1" si="8"/>
        <v>56</v>
      </c>
      <c r="J168" t="str">
        <f t="shared" ca="1" si="9"/>
        <v>50-59</v>
      </c>
      <c r="K168">
        <v>91255.360000000001</v>
      </c>
      <c r="L168" t="str">
        <f>IF(Workforce[[#This Row],[Salary]]&lt;50000,"30k-49k",IF(Workforce[[#This Row],[Salary]]&lt;70000,"50k-69k",IF(Workforce[[#This Row],[Salary]]&lt;90000,"70k-89k","90k+")))</f>
        <v>90k+</v>
      </c>
      <c r="M168" t="s">
        <v>1376</v>
      </c>
      <c r="N168">
        <f t="shared" ca="1" si="10"/>
        <v>7</v>
      </c>
      <c r="O168" t="str">
        <f t="shared" ca="1" si="11"/>
        <v>Senior level</v>
      </c>
    </row>
    <row r="169" spans="1:15" x14ac:dyDescent="0.3">
      <c r="A169" t="s">
        <v>1377</v>
      </c>
      <c r="B169" t="s">
        <v>1378</v>
      </c>
      <c r="C169" t="s">
        <v>257</v>
      </c>
      <c r="D169" t="s">
        <v>1379</v>
      </c>
      <c r="E169" t="s">
        <v>1380</v>
      </c>
      <c r="F169" t="s">
        <v>815</v>
      </c>
      <c r="G169" t="s">
        <v>1381</v>
      </c>
      <c r="H169" t="s">
        <v>1382</v>
      </c>
      <c r="I169">
        <f t="shared" ca="1" si="8"/>
        <v>31</v>
      </c>
      <c r="J169" t="str">
        <f t="shared" ca="1" si="9"/>
        <v>30-39</v>
      </c>
      <c r="K169">
        <v>80750.100000000006</v>
      </c>
      <c r="L169" t="str">
        <f>IF(Workforce[[#This Row],[Salary]]&lt;50000,"30k-49k",IF(Workforce[[#This Row],[Salary]]&lt;70000,"50k-69k",IF(Workforce[[#This Row],[Salary]]&lt;90000,"70k-89k","90k+")))</f>
        <v>70k-89k</v>
      </c>
      <c r="M169" t="s">
        <v>1383</v>
      </c>
      <c r="N169">
        <f t="shared" ca="1" si="10"/>
        <v>9</v>
      </c>
      <c r="O169" t="str">
        <f t="shared" ca="1" si="11"/>
        <v>Senior level</v>
      </c>
    </row>
    <row r="170" spans="1:15" x14ac:dyDescent="0.3">
      <c r="A170" t="s">
        <v>1384</v>
      </c>
      <c r="B170" t="s">
        <v>1385</v>
      </c>
      <c r="C170" t="s">
        <v>1223</v>
      </c>
      <c r="D170" t="s">
        <v>1386</v>
      </c>
      <c r="E170" t="s">
        <v>1387</v>
      </c>
      <c r="F170" t="s">
        <v>1388</v>
      </c>
      <c r="G170" t="s">
        <v>1389</v>
      </c>
      <c r="H170" t="s">
        <v>1390</v>
      </c>
      <c r="I170">
        <f t="shared" ca="1" si="8"/>
        <v>42</v>
      </c>
      <c r="J170" t="str">
        <f t="shared" ca="1" si="9"/>
        <v>40-49</v>
      </c>
      <c r="K170">
        <v>118582.35</v>
      </c>
      <c r="L170" t="str">
        <f>IF(Workforce[[#This Row],[Salary]]&lt;50000,"30k-49k",IF(Workforce[[#This Row],[Salary]]&lt;70000,"50k-69k",IF(Workforce[[#This Row],[Salary]]&lt;90000,"70k-89k","90k+")))</f>
        <v>90k+</v>
      </c>
      <c r="M170" t="s">
        <v>1391</v>
      </c>
      <c r="N170">
        <f t="shared" ca="1" si="10"/>
        <v>3</v>
      </c>
      <c r="O170" t="str">
        <f t="shared" ca="1" si="11"/>
        <v>Intermediate level</v>
      </c>
    </row>
    <row r="171" spans="1:15" x14ac:dyDescent="0.3">
      <c r="A171" t="s">
        <v>1392</v>
      </c>
      <c r="B171" t="s">
        <v>1393</v>
      </c>
      <c r="C171" t="s">
        <v>151</v>
      </c>
      <c r="D171" t="s">
        <v>1394</v>
      </c>
      <c r="E171" t="s">
        <v>1395</v>
      </c>
      <c r="F171" t="s">
        <v>1396</v>
      </c>
      <c r="G171" t="s">
        <v>1397</v>
      </c>
      <c r="H171" t="s">
        <v>1398</v>
      </c>
      <c r="I171">
        <f t="shared" ca="1" si="8"/>
        <v>28</v>
      </c>
      <c r="J171" t="str">
        <f t="shared" ca="1" si="9"/>
        <v>18-29</v>
      </c>
      <c r="K171">
        <v>67247.8</v>
      </c>
      <c r="L171" t="str">
        <f>IF(Workforce[[#This Row],[Salary]]&lt;50000,"30k-49k",IF(Workforce[[#This Row],[Salary]]&lt;70000,"50k-69k",IF(Workforce[[#This Row],[Salary]]&lt;90000,"70k-89k","90k+")))</f>
        <v>50k-69k</v>
      </c>
      <c r="M171" t="s">
        <v>1399</v>
      </c>
      <c r="N171">
        <f t="shared" ca="1" si="10"/>
        <v>8</v>
      </c>
      <c r="O171" t="str">
        <f t="shared" ca="1" si="11"/>
        <v>Senior level</v>
      </c>
    </row>
    <row r="172" spans="1:15" x14ac:dyDescent="0.3">
      <c r="A172" t="s">
        <v>1400</v>
      </c>
      <c r="B172" t="s">
        <v>1401</v>
      </c>
      <c r="C172" t="s">
        <v>275</v>
      </c>
      <c r="D172" t="s">
        <v>1402</v>
      </c>
      <c r="E172" t="s">
        <v>1403</v>
      </c>
      <c r="F172" t="s">
        <v>199</v>
      </c>
      <c r="G172" t="s">
        <v>1404</v>
      </c>
      <c r="H172" t="s">
        <v>1405</v>
      </c>
      <c r="I172">
        <f t="shared" ca="1" si="8"/>
        <v>50</v>
      </c>
      <c r="J172" t="str">
        <f t="shared" ca="1" si="9"/>
        <v>50-59</v>
      </c>
      <c r="K172">
        <v>114573.28</v>
      </c>
      <c r="L172" t="str">
        <f>IF(Workforce[[#This Row],[Salary]]&lt;50000,"30k-49k",IF(Workforce[[#This Row],[Salary]]&lt;70000,"50k-69k",IF(Workforce[[#This Row],[Salary]]&lt;90000,"70k-89k","90k+")))</f>
        <v>90k+</v>
      </c>
      <c r="M172" t="s">
        <v>1406</v>
      </c>
      <c r="N172">
        <f t="shared" ca="1" si="10"/>
        <v>10</v>
      </c>
      <c r="O172" t="str">
        <f t="shared" ca="1" si="11"/>
        <v>Senior level</v>
      </c>
    </row>
    <row r="173" spans="1:15" x14ac:dyDescent="0.3">
      <c r="A173" t="s">
        <v>1407</v>
      </c>
      <c r="B173" t="s">
        <v>1408</v>
      </c>
      <c r="C173" t="s">
        <v>266</v>
      </c>
      <c r="D173" t="s">
        <v>1409</v>
      </c>
      <c r="E173" t="s">
        <v>1410</v>
      </c>
      <c r="F173" t="s">
        <v>734</v>
      </c>
      <c r="G173" t="s">
        <v>1411</v>
      </c>
      <c r="H173" t="s">
        <v>1412</v>
      </c>
      <c r="I173">
        <f t="shared" ca="1" si="8"/>
        <v>19</v>
      </c>
      <c r="J173" t="str">
        <f t="shared" ca="1" si="9"/>
        <v>18-29</v>
      </c>
      <c r="K173">
        <v>48900.25</v>
      </c>
      <c r="L173" t="str">
        <f>IF(Workforce[[#This Row],[Salary]]&lt;50000,"30k-49k",IF(Workforce[[#This Row],[Salary]]&lt;70000,"50k-69k",IF(Workforce[[#This Row],[Salary]]&lt;90000,"70k-89k","90k+")))</f>
        <v>30k-49k</v>
      </c>
      <c r="M173" t="s">
        <v>1413</v>
      </c>
      <c r="N173">
        <f t="shared" ca="1" si="10"/>
        <v>5</v>
      </c>
      <c r="O173" t="str">
        <f t="shared" ca="1" si="11"/>
        <v>Intermediate level</v>
      </c>
    </row>
    <row r="174" spans="1:15" x14ac:dyDescent="0.3">
      <c r="A174" t="s">
        <v>1414</v>
      </c>
      <c r="B174" t="s">
        <v>1415</v>
      </c>
      <c r="C174" t="s">
        <v>79</v>
      </c>
      <c r="D174" t="s">
        <v>1416</v>
      </c>
      <c r="E174" t="s">
        <v>1417</v>
      </c>
      <c r="F174" t="s">
        <v>1418</v>
      </c>
      <c r="G174" t="s">
        <v>1419</v>
      </c>
      <c r="H174" t="s">
        <v>1420</v>
      </c>
      <c r="I174">
        <f t="shared" ca="1" si="8"/>
        <v>19</v>
      </c>
      <c r="J174" t="str">
        <f t="shared" ca="1" si="9"/>
        <v>18-29</v>
      </c>
      <c r="K174">
        <v>42915.89</v>
      </c>
      <c r="L174" t="str">
        <f>IF(Workforce[[#This Row],[Salary]]&lt;50000,"30k-49k",IF(Workforce[[#This Row],[Salary]]&lt;70000,"50k-69k",IF(Workforce[[#This Row],[Salary]]&lt;90000,"70k-89k","90k+")))</f>
        <v>30k-49k</v>
      </c>
      <c r="M174" t="s">
        <v>1421</v>
      </c>
      <c r="N174">
        <f t="shared" ca="1" si="10"/>
        <v>10</v>
      </c>
      <c r="O174" t="str">
        <f t="shared" ca="1" si="11"/>
        <v>Senior level</v>
      </c>
    </row>
    <row r="175" spans="1:15" x14ac:dyDescent="0.3">
      <c r="A175" t="s">
        <v>1422</v>
      </c>
      <c r="B175" t="s">
        <v>1423</v>
      </c>
      <c r="C175" t="s">
        <v>653</v>
      </c>
      <c r="D175" t="s">
        <v>1424</v>
      </c>
      <c r="E175" t="s">
        <v>1425</v>
      </c>
      <c r="F175" t="s">
        <v>1426</v>
      </c>
      <c r="G175" t="s">
        <v>1427</v>
      </c>
      <c r="H175" t="s">
        <v>1428</v>
      </c>
      <c r="I175">
        <f t="shared" ca="1" si="8"/>
        <v>57</v>
      </c>
      <c r="J175" t="str">
        <f t="shared" ca="1" si="9"/>
        <v>50-59</v>
      </c>
      <c r="K175">
        <v>105444.82</v>
      </c>
      <c r="L175" t="str">
        <f>IF(Workforce[[#This Row],[Salary]]&lt;50000,"30k-49k",IF(Workforce[[#This Row],[Salary]]&lt;70000,"50k-69k",IF(Workforce[[#This Row],[Salary]]&lt;90000,"70k-89k","90k+")))</f>
        <v>90k+</v>
      </c>
      <c r="M175" t="s">
        <v>1429</v>
      </c>
      <c r="N175">
        <f t="shared" ca="1" si="10"/>
        <v>0</v>
      </c>
      <c r="O175" t="str">
        <f t="shared" ca="1" si="11"/>
        <v>Beginner</v>
      </c>
    </row>
    <row r="176" spans="1:15" x14ac:dyDescent="0.3">
      <c r="A176" t="s">
        <v>1430</v>
      </c>
      <c r="B176" t="s">
        <v>1431</v>
      </c>
      <c r="C176" t="s">
        <v>196</v>
      </c>
      <c r="D176" t="s">
        <v>1432</v>
      </c>
      <c r="E176" t="s">
        <v>1433</v>
      </c>
      <c r="F176" t="s">
        <v>1434</v>
      </c>
      <c r="G176" t="s">
        <v>1435</v>
      </c>
      <c r="H176" t="s">
        <v>1436</v>
      </c>
      <c r="I176">
        <f t="shared" ca="1" si="8"/>
        <v>37</v>
      </c>
      <c r="J176" t="str">
        <f t="shared" ca="1" si="9"/>
        <v>30-39</v>
      </c>
      <c r="K176">
        <v>83835.06</v>
      </c>
      <c r="L176" t="str">
        <f>IF(Workforce[[#This Row],[Salary]]&lt;50000,"30k-49k",IF(Workforce[[#This Row],[Salary]]&lt;70000,"50k-69k",IF(Workforce[[#This Row],[Salary]]&lt;90000,"70k-89k","90k+")))</f>
        <v>70k-89k</v>
      </c>
      <c r="M176" t="s">
        <v>1437</v>
      </c>
      <c r="N176">
        <f t="shared" ca="1" si="10"/>
        <v>3</v>
      </c>
      <c r="O176" t="str">
        <f t="shared" ca="1" si="11"/>
        <v>Intermediate level</v>
      </c>
    </row>
    <row r="177" spans="1:15" x14ac:dyDescent="0.3">
      <c r="A177" t="s">
        <v>1438</v>
      </c>
      <c r="B177" t="s">
        <v>1439</v>
      </c>
      <c r="C177" t="s">
        <v>151</v>
      </c>
      <c r="D177" t="s">
        <v>1440</v>
      </c>
      <c r="E177" t="s">
        <v>1441</v>
      </c>
      <c r="F177" t="s">
        <v>1442</v>
      </c>
      <c r="G177" t="s">
        <v>1443</v>
      </c>
      <c r="H177" t="s">
        <v>1444</v>
      </c>
      <c r="I177">
        <f t="shared" ca="1" si="8"/>
        <v>43</v>
      </c>
      <c r="J177" t="str">
        <f t="shared" ca="1" si="9"/>
        <v>40-49</v>
      </c>
      <c r="K177">
        <v>61985.69</v>
      </c>
      <c r="L177" t="str">
        <f>IF(Workforce[[#This Row],[Salary]]&lt;50000,"30k-49k",IF(Workforce[[#This Row],[Salary]]&lt;70000,"50k-69k",IF(Workforce[[#This Row],[Salary]]&lt;90000,"70k-89k","90k+")))</f>
        <v>50k-69k</v>
      </c>
      <c r="M177" t="s">
        <v>1445</v>
      </c>
      <c r="N177">
        <f t="shared" ca="1" si="10"/>
        <v>5</v>
      </c>
      <c r="O177" t="str">
        <f t="shared" ca="1" si="11"/>
        <v>Intermediate level</v>
      </c>
    </row>
    <row r="178" spans="1:15" x14ac:dyDescent="0.3">
      <c r="A178" t="s">
        <v>1446</v>
      </c>
      <c r="B178" t="s">
        <v>1447</v>
      </c>
      <c r="C178" t="s">
        <v>580</v>
      </c>
      <c r="D178" t="s">
        <v>1448</v>
      </c>
      <c r="E178" t="s">
        <v>1449</v>
      </c>
      <c r="F178" t="s">
        <v>1450</v>
      </c>
      <c r="G178" t="s">
        <v>1451</v>
      </c>
      <c r="H178" t="s">
        <v>1452</v>
      </c>
      <c r="I178">
        <f t="shared" ca="1" si="8"/>
        <v>52</v>
      </c>
      <c r="J178" t="str">
        <f t="shared" ca="1" si="9"/>
        <v>50-59</v>
      </c>
      <c r="K178">
        <v>112148.52</v>
      </c>
      <c r="L178" t="str">
        <f>IF(Workforce[[#This Row],[Salary]]&lt;50000,"30k-49k",IF(Workforce[[#This Row],[Salary]]&lt;70000,"50k-69k",IF(Workforce[[#This Row],[Salary]]&lt;90000,"70k-89k","90k+")))</f>
        <v>90k+</v>
      </c>
      <c r="M178" t="s">
        <v>1453</v>
      </c>
      <c r="N178">
        <f t="shared" ca="1" si="10"/>
        <v>1</v>
      </c>
      <c r="O178" t="str">
        <f t="shared" ca="1" si="11"/>
        <v>Beginner</v>
      </c>
    </row>
    <row r="179" spans="1:15" x14ac:dyDescent="0.3">
      <c r="A179" t="s">
        <v>1454</v>
      </c>
      <c r="B179" t="s">
        <v>1455</v>
      </c>
      <c r="C179" t="s">
        <v>1159</v>
      </c>
      <c r="D179" t="s">
        <v>1456</v>
      </c>
      <c r="E179" t="s">
        <v>1457</v>
      </c>
      <c r="F179" t="s">
        <v>1131</v>
      </c>
      <c r="G179" t="s">
        <v>1458</v>
      </c>
      <c r="H179" t="s">
        <v>1459</v>
      </c>
      <c r="I179">
        <f t="shared" ca="1" si="8"/>
        <v>54</v>
      </c>
      <c r="J179" t="str">
        <f t="shared" ca="1" si="9"/>
        <v>50-59</v>
      </c>
      <c r="K179">
        <v>91304.63</v>
      </c>
      <c r="L179" t="str">
        <f>IF(Workforce[[#This Row],[Salary]]&lt;50000,"30k-49k",IF(Workforce[[#This Row],[Salary]]&lt;70000,"50k-69k",IF(Workforce[[#This Row],[Salary]]&lt;90000,"70k-89k","90k+")))</f>
        <v>90k+</v>
      </c>
      <c r="M179" t="s">
        <v>1460</v>
      </c>
      <c r="N179">
        <f t="shared" ca="1" si="10"/>
        <v>6</v>
      </c>
      <c r="O179" t="str">
        <f t="shared" ca="1" si="11"/>
        <v>Intermediate level</v>
      </c>
    </row>
    <row r="180" spans="1:15" x14ac:dyDescent="0.3">
      <c r="A180" t="s">
        <v>1461</v>
      </c>
      <c r="B180" t="s">
        <v>1462</v>
      </c>
      <c r="C180" t="s">
        <v>97</v>
      </c>
      <c r="D180" t="s">
        <v>1463</v>
      </c>
      <c r="E180" t="s">
        <v>1464</v>
      </c>
      <c r="F180" t="s">
        <v>1465</v>
      </c>
      <c r="G180" t="s">
        <v>1466</v>
      </c>
      <c r="H180" t="s">
        <v>1467</v>
      </c>
      <c r="I180">
        <f t="shared" ca="1" si="8"/>
        <v>60</v>
      </c>
      <c r="J180" t="str">
        <f t="shared" ca="1" si="9"/>
        <v>60+</v>
      </c>
      <c r="K180">
        <v>112312.41</v>
      </c>
      <c r="L180" t="str">
        <f>IF(Workforce[[#This Row],[Salary]]&lt;50000,"30k-49k",IF(Workforce[[#This Row],[Salary]]&lt;70000,"50k-69k",IF(Workforce[[#This Row],[Salary]]&lt;90000,"70k-89k","90k+")))</f>
        <v>90k+</v>
      </c>
      <c r="M180" t="s">
        <v>1468</v>
      </c>
      <c r="N180">
        <f t="shared" ca="1" si="10"/>
        <v>8</v>
      </c>
      <c r="O180" t="str">
        <f t="shared" ca="1" si="11"/>
        <v>Senior level</v>
      </c>
    </row>
    <row r="181" spans="1:15" x14ac:dyDescent="0.3">
      <c r="A181" t="s">
        <v>1469</v>
      </c>
      <c r="B181" t="s">
        <v>1470</v>
      </c>
      <c r="C181" t="s">
        <v>17</v>
      </c>
      <c r="D181" t="s">
        <v>1471</v>
      </c>
      <c r="E181" t="s">
        <v>1472</v>
      </c>
      <c r="F181" t="s">
        <v>1473</v>
      </c>
      <c r="G181" t="s">
        <v>1474</v>
      </c>
      <c r="H181" t="s">
        <v>1475</v>
      </c>
      <c r="I181">
        <f t="shared" ca="1" si="8"/>
        <v>27</v>
      </c>
      <c r="J181" t="str">
        <f t="shared" ca="1" si="9"/>
        <v>18-29</v>
      </c>
      <c r="K181">
        <v>61613.41</v>
      </c>
      <c r="L181" t="str">
        <f>IF(Workforce[[#This Row],[Salary]]&lt;50000,"30k-49k",IF(Workforce[[#This Row],[Salary]]&lt;70000,"50k-69k",IF(Workforce[[#This Row],[Salary]]&lt;90000,"70k-89k","90k+")))</f>
        <v>50k-69k</v>
      </c>
      <c r="M181" t="s">
        <v>1476</v>
      </c>
      <c r="N181">
        <f t="shared" ca="1" si="10"/>
        <v>1</v>
      </c>
      <c r="O181" t="str">
        <f t="shared" ca="1" si="11"/>
        <v>Beginner</v>
      </c>
    </row>
    <row r="182" spans="1:15" x14ac:dyDescent="0.3">
      <c r="A182" t="s">
        <v>1477</v>
      </c>
      <c r="B182" t="s">
        <v>1478</v>
      </c>
      <c r="C182" t="s">
        <v>70</v>
      </c>
      <c r="D182" t="s">
        <v>1479</v>
      </c>
      <c r="E182" t="s">
        <v>1480</v>
      </c>
      <c r="F182" t="s">
        <v>386</v>
      </c>
      <c r="G182" t="s">
        <v>1481</v>
      </c>
      <c r="H182" t="s">
        <v>1482</v>
      </c>
      <c r="I182">
        <f t="shared" ca="1" si="8"/>
        <v>60</v>
      </c>
      <c r="J182" t="str">
        <f t="shared" ca="1" si="9"/>
        <v>60+</v>
      </c>
      <c r="K182">
        <v>42698.39</v>
      </c>
      <c r="L182" t="str">
        <f>IF(Workforce[[#This Row],[Salary]]&lt;50000,"30k-49k",IF(Workforce[[#This Row],[Salary]]&lt;70000,"50k-69k",IF(Workforce[[#This Row],[Salary]]&lt;90000,"70k-89k","90k+")))</f>
        <v>30k-49k</v>
      </c>
      <c r="M182" t="s">
        <v>1483</v>
      </c>
      <c r="N182">
        <f t="shared" ca="1" si="10"/>
        <v>7</v>
      </c>
      <c r="O182" t="str">
        <f t="shared" ca="1" si="11"/>
        <v>Senior level</v>
      </c>
    </row>
    <row r="183" spans="1:15" x14ac:dyDescent="0.3">
      <c r="A183" t="s">
        <v>1484</v>
      </c>
      <c r="B183" t="s">
        <v>1485</v>
      </c>
      <c r="C183" t="s">
        <v>1223</v>
      </c>
      <c r="D183" t="s">
        <v>1486</v>
      </c>
      <c r="E183" t="s">
        <v>1487</v>
      </c>
      <c r="F183" t="s">
        <v>1488</v>
      </c>
      <c r="G183" t="s">
        <v>1489</v>
      </c>
      <c r="H183" t="s">
        <v>1490</v>
      </c>
      <c r="I183">
        <f t="shared" ca="1" si="8"/>
        <v>46</v>
      </c>
      <c r="J183" t="str">
        <f t="shared" ca="1" si="9"/>
        <v>40-49</v>
      </c>
      <c r="K183">
        <v>116703.88</v>
      </c>
      <c r="L183" t="str">
        <f>IF(Workforce[[#This Row],[Salary]]&lt;50000,"30k-49k",IF(Workforce[[#This Row],[Salary]]&lt;70000,"50k-69k",IF(Workforce[[#This Row],[Salary]]&lt;90000,"70k-89k","90k+")))</f>
        <v>90k+</v>
      </c>
      <c r="M183" t="s">
        <v>1491</v>
      </c>
      <c r="N183">
        <f t="shared" ca="1" si="10"/>
        <v>7</v>
      </c>
      <c r="O183" t="str">
        <f t="shared" ca="1" si="11"/>
        <v>Senior level</v>
      </c>
    </row>
    <row r="184" spans="1:15" x14ac:dyDescent="0.3">
      <c r="A184" t="s">
        <v>1492</v>
      </c>
      <c r="B184" t="s">
        <v>1493</v>
      </c>
      <c r="C184" t="s">
        <v>757</v>
      </c>
      <c r="D184" t="s">
        <v>1494</v>
      </c>
      <c r="E184" t="s">
        <v>1495</v>
      </c>
      <c r="F184" t="s">
        <v>517</v>
      </c>
      <c r="G184" t="s">
        <v>1496</v>
      </c>
      <c r="H184" t="s">
        <v>1497</v>
      </c>
      <c r="I184">
        <f t="shared" ca="1" si="8"/>
        <v>60</v>
      </c>
      <c r="J184" t="str">
        <f t="shared" ca="1" si="9"/>
        <v>60+</v>
      </c>
      <c r="K184">
        <v>74193.490000000005</v>
      </c>
      <c r="L184" t="str">
        <f>IF(Workforce[[#This Row],[Salary]]&lt;50000,"30k-49k",IF(Workforce[[#This Row],[Salary]]&lt;70000,"50k-69k",IF(Workforce[[#This Row],[Salary]]&lt;90000,"70k-89k","90k+")))</f>
        <v>70k-89k</v>
      </c>
      <c r="M184" t="s">
        <v>1498</v>
      </c>
      <c r="N184">
        <f t="shared" ca="1" si="10"/>
        <v>6</v>
      </c>
      <c r="O184" t="str">
        <f t="shared" ca="1" si="11"/>
        <v>Intermediate level</v>
      </c>
    </row>
    <row r="185" spans="1:15" x14ac:dyDescent="0.3">
      <c r="A185" t="s">
        <v>1499</v>
      </c>
      <c r="B185" t="s">
        <v>1500</v>
      </c>
      <c r="C185" t="s">
        <v>17</v>
      </c>
      <c r="D185" t="s">
        <v>1501</v>
      </c>
      <c r="E185" t="s">
        <v>1502</v>
      </c>
      <c r="F185" t="s">
        <v>1503</v>
      </c>
      <c r="G185" t="s">
        <v>1504</v>
      </c>
      <c r="H185" t="s">
        <v>1505</v>
      </c>
      <c r="I185">
        <f t="shared" ca="1" si="8"/>
        <v>65</v>
      </c>
      <c r="J185" t="str">
        <f t="shared" ca="1" si="9"/>
        <v>60+</v>
      </c>
      <c r="K185">
        <v>57753.66</v>
      </c>
      <c r="L185" t="str">
        <f>IF(Workforce[[#This Row],[Salary]]&lt;50000,"30k-49k",IF(Workforce[[#This Row],[Salary]]&lt;70000,"50k-69k",IF(Workforce[[#This Row],[Salary]]&lt;90000,"70k-89k","90k+")))</f>
        <v>50k-69k</v>
      </c>
      <c r="M185" t="s">
        <v>1506</v>
      </c>
      <c r="N185">
        <f t="shared" ca="1" si="10"/>
        <v>3</v>
      </c>
      <c r="O185" t="str">
        <f t="shared" ca="1" si="11"/>
        <v>Intermediate level</v>
      </c>
    </row>
    <row r="186" spans="1:15" x14ac:dyDescent="0.3">
      <c r="A186" t="s">
        <v>1507</v>
      </c>
      <c r="B186" t="s">
        <v>1508</v>
      </c>
      <c r="C186" t="s">
        <v>70</v>
      </c>
      <c r="D186" t="s">
        <v>1509</v>
      </c>
      <c r="E186" t="s">
        <v>1510</v>
      </c>
      <c r="F186" t="s">
        <v>1511</v>
      </c>
      <c r="G186" t="s">
        <v>1512</v>
      </c>
      <c r="H186" t="s">
        <v>1513</v>
      </c>
      <c r="I186">
        <f t="shared" ca="1" si="8"/>
        <v>58</v>
      </c>
      <c r="J186" t="str">
        <f t="shared" ca="1" si="9"/>
        <v>50-59</v>
      </c>
      <c r="K186">
        <v>58805.01</v>
      </c>
      <c r="L186" t="str">
        <f>IF(Workforce[[#This Row],[Salary]]&lt;50000,"30k-49k",IF(Workforce[[#This Row],[Salary]]&lt;70000,"50k-69k",IF(Workforce[[#This Row],[Salary]]&lt;90000,"70k-89k","90k+")))</f>
        <v>50k-69k</v>
      </c>
      <c r="M186" t="s">
        <v>1514</v>
      </c>
      <c r="N186">
        <f t="shared" ca="1" si="10"/>
        <v>6</v>
      </c>
      <c r="O186" t="str">
        <f t="shared" ca="1" si="11"/>
        <v>Intermediate level</v>
      </c>
    </row>
    <row r="187" spans="1:15" x14ac:dyDescent="0.3">
      <c r="A187" t="s">
        <v>1515</v>
      </c>
      <c r="B187" t="s">
        <v>1516</v>
      </c>
      <c r="C187" t="s">
        <v>757</v>
      </c>
      <c r="D187" t="s">
        <v>1517</v>
      </c>
      <c r="E187" t="s">
        <v>1518</v>
      </c>
      <c r="F187" t="s">
        <v>1265</v>
      </c>
      <c r="G187" t="s">
        <v>304</v>
      </c>
      <c r="H187" t="s">
        <v>1519</v>
      </c>
      <c r="I187">
        <f t="shared" ca="1" si="8"/>
        <v>26</v>
      </c>
      <c r="J187" t="str">
        <f t="shared" ca="1" si="9"/>
        <v>18-29</v>
      </c>
      <c r="K187">
        <v>54777.82</v>
      </c>
      <c r="L187" t="str">
        <f>IF(Workforce[[#This Row],[Salary]]&lt;50000,"30k-49k",IF(Workforce[[#This Row],[Salary]]&lt;70000,"50k-69k",IF(Workforce[[#This Row],[Salary]]&lt;90000,"70k-89k","90k+")))</f>
        <v>50k-69k</v>
      </c>
      <c r="M187" t="s">
        <v>1520</v>
      </c>
      <c r="N187">
        <f t="shared" ca="1" si="10"/>
        <v>7</v>
      </c>
      <c r="O187" t="str">
        <f t="shared" ca="1" si="11"/>
        <v>Senior level</v>
      </c>
    </row>
    <row r="188" spans="1:15" x14ac:dyDescent="0.3">
      <c r="A188" t="s">
        <v>1521</v>
      </c>
      <c r="B188" t="s">
        <v>1522</v>
      </c>
      <c r="C188" t="s">
        <v>604</v>
      </c>
      <c r="D188" t="s">
        <v>1523</v>
      </c>
      <c r="E188" t="s">
        <v>1524</v>
      </c>
      <c r="F188" t="s">
        <v>1525</v>
      </c>
      <c r="G188" t="s">
        <v>1526</v>
      </c>
      <c r="H188" t="s">
        <v>1527</v>
      </c>
      <c r="I188">
        <f t="shared" ca="1" si="8"/>
        <v>46</v>
      </c>
      <c r="J188" t="str">
        <f t="shared" ca="1" si="9"/>
        <v>40-49</v>
      </c>
      <c r="K188">
        <v>117529.41</v>
      </c>
      <c r="L188" t="str">
        <f>IF(Workforce[[#This Row],[Salary]]&lt;50000,"30k-49k",IF(Workforce[[#This Row],[Salary]]&lt;70000,"50k-69k",IF(Workforce[[#This Row],[Salary]]&lt;90000,"70k-89k","90k+")))</f>
        <v>90k+</v>
      </c>
      <c r="M188" t="s">
        <v>1528</v>
      </c>
      <c r="N188">
        <f t="shared" ca="1" si="10"/>
        <v>5</v>
      </c>
      <c r="O188" t="str">
        <f t="shared" ca="1" si="11"/>
        <v>Intermediate level</v>
      </c>
    </row>
    <row r="189" spans="1:15" x14ac:dyDescent="0.3">
      <c r="A189" t="s">
        <v>1529</v>
      </c>
      <c r="B189" t="s">
        <v>1530</v>
      </c>
      <c r="C189" t="s">
        <v>115</v>
      </c>
      <c r="D189" t="s">
        <v>1531</v>
      </c>
      <c r="E189" t="s">
        <v>1532</v>
      </c>
      <c r="F189" t="s">
        <v>1533</v>
      </c>
      <c r="G189" t="s">
        <v>1534</v>
      </c>
      <c r="H189" t="s">
        <v>1535</v>
      </c>
      <c r="I189">
        <f t="shared" ca="1" si="8"/>
        <v>32</v>
      </c>
      <c r="J189" t="str">
        <f t="shared" ca="1" si="9"/>
        <v>30-39</v>
      </c>
      <c r="K189">
        <v>94186.7</v>
      </c>
      <c r="L189" t="str">
        <f>IF(Workforce[[#This Row],[Salary]]&lt;50000,"30k-49k",IF(Workforce[[#This Row],[Salary]]&lt;70000,"50k-69k",IF(Workforce[[#This Row],[Salary]]&lt;90000,"70k-89k","90k+")))</f>
        <v>90k+</v>
      </c>
      <c r="M189" t="s">
        <v>1536</v>
      </c>
      <c r="N189">
        <f t="shared" ca="1" si="10"/>
        <v>3</v>
      </c>
      <c r="O189" t="str">
        <f t="shared" ca="1" si="11"/>
        <v>Intermediate level</v>
      </c>
    </row>
    <row r="190" spans="1:15" x14ac:dyDescent="0.3">
      <c r="A190" t="s">
        <v>1537</v>
      </c>
      <c r="B190" t="s">
        <v>1538</v>
      </c>
      <c r="C190" t="s">
        <v>115</v>
      </c>
      <c r="D190" t="s">
        <v>1539</v>
      </c>
      <c r="E190" t="s">
        <v>1540</v>
      </c>
      <c r="F190" t="s">
        <v>1541</v>
      </c>
      <c r="G190" t="s">
        <v>1542</v>
      </c>
      <c r="H190" t="s">
        <v>1543</v>
      </c>
      <c r="I190">
        <f t="shared" ca="1" si="8"/>
        <v>19</v>
      </c>
      <c r="J190" t="str">
        <f t="shared" ca="1" si="9"/>
        <v>18-29</v>
      </c>
      <c r="K190">
        <v>57315.040000000001</v>
      </c>
      <c r="L190" t="str">
        <f>IF(Workforce[[#This Row],[Salary]]&lt;50000,"30k-49k",IF(Workforce[[#This Row],[Salary]]&lt;70000,"50k-69k",IF(Workforce[[#This Row],[Salary]]&lt;90000,"70k-89k","90k+")))</f>
        <v>50k-69k</v>
      </c>
      <c r="M190" t="s">
        <v>1544</v>
      </c>
      <c r="N190">
        <f t="shared" ca="1" si="10"/>
        <v>2</v>
      </c>
      <c r="O190" t="str">
        <f t="shared" ca="1" si="11"/>
        <v>Beginner</v>
      </c>
    </row>
    <row r="191" spans="1:15" x14ac:dyDescent="0.3">
      <c r="A191" t="s">
        <v>1545</v>
      </c>
      <c r="B191" t="s">
        <v>1546</v>
      </c>
      <c r="C191" t="s">
        <v>17</v>
      </c>
      <c r="D191" t="s">
        <v>1547</v>
      </c>
      <c r="E191" t="s">
        <v>1548</v>
      </c>
      <c r="F191" t="s">
        <v>1549</v>
      </c>
      <c r="G191" t="s">
        <v>1550</v>
      </c>
      <c r="H191" t="s">
        <v>1551</v>
      </c>
      <c r="I191">
        <f t="shared" ca="1" si="8"/>
        <v>45</v>
      </c>
      <c r="J191" t="str">
        <f t="shared" ca="1" si="9"/>
        <v>40-49</v>
      </c>
      <c r="K191">
        <v>119874.21</v>
      </c>
      <c r="L191" t="str">
        <f>IF(Workforce[[#This Row],[Salary]]&lt;50000,"30k-49k",IF(Workforce[[#This Row],[Salary]]&lt;70000,"50k-69k",IF(Workforce[[#This Row],[Salary]]&lt;90000,"70k-89k","90k+")))</f>
        <v>90k+</v>
      </c>
      <c r="M191" t="s">
        <v>1552</v>
      </c>
      <c r="N191">
        <f t="shared" ca="1" si="10"/>
        <v>2</v>
      </c>
      <c r="O191" t="str">
        <f t="shared" ca="1" si="11"/>
        <v>Beginner</v>
      </c>
    </row>
    <row r="192" spans="1:15" x14ac:dyDescent="0.3">
      <c r="A192" t="s">
        <v>1553</v>
      </c>
      <c r="B192" t="s">
        <v>1554</v>
      </c>
      <c r="C192" t="s">
        <v>757</v>
      </c>
      <c r="D192" t="s">
        <v>1555</v>
      </c>
      <c r="E192" t="s">
        <v>1556</v>
      </c>
      <c r="F192" t="s">
        <v>1557</v>
      </c>
      <c r="G192" t="s">
        <v>1558</v>
      </c>
      <c r="H192" t="s">
        <v>1559</v>
      </c>
      <c r="I192">
        <f t="shared" ca="1" si="8"/>
        <v>26</v>
      </c>
      <c r="J192" t="str">
        <f t="shared" ca="1" si="9"/>
        <v>18-29</v>
      </c>
      <c r="K192">
        <v>92108.2</v>
      </c>
      <c r="L192" t="str">
        <f>IF(Workforce[[#This Row],[Salary]]&lt;50000,"30k-49k",IF(Workforce[[#This Row],[Salary]]&lt;70000,"50k-69k",IF(Workforce[[#This Row],[Salary]]&lt;90000,"70k-89k","90k+")))</f>
        <v>90k+</v>
      </c>
      <c r="M192" t="s">
        <v>1560</v>
      </c>
      <c r="N192">
        <f t="shared" ca="1" si="10"/>
        <v>5</v>
      </c>
      <c r="O192" t="str">
        <f t="shared" ca="1" si="11"/>
        <v>Intermediate level</v>
      </c>
    </row>
    <row r="193" spans="1:15" x14ac:dyDescent="0.3">
      <c r="A193" t="s">
        <v>1561</v>
      </c>
      <c r="B193" t="s">
        <v>1562</v>
      </c>
      <c r="C193" t="s">
        <v>213</v>
      </c>
      <c r="D193" t="s">
        <v>1563</v>
      </c>
      <c r="E193" t="s">
        <v>1564</v>
      </c>
      <c r="F193" t="s">
        <v>958</v>
      </c>
      <c r="G193" t="s">
        <v>1565</v>
      </c>
      <c r="H193" t="s">
        <v>1566</v>
      </c>
      <c r="I193">
        <f t="shared" ca="1" si="8"/>
        <v>20</v>
      </c>
      <c r="J193" t="str">
        <f t="shared" ca="1" si="9"/>
        <v>18-29</v>
      </c>
      <c r="K193">
        <v>119739.89</v>
      </c>
      <c r="L193" t="str">
        <f>IF(Workforce[[#This Row],[Salary]]&lt;50000,"30k-49k",IF(Workforce[[#This Row],[Salary]]&lt;70000,"50k-69k",IF(Workforce[[#This Row],[Salary]]&lt;90000,"70k-89k","90k+")))</f>
        <v>90k+</v>
      </c>
      <c r="M193" t="s">
        <v>1567</v>
      </c>
      <c r="N193">
        <f t="shared" ca="1" si="10"/>
        <v>10</v>
      </c>
      <c r="O193" t="str">
        <f t="shared" ca="1" si="11"/>
        <v>Senior level</v>
      </c>
    </row>
    <row r="194" spans="1:15" x14ac:dyDescent="0.3">
      <c r="A194" t="s">
        <v>1568</v>
      </c>
      <c r="B194" t="s">
        <v>1569</v>
      </c>
      <c r="C194" t="s">
        <v>35</v>
      </c>
      <c r="D194" t="s">
        <v>1570</v>
      </c>
      <c r="E194" t="s">
        <v>1571</v>
      </c>
      <c r="F194" t="s">
        <v>1572</v>
      </c>
      <c r="G194" t="s">
        <v>1573</v>
      </c>
      <c r="H194" t="s">
        <v>1574</v>
      </c>
      <c r="I194">
        <f t="shared" ref="I194:I257" ca="1" si="12">DATEDIF(H194,TODAY(),"y")</f>
        <v>64</v>
      </c>
      <c r="J194" t="str">
        <f t="shared" ref="J194:J257" ca="1" si="13">IF(I194&lt;30,"18-29",IF(I194&lt;40,"30-39",IF(I194&lt;50,"40-49",IF(I194&lt;60,"50-59","60+"))))</f>
        <v>60+</v>
      </c>
      <c r="K194">
        <v>42120.33</v>
      </c>
      <c r="L194" t="str">
        <f>IF(Workforce[[#This Row],[Salary]]&lt;50000,"30k-49k",IF(Workforce[[#This Row],[Salary]]&lt;70000,"50k-69k",IF(Workforce[[#This Row],[Salary]]&lt;90000,"70k-89k","90k+")))</f>
        <v>30k-49k</v>
      </c>
      <c r="M194" t="s">
        <v>1575</v>
      </c>
      <c r="N194">
        <f t="shared" ref="N194:N257" ca="1" si="14">DATEDIF(M194,TODAY(),"y")</f>
        <v>6</v>
      </c>
      <c r="O194" t="str">
        <f t="shared" ref="O194:O257" ca="1" si="15">IF(N194&lt;=2,"Beginner",IF(N194&lt;=6,"Intermediate level","Senior level"))</f>
        <v>Intermediate level</v>
      </c>
    </row>
    <row r="195" spans="1:15" x14ac:dyDescent="0.3">
      <c r="A195" t="s">
        <v>1576</v>
      </c>
      <c r="B195" t="s">
        <v>1577</v>
      </c>
      <c r="C195" t="s">
        <v>653</v>
      </c>
      <c r="D195" t="s">
        <v>1578</v>
      </c>
      <c r="E195" t="s">
        <v>1579</v>
      </c>
      <c r="F195" t="s">
        <v>1580</v>
      </c>
      <c r="G195" t="s">
        <v>1581</v>
      </c>
      <c r="H195" t="s">
        <v>1582</v>
      </c>
      <c r="I195">
        <f t="shared" ca="1" si="12"/>
        <v>65</v>
      </c>
      <c r="J195" t="str">
        <f t="shared" ca="1" si="13"/>
        <v>60+</v>
      </c>
      <c r="K195">
        <v>90097.27</v>
      </c>
      <c r="L195" t="str">
        <f>IF(Workforce[[#This Row],[Salary]]&lt;50000,"30k-49k",IF(Workforce[[#This Row],[Salary]]&lt;70000,"50k-69k",IF(Workforce[[#This Row],[Salary]]&lt;90000,"70k-89k","90k+")))</f>
        <v>90k+</v>
      </c>
      <c r="M195" t="s">
        <v>1583</v>
      </c>
      <c r="N195">
        <f t="shared" ca="1" si="14"/>
        <v>1</v>
      </c>
      <c r="O195" t="str">
        <f t="shared" ca="1" si="15"/>
        <v>Beginner</v>
      </c>
    </row>
    <row r="196" spans="1:15" x14ac:dyDescent="0.3">
      <c r="A196" t="s">
        <v>1584</v>
      </c>
      <c r="B196" t="s">
        <v>1585</v>
      </c>
      <c r="C196" t="s">
        <v>335</v>
      </c>
      <c r="D196" t="s">
        <v>1586</v>
      </c>
      <c r="E196" t="s">
        <v>1587</v>
      </c>
      <c r="F196" t="s">
        <v>1588</v>
      </c>
      <c r="G196" t="s">
        <v>1589</v>
      </c>
      <c r="H196" t="s">
        <v>1590</v>
      </c>
      <c r="I196">
        <f t="shared" ca="1" si="12"/>
        <v>61</v>
      </c>
      <c r="J196" t="str">
        <f t="shared" ca="1" si="13"/>
        <v>60+</v>
      </c>
      <c r="K196">
        <v>85938.02</v>
      </c>
      <c r="L196" t="str">
        <f>IF(Workforce[[#This Row],[Salary]]&lt;50000,"30k-49k",IF(Workforce[[#This Row],[Salary]]&lt;70000,"50k-69k",IF(Workforce[[#This Row],[Salary]]&lt;90000,"70k-89k","90k+")))</f>
        <v>70k-89k</v>
      </c>
      <c r="M196" t="s">
        <v>1591</v>
      </c>
      <c r="N196">
        <f t="shared" ca="1" si="14"/>
        <v>8</v>
      </c>
      <c r="O196" t="str">
        <f t="shared" ca="1" si="15"/>
        <v>Senior level</v>
      </c>
    </row>
    <row r="197" spans="1:15" x14ac:dyDescent="0.3">
      <c r="A197" t="s">
        <v>1592</v>
      </c>
      <c r="B197" t="s">
        <v>1593</v>
      </c>
      <c r="C197" t="s">
        <v>757</v>
      </c>
      <c r="D197" t="s">
        <v>1594</v>
      </c>
      <c r="E197" t="s">
        <v>1595</v>
      </c>
      <c r="F197" t="s">
        <v>1596</v>
      </c>
      <c r="G197" t="s">
        <v>1597</v>
      </c>
      <c r="H197" t="s">
        <v>1598</v>
      </c>
      <c r="I197">
        <f t="shared" ca="1" si="12"/>
        <v>34</v>
      </c>
      <c r="J197" t="str">
        <f t="shared" ca="1" si="13"/>
        <v>30-39</v>
      </c>
      <c r="K197">
        <v>97593.23</v>
      </c>
      <c r="L197" t="str">
        <f>IF(Workforce[[#This Row],[Salary]]&lt;50000,"30k-49k",IF(Workforce[[#This Row],[Salary]]&lt;70000,"50k-69k",IF(Workforce[[#This Row],[Salary]]&lt;90000,"70k-89k","90k+")))</f>
        <v>90k+</v>
      </c>
      <c r="M197" t="s">
        <v>1599</v>
      </c>
      <c r="N197">
        <f t="shared" ca="1" si="14"/>
        <v>4</v>
      </c>
      <c r="O197" t="str">
        <f t="shared" ca="1" si="15"/>
        <v>Intermediate level</v>
      </c>
    </row>
    <row r="198" spans="1:15" x14ac:dyDescent="0.3">
      <c r="A198" t="s">
        <v>1600</v>
      </c>
      <c r="B198" t="s">
        <v>1601</v>
      </c>
      <c r="C198" t="s">
        <v>1159</v>
      </c>
      <c r="D198" t="s">
        <v>1602</v>
      </c>
      <c r="E198" t="s">
        <v>1603</v>
      </c>
      <c r="F198" t="s">
        <v>639</v>
      </c>
      <c r="G198" t="s">
        <v>1604</v>
      </c>
      <c r="H198" t="s">
        <v>1605</v>
      </c>
      <c r="I198">
        <f t="shared" ca="1" si="12"/>
        <v>48</v>
      </c>
      <c r="J198" t="str">
        <f t="shared" ca="1" si="13"/>
        <v>40-49</v>
      </c>
      <c r="K198">
        <v>87658.58</v>
      </c>
      <c r="L198" t="str">
        <f>IF(Workforce[[#This Row],[Salary]]&lt;50000,"30k-49k",IF(Workforce[[#This Row],[Salary]]&lt;70000,"50k-69k",IF(Workforce[[#This Row],[Salary]]&lt;90000,"70k-89k","90k+")))</f>
        <v>70k-89k</v>
      </c>
      <c r="M198" t="s">
        <v>1606</v>
      </c>
      <c r="N198">
        <f t="shared" ca="1" si="14"/>
        <v>10</v>
      </c>
      <c r="O198" t="str">
        <f t="shared" ca="1" si="15"/>
        <v>Senior level</v>
      </c>
    </row>
    <row r="199" spans="1:15" x14ac:dyDescent="0.3">
      <c r="A199" t="s">
        <v>1607</v>
      </c>
      <c r="B199" t="s">
        <v>1608</v>
      </c>
      <c r="C199" t="s">
        <v>266</v>
      </c>
      <c r="D199" t="s">
        <v>1609</v>
      </c>
      <c r="E199" t="s">
        <v>1610</v>
      </c>
      <c r="F199" t="s">
        <v>1611</v>
      </c>
      <c r="G199" t="s">
        <v>1550</v>
      </c>
      <c r="H199" t="s">
        <v>1612</v>
      </c>
      <c r="I199">
        <f t="shared" ca="1" si="12"/>
        <v>66</v>
      </c>
      <c r="J199" t="str">
        <f t="shared" ca="1" si="13"/>
        <v>60+</v>
      </c>
      <c r="K199">
        <v>60060.18</v>
      </c>
      <c r="L199" t="str">
        <f>IF(Workforce[[#This Row],[Salary]]&lt;50000,"30k-49k",IF(Workforce[[#This Row],[Salary]]&lt;70000,"50k-69k",IF(Workforce[[#This Row],[Salary]]&lt;90000,"70k-89k","90k+")))</f>
        <v>50k-69k</v>
      </c>
      <c r="M199" t="s">
        <v>1613</v>
      </c>
      <c r="N199">
        <f t="shared" ca="1" si="14"/>
        <v>1</v>
      </c>
      <c r="O199" t="str">
        <f t="shared" ca="1" si="15"/>
        <v>Beginner</v>
      </c>
    </row>
    <row r="200" spans="1:15" x14ac:dyDescent="0.3">
      <c r="A200" t="s">
        <v>1614</v>
      </c>
      <c r="B200" t="s">
        <v>1615</v>
      </c>
      <c r="C200" t="s">
        <v>231</v>
      </c>
      <c r="D200" t="s">
        <v>1616</v>
      </c>
      <c r="E200" t="s">
        <v>1617</v>
      </c>
      <c r="F200" t="s">
        <v>1618</v>
      </c>
      <c r="G200" t="s">
        <v>1619</v>
      </c>
      <c r="H200" t="s">
        <v>1620</v>
      </c>
      <c r="I200">
        <f t="shared" ca="1" si="12"/>
        <v>59</v>
      </c>
      <c r="J200" t="str">
        <f t="shared" ca="1" si="13"/>
        <v>50-59</v>
      </c>
      <c r="K200">
        <v>48370.98</v>
      </c>
      <c r="L200" t="str">
        <f>IF(Workforce[[#This Row],[Salary]]&lt;50000,"30k-49k",IF(Workforce[[#This Row],[Salary]]&lt;70000,"50k-69k",IF(Workforce[[#This Row],[Salary]]&lt;90000,"70k-89k","90k+")))</f>
        <v>30k-49k</v>
      </c>
      <c r="M200" t="s">
        <v>1621</v>
      </c>
      <c r="N200">
        <f t="shared" ca="1" si="14"/>
        <v>5</v>
      </c>
      <c r="O200" t="str">
        <f t="shared" ca="1" si="15"/>
        <v>Intermediate level</v>
      </c>
    </row>
    <row r="201" spans="1:15" x14ac:dyDescent="0.3">
      <c r="A201" t="s">
        <v>1622</v>
      </c>
      <c r="B201" t="s">
        <v>1623</v>
      </c>
      <c r="C201" t="s">
        <v>142</v>
      </c>
      <c r="D201" t="s">
        <v>1624</v>
      </c>
      <c r="E201" t="s">
        <v>1625</v>
      </c>
      <c r="F201" t="s">
        <v>1626</v>
      </c>
      <c r="G201" t="s">
        <v>1627</v>
      </c>
      <c r="H201" t="s">
        <v>1628</v>
      </c>
      <c r="I201">
        <f t="shared" ca="1" si="12"/>
        <v>56</v>
      </c>
      <c r="J201" t="str">
        <f t="shared" ca="1" si="13"/>
        <v>50-59</v>
      </c>
      <c r="K201">
        <v>104610.01</v>
      </c>
      <c r="L201" t="str">
        <f>IF(Workforce[[#This Row],[Salary]]&lt;50000,"30k-49k",IF(Workforce[[#This Row],[Salary]]&lt;70000,"50k-69k",IF(Workforce[[#This Row],[Salary]]&lt;90000,"70k-89k","90k+")))</f>
        <v>90k+</v>
      </c>
      <c r="M201" t="s">
        <v>1629</v>
      </c>
      <c r="N201">
        <f t="shared" ca="1" si="14"/>
        <v>6</v>
      </c>
      <c r="O201" t="str">
        <f t="shared" ca="1" si="15"/>
        <v>Intermediate level</v>
      </c>
    </row>
    <row r="202" spans="1:15" x14ac:dyDescent="0.3">
      <c r="A202" t="s">
        <v>1630</v>
      </c>
      <c r="B202" t="s">
        <v>1631</v>
      </c>
      <c r="C202" t="s">
        <v>231</v>
      </c>
      <c r="D202" t="s">
        <v>1632</v>
      </c>
      <c r="E202" t="s">
        <v>1633</v>
      </c>
      <c r="F202" t="s">
        <v>1634</v>
      </c>
      <c r="G202" t="s">
        <v>1635</v>
      </c>
      <c r="H202" t="s">
        <v>1636</v>
      </c>
      <c r="I202">
        <f t="shared" ca="1" si="12"/>
        <v>65</v>
      </c>
      <c r="J202" t="str">
        <f t="shared" ca="1" si="13"/>
        <v>60+</v>
      </c>
      <c r="K202">
        <v>59260.7</v>
      </c>
      <c r="L202" t="str">
        <f>IF(Workforce[[#This Row],[Salary]]&lt;50000,"30k-49k",IF(Workforce[[#This Row],[Salary]]&lt;70000,"50k-69k",IF(Workforce[[#This Row],[Salary]]&lt;90000,"70k-89k","90k+")))</f>
        <v>50k-69k</v>
      </c>
      <c r="M202" t="s">
        <v>1637</v>
      </c>
      <c r="N202">
        <f t="shared" ca="1" si="14"/>
        <v>8</v>
      </c>
      <c r="O202" t="str">
        <f t="shared" ca="1" si="15"/>
        <v>Senior level</v>
      </c>
    </row>
    <row r="203" spans="1:15" x14ac:dyDescent="0.3">
      <c r="A203" t="s">
        <v>1638</v>
      </c>
      <c r="B203" t="s">
        <v>1639</v>
      </c>
      <c r="C203" t="s">
        <v>240</v>
      </c>
      <c r="D203" t="s">
        <v>1640</v>
      </c>
      <c r="E203" t="s">
        <v>1641</v>
      </c>
      <c r="F203" t="s">
        <v>1642</v>
      </c>
      <c r="G203" t="s">
        <v>1643</v>
      </c>
      <c r="H203" t="s">
        <v>1644</v>
      </c>
      <c r="I203">
        <f t="shared" ca="1" si="12"/>
        <v>47</v>
      </c>
      <c r="J203" t="str">
        <f t="shared" ca="1" si="13"/>
        <v>40-49</v>
      </c>
      <c r="K203">
        <v>94323.82</v>
      </c>
      <c r="L203" t="str">
        <f>IF(Workforce[[#This Row],[Salary]]&lt;50000,"30k-49k",IF(Workforce[[#This Row],[Salary]]&lt;70000,"50k-69k",IF(Workforce[[#This Row],[Salary]]&lt;90000,"70k-89k","90k+")))</f>
        <v>90k+</v>
      </c>
      <c r="M203" t="s">
        <v>1645</v>
      </c>
      <c r="N203">
        <f t="shared" ca="1" si="14"/>
        <v>3</v>
      </c>
      <c r="O203" t="str">
        <f t="shared" ca="1" si="15"/>
        <v>Intermediate level</v>
      </c>
    </row>
    <row r="204" spans="1:15" x14ac:dyDescent="0.3">
      <c r="A204" t="s">
        <v>1646</v>
      </c>
      <c r="B204" t="s">
        <v>1647</v>
      </c>
      <c r="C204" t="s">
        <v>106</v>
      </c>
      <c r="D204" t="s">
        <v>1648</v>
      </c>
      <c r="E204" t="s">
        <v>1649</v>
      </c>
      <c r="F204" t="s">
        <v>345</v>
      </c>
      <c r="G204" t="s">
        <v>1650</v>
      </c>
      <c r="H204" t="s">
        <v>1651</v>
      </c>
      <c r="I204">
        <f t="shared" ca="1" si="12"/>
        <v>41</v>
      </c>
      <c r="J204" t="str">
        <f t="shared" ca="1" si="13"/>
        <v>40-49</v>
      </c>
      <c r="K204">
        <v>42213.79</v>
      </c>
      <c r="L204" t="str">
        <f>IF(Workforce[[#This Row],[Salary]]&lt;50000,"30k-49k",IF(Workforce[[#This Row],[Salary]]&lt;70000,"50k-69k",IF(Workforce[[#This Row],[Salary]]&lt;90000,"70k-89k","90k+")))</f>
        <v>30k-49k</v>
      </c>
      <c r="M204" t="s">
        <v>1652</v>
      </c>
      <c r="N204">
        <f t="shared" ca="1" si="14"/>
        <v>7</v>
      </c>
      <c r="O204" t="str">
        <f t="shared" ca="1" si="15"/>
        <v>Senior level</v>
      </c>
    </row>
    <row r="205" spans="1:15" x14ac:dyDescent="0.3">
      <c r="A205" t="s">
        <v>1653</v>
      </c>
      <c r="B205" t="s">
        <v>1654</v>
      </c>
      <c r="C205" t="s">
        <v>748</v>
      </c>
      <c r="D205" t="s">
        <v>1655</v>
      </c>
      <c r="E205" t="s">
        <v>1656</v>
      </c>
      <c r="F205" t="s">
        <v>1657</v>
      </c>
      <c r="G205" t="s">
        <v>1658</v>
      </c>
      <c r="H205" t="s">
        <v>1659</v>
      </c>
      <c r="I205">
        <f t="shared" ca="1" si="12"/>
        <v>38</v>
      </c>
      <c r="J205" t="str">
        <f t="shared" ca="1" si="13"/>
        <v>30-39</v>
      </c>
      <c r="K205">
        <v>115012.6</v>
      </c>
      <c r="L205" t="str">
        <f>IF(Workforce[[#This Row],[Salary]]&lt;50000,"30k-49k",IF(Workforce[[#This Row],[Salary]]&lt;70000,"50k-69k",IF(Workforce[[#This Row],[Salary]]&lt;90000,"70k-89k","90k+")))</f>
        <v>90k+</v>
      </c>
      <c r="M205" t="s">
        <v>1660</v>
      </c>
      <c r="N205">
        <f t="shared" ca="1" si="14"/>
        <v>9</v>
      </c>
      <c r="O205" t="str">
        <f t="shared" ca="1" si="15"/>
        <v>Senior level</v>
      </c>
    </row>
    <row r="206" spans="1:15" x14ac:dyDescent="0.3">
      <c r="A206" t="s">
        <v>1661</v>
      </c>
      <c r="B206" t="s">
        <v>1662</v>
      </c>
      <c r="C206" t="s">
        <v>106</v>
      </c>
      <c r="D206" t="s">
        <v>1663</v>
      </c>
      <c r="E206" t="s">
        <v>1664</v>
      </c>
      <c r="F206" t="s">
        <v>1665</v>
      </c>
      <c r="G206" t="s">
        <v>1666</v>
      </c>
      <c r="H206" t="s">
        <v>1667</v>
      </c>
      <c r="I206">
        <f t="shared" ca="1" si="12"/>
        <v>53</v>
      </c>
      <c r="J206" t="str">
        <f t="shared" ca="1" si="13"/>
        <v>50-59</v>
      </c>
      <c r="K206">
        <v>95339.04</v>
      </c>
      <c r="L206" t="str">
        <f>IF(Workforce[[#This Row],[Salary]]&lt;50000,"30k-49k",IF(Workforce[[#This Row],[Salary]]&lt;70000,"50k-69k",IF(Workforce[[#This Row],[Salary]]&lt;90000,"70k-89k","90k+")))</f>
        <v>90k+</v>
      </c>
      <c r="M206" t="s">
        <v>1668</v>
      </c>
      <c r="N206">
        <f t="shared" ca="1" si="14"/>
        <v>9</v>
      </c>
      <c r="O206" t="str">
        <f t="shared" ca="1" si="15"/>
        <v>Senior level</v>
      </c>
    </row>
    <row r="207" spans="1:15" x14ac:dyDescent="0.3">
      <c r="A207" t="s">
        <v>1669</v>
      </c>
      <c r="B207" t="s">
        <v>1670</v>
      </c>
      <c r="C207" t="s">
        <v>178</v>
      </c>
      <c r="D207" t="s">
        <v>1671</v>
      </c>
      <c r="E207" t="s">
        <v>1672</v>
      </c>
      <c r="F207" t="s">
        <v>1673</v>
      </c>
      <c r="G207" t="s">
        <v>1674</v>
      </c>
      <c r="H207" t="s">
        <v>1675</v>
      </c>
      <c r="I207">
        <f t="shared" ca="1" si="12"/>
        <v>54</v>
      </c>
      <c r="J207" t="str">
        <f t="shared" ca="1" si="13"/>
        <v>50-59</v>
      </c>
      <c r="K207">
        <v>75700</v>
      </c>
      <c r="L207" t="str">
        <f>IF(Workforce[[#This Row],[Salary]]&lt;50000,"30k-49k",IF(Workforce[[#This Row],[Salary]]&lt;70000,"50k-69k",IF(Workforce[[#This Row],[Salary]]&lt;90000,"70k-89k","90k+")))</f>
        <v>70k-89k</v>
      </c>
      <c r="M207" t="s">
        <v>1676</v>
      </c>
      <c r="N207">
        <f t="shared" ca="1" si="14"/>
        <v>1</v>
      </c>
      <c r="O207" t="str">
        <f t="shared" ca="1" si="15"/>
        <v>Beginner</v>
      </c>
    </row>
    <row r="208" spans="1:15" x14ac:dyDescent="0.3">
      <c r="A208" t="s">
        <v>1677</v>
      </c>
      <c r="B208" t="s">
        <v>1678</v>
      </c>
      <c r="C208" t="s">
        <v>1159</v>
      </c>
      <c r="D208" t="s">
        <v>1679</v>
      </c>
      <c r="E208" t="s">
        <v>1680</v>
      </c>
      <c r="F208" t="s">
        <v>1681</v>
      </c>
      <c r="G208" t="s">
        <v>1682</v>
      </c>
      <c r="H208" t="s">
        <v>1683</v>
      </c>
      <c r="I208">
        <f t="shared" ca="1" si="12"/>
        <v>63</v>
      </c>
      <c r="J208" t="str">
        <f t="shared" ca="1" si="13"/>
        <v>60+</v>
      </c>
      <c r="K208">
        <v>106756.9</v>
      </c>
      <c r="L208" t="str">
        <f>IF(Workforce[[#This Row],[Salary]]&lt;50000,"30k-49k",IF(Workforce[[#This Row],[Salary]]&lt;70000,"50k-69k",IF(Workforce[[#This Row],[Salary]]&lt;90000,"70k-89k","90k+")))</f>
        <v>90k+</v>
      </c>
      <c r="M208" t="s">
        <v>1684</v>
      </c>
      <c r="N208">
        <f t="shared" ca="1" si="14"/>
        <v>10</v>
      </c>
      <c r="O208" t="str">
        <f t="shared" ca="1" si="15"/>
        <v>Senior level</v>
      </c>
    </row>
    <row r="209" spans="1:15" x14ac:dyDescent="0.3">
      <c r="A209" t="s">
        <v>1685</v>
      </c>
      <c r="B209" t="s">
        <v>1686</v>
      </c>
      <c r="C209" t="s">
        <v>748</v>
      </c>
      <c r="D209" t="s">
        <v>1687</v>
      </c>
      <c r="E209" t="s">
        <v>1688</v>
      </c>
      <c r="F209" t="s">
        <v>1689</v>
      </c>
      <c r="G209" t="s">
        <v>1690</v>
      </c>
      <c r="H209" t="s">
        <v>1691</v>
      </c>
      <c r="I209">
        <f t="shared" ca="1" si="12"/>
        <v>30</v>
      </c>
      <c r="J209" t="str">
        <f t="shared" ca="1" si="13"/>
        <v>30-39</v>
      </c>
      <c r="K209">
        <v>34049.24</v>
      </c>
      <c r="L209" t="str">
        <f>IF(Workforce[[#This Row],[Salary]]&lt;50000,"30k-49k",IF(Workforce[[#This Row],[Salary]]&lt;70000,"50k-69k",IF(Workforce[[#This Row],[Salary]]&lt;90000,"70k-89k","90k+")))</f>
        <v>30k-49k</v>
      </c>
      <c r="M209" t="s">
        <v>1692</v>
      </c>
      <c r="N209">
        <f t="shared" ca="1" si="14"/>
        <v>10</v>
      </c>
      <c r="O209" t="str">
        <f t="shared" ca="1" si="15"/>
        <v>Senior level</v>
      </c>
    </row>
    <row r="210" spans="1:15" x14ac:dyDescent="0.3">
      <c r="A210" t="s">
        <v>1693</v>
      </c>
      <c r="B210" t="s">
        <v>1694</v>
      </c>
      <c r="C210" t="s">
        <v>351</v>
      </c>
      <c r="D210" t="s">
        <v>1695</v>
      </c>
      <c r="E210" t="s">
        <v>1696</v>
      </c>
      <c r="F210" t="s">
        <v>863</v>
      </c>
      <c r="G210" t="s">
        <v>1697</v>
      </c>
      <c r="H210" t="s">
        <v>1698</v>
      </c>
      <c r="I210">
        <f t="shared" ca="1" si="12"/>
        <v>19</v>
      </c>
      <c r="J210" t="str">
        <f t="shared" ca="1" si="13"/>
        <v>18-29</v>
      </c>
      <c r="K210">
        <v>103021.85</v>
      </c>
      <c r="L210" t="str">
        <f>IF(Workforce[[#This Row],[Salary]]&lt;50000,"30k-49k",IF(Workforce[[#This Row],[Salary]]&lt;70000,"50k-69k",IF(Workforce[[#This Row],[Salary]]&lt;90000,"70k-89k","90k+")))</f>
        <v>90k+</v>
      </c>
      <c r="M210" t="s">
        <v>1699</v>
      </c>
      <c r="N210">
        <f t="shared" ca="1" si="14"/>
        <v>8</v>
      </c>
      <c r="O210" t="str">
        <f t="shared" ca="1" si="15"/>
        <v>Senior level</v>
      </c>
    </row>
    <row r="211" spans="1:15" x14ac:dyDescent="0.3">
      <c r="A211" t="s">
        <v>1700</v>
      </c>
      <c r="B211" t="s">
        <v>1701</v>
      </c>
      <c r="C211" t="s">
        <v>79</v>
      </c>
      <c r="D211" t="s">
        <v>1702</v>
      </c>
      <c r="E211" t="s">
        <v>1703</v>
      </c>
      <c r="F211" t="s">
        <v>1704</v>
      </c>
      <c r="G211" t="s">
        <v>1705</v>
      </c>
      <c r="H211" t="s">
        <v>1706</v>
      </c>
      <c r="I211">
        <f t="shared" ca="1" si="12"/>
        <v>22</v>
      </c>
      <c r="J211" t="str">
        <f t="shared" ca="1" si="13"/>
        <v>18-29</v>
      </c>
      <c r="K211">
        <v>57826.57</v>
      </c>
      <c r="L211" t="str">
        <f>IF(Workforce[[#This Row],[Salary]]&lt;50000,"30k-49k",IF(Workforce[[#This Row],[Salary]]&lt;70000,"50k-69k",IF(Workforce[[#This Row],[Salary]]&lt;90000,"70k-89k","90k+")))</f>
        <v>50k-69k</v>
      </c>
      <c r="M211" t="s">
        <v>1707</v>
      </c>
      <c r="N211">
        <f t="shared" ca="1" si="14"/>
        <v>5</v>
      </c>
      <c r="O211" t="str">
        <f t="shared" ca="1" si="15"/>
        <v>Intermediate level</v>
      </c>
    </row>
    <row r="212" spans="1:15" x14ac:dyDescent="0.3">
      <c r="A212" t="s">
        <v>1708</v>
      </c>
      <c r="B212" t="s">
        <v>1709</v>
      </c>
      <c r="C212" t="s">
        <v>17</v>
      </c>
      <c r="D212" t="s">
        <v>1710</v>
      </c>
      <c r="E212" t="s">
        <v>1711</v>
      </c>
      <c r="F212" t="s">
        <v>1712</v>
      </c>
      <c r="G212" t="s">
        <v>801</v>
      </c>
      <c r="H212" t="s">
        <v>1713</v>
      </c>
      <c r="I212">
        <f t="shared" ca="1" si="12"/>
        <v>40</v>
      </c>
      <c r="J212" t="str">
        <f t="shared" ca="1" si="13"/>
        <v>40-49</v>
      </c>
      <c r="K212">
        <v>88991.79</v>
      </c>
      <c r="L212" t="str">
        <f>IF(Workforce[[#This Row],[Salary]]&lt;50000,"30k-49k",IF(Workforce[[#This Row],[Salary]]&lt;70000,"50k-69k",IF(Workforce[[#This Row],[Salary]]&lt;90000,"70k-89k","90k+")))</f>
        <v>70k-89k</v>
      </c>
      <c r="M212" t="s">
        <v>1714</v>
      </c>
      <c r="N212">
        <f t="shared" ca="1" si="14"/>
        <v>8</v>
      </c>
      <c r="O212" t="str">
        <f t="shared" ca="1" si="15"/>
        <v>Senior level</v>
      </c>
    </row>
    <row r="213" spans="1:15" x14ac:dyDescent="0.3">
      <c r="A213" t="s">
        <v>1715</v>
      </c>
      <c r="B213" t="s">
        <v>1716</v>
      </c>
      <c r="C213" t="s">
        <v>17</v>
      </c>
      <c r="D213" t="s">
        <v>1717</v>
      </c>
      <c r="E213" t="s">
        <v>1718</v>
      </c>
      <c r="F213" t="s">
        <v>598</v>
      </c>
      <c r="G213" t="s">
        <v>1719</v>
      </c>
      <c r="H213" t="s">
        <v>1720</v>
      </c>
      <c r="I213">
        <f t="shared" ca="1" si="12"/>
        <v>41</v>
      </c>
      <c r="J213" t="str">
        <f t="shared" ca="1" si="13"/>
        <v>40-49</v>
      </c>
      <c r="K213">
        <v>44699.95</v>
      </c>
      <c r="L213" t="str">
        <f>IF(Workforce[[#This Row],[Salary]]&lt;50000,"30k-49k",IF(Workforce[[#This Row],[Salary]]&lt;70000,"50k-69k",IF(Workforce[[#This Row],[Salary]]&lt;90000,"70k-89k","90k+")))</f>
        <v>30k-49k</v>
      </c>
      <c r="M213" t="s">
        <v>1721</v>
      </c>
      <c r="N213">
        <f t="shared" ca="1" si="14"/>
        <v>5</v>
      </c>
      <c r="O213" t="str">
        <f t="shared" ca="1" si="15"/>
        <v>Intermediate level</v>
      </c>
    </row>
    <row r="214" spans="1:15" x14ac:dyDescent="0.3">
      <c r="A214" t="s">
        <v>1722</v>
      </c>
      <c r="B214" t="s">
        <v>1723</v>
      </c>
      <c r="C214" t="s">
        <v>133</v>
      </c>
      <c r="D214" t="s">
        <v>1724</v>
      </c>
      <c r="E214" t="s">
        <v>1725</v>
      </c>
      <c r="F214" t="s">
        <v>1726</v>
      </c>
      <c r="G214" t="s">
        <v>1727</v>
      </c>
      <c r="H214" t="s">
        <v>1728</v>
      </c>
      <c r="I214">
        <f t="shared" ca="1" si="12"/>
        <v>52</v>
      </c>
      <c r="J214" t="str">
        <f t="shared" ca="1" si="13"/>
        <v>50-59</v>
      </c>
      <c r="K214">
        <v>110123.41</v>
      </c>
      <c r="L214" t="str">
        <f>IF(Workforce[[#This Row],[Salary]]&lt;50000,"30k-49k",IF(Workforce[[#This Row],[Salary]]&lt;70000,"50k-69k",IF(Workforce[[#This Row],[Salary]]&lt;90000,"70k-89k","90k+")))</f>
        <v>90k+</v>
      </c>
      <c r="M214" t="s">
        <v>1729</v>
      </c>
      <c r="N214">
        <f t="shared" ca="1" si="14"/>
        <v>2</v>
      </c>
      <c r="O214" t="str">
        <f t="shared" ca="1" si="15"/>
        <v>Beginner</v>
      </c>
    </row>
    <row r="215" spans="1:15" x14ac:dyDescent="0.3">
      <c r="A215" t="s">
        <v>1730</v>
      </c>
      <c r="B215" t="s">
        <v>1731</v>
      </c>
      <c r="C215" t="s">
        <v>97</v>
      </c>
      <c r="D215" t="s">
        <v>1732</v>
      </c>
      <c r="E215" t="s">
        <v>1733</v>
      </c>
      <c r="F215" t="s">
        <v>1734</v>
      </c>
      <c r="G215" t="s">
        <v>1735</v>
      </c>
      <c r="H215" t="s">
        <v>1736</v>
      </c>
      <c r="I215">
        <f t="shared" ca="1" si="12"/>
        <v>65</v>
      </c>
      <c r="J215" t="str">
        <f t="shared" ca="1" si="13"/>
        <v>60+</v>
      </c>
      <c r="K215">
        <v>116828.41</v>
      </c>
      <c r="L215" t="str">
        <f>IF(Workforce[[#This Row],[Salary]]&lt;50000,"30k-49k",IF(Workforce[[#This Row],[Salary]]&lt;70000,"50k-69k",IF(Workforce[[#This Row],[Salary]]&lt;90000,"70k-89k","90k+")))</f>
        <v>90k+</v>
      </c>
      <c r="M215" t="s">
        <v>1737</v>
      </c>
      <c r="N215">
        <f t="shared" ca="1" si="14"/>
        <v>6</v>
      </c>
      <c r="O215" t="str">
        <f t="shared" ca="1" si="15"/>
        <v>Intermediate level</v>
      </c>
    </row>
    <row r="216" spans="1:15" x14ac:dyDescent="0.3">
      <c r="A216" t="s">
        <v>1738</v>
      </c>
      <c r="B216" t="s">
        <v>1739</v>
      </c>
      <c r="C216" t="s">
        <v>88</v>
      </c>
      <c r="D216" t="s">
        <v>1740</v>
      </c>
      <c r="E216" t="s">
        <v>1741</v>
      </c>
      <c r="F216" t="s">
        <v>1742</v>
      </c>
      <c r="G216" t="s">
        <v>1743</v>
      </c>
      <c r="H216" t="s">
        <v>1744</v>
      </c>
      <c r="I216">
        <f t="shared" ca="1" si="12"/>
        <v>20</v>
      </c>
      <c r="J216" t="str">
        <f t="shared" ca="1" si="13"/>
        <v>18-29</v>
      </c>
      <c r="K216">
        <v>74693.240000000005</v>
      </c>
      <c r="L216" t="str">
        <f>IF(Workforce[[#This Row],[Salary]]&lt;50000,"30k-49k",IF(Workforce[[#This Row],[Salary]]&lt;70000,"50k-69k",IF(Workforce[[#This Row],[Salary]]&lt;90000,"70k-89k","90k+")))</f>
        <v>70k-89k</v>
      </c>
      <c r="M216" t="s">
        <v>1745</v>
      </c>
      <c r="N216">
        <f t="shared" ca="1" si="14"/>
        <v>7</v>
      </c>
      <c r="O216" t="str">
        <f t="shared" ca="1" si="15"/>
        <v>Senior level</v>
      </c>
    </row>
    <row r="217" spans="1:15" x14ac:dyDescent="0.3">
      <c r="A217" t="s">
        <v>1746</v>
      </c>
      <c r="B217" t="s">
        <v>1747</v>
      </c>
      <c r="C217" t="s">
        <v>257</v>
      </c>
      <c r="D217" t="s">
        <v>1748</v>
      </c>
      <c r="E217" t="s">
        <v>1749</v>
      </c>
      <c r="F217" t="s">
        <v>1634</v>
      </c>
      <c r="G217" t="s">
        <v>1750</v>
      </c>
      <c r="H217" t="s">
        <v>1751</v>
      </c>
      <c r="I217">
        <f t="shared" ca="1" si="12"/>
        <v>60</v>
      </c>
      <c r="J217" t="str">
        <f t="shared" ca="1" si="13"/>
        <v>60+</v>
      </c>
      <c r="K217">
        <v>101281.26</v>
      </c>
      <c r="L217" t="str">
        <f>IF(Workforce[[#This Row],[Salary]]&lt;50000,"30k-49k",IF(Workforce[[#This Row],[Salary]]&lt;70000,"50k-69k",IF(Workforce[[#This Row],[Salary]]&lt;90000,"70k-89k","90k+")))</f>
        <v>90k+</v>
      </c>
      <c r="M217" t="s">
        <v>1752</v>
      </c>
      <c r="N217">
        <f t="shared" ca="1" si="14"/>
        <v>10</v>
      </c>
      <c r="O217" t="str">
        <f t="shared" ca="1" si="15"/>
        <v>Senior level</v>
      </c>
    </row>
    <row r="218" spans="1:15" x14ac:dyDescent="0.3">
      <c r="A218" t="s">
        <v>1753</v>
      </c>
      <c r="B218" t="s">
        <v>1754</v>
      </c>
      <c r="C218" t="s">
        <v>44</v>
      </c>
      <c r="D218" t="s">
        <v>1755</v>
      </c>
      <c r="E218" t="s">
        <v>1756</v>
      </c>
      <c r="F218" t="s">
        <v>1757</v>
      </c>
      <c r="G218" t="s">
        <v>1758</v>
      </c>
      <c r="H218" t="s">
        <v>1759</v>
      </c>
      <c r="I218">
        <f t="shared" ca="1" si="12"/>
        <v>30</v>
      </c>
      <c r="J218" t="str">
        <f t="shared" ca="1" si="13"/>
        <v>30-39</v>
      </c>
      <c r="K218">
        <v>74386.16</v>
      </c>
      <c r="L218" t="str">
        <f>IF(Workforce[[#This Row],[Salary]]&lt;50000,"30k-49k",IF(Workforce[[#This Row],[Salary]]&lt;70000,"50k-69k",IF(Workforce[[#This Row],[Salary]]&lt;90000,"70k-89k","90k+")))</f>
        <v>70k-89k</v>
      </c>
      <c r="M218" t="s">
        <v>1760</v>
      </c>
      <c r="N218">
        <f t="shared" ca="1" si="14"/>
        <v>9</v>
      </c>
      <c r="O218" t="str">
        <f t="shared" ca="1" si="15"/>
        <v>Senior level</v>
      </c>
    </row>
    <row r="219" spans="1:15" x14ac:dyDescent="0.3">
      <c r="A219" t="s">
        <v>1761</v>
      </c>
      <c r="B219" t="s">
        <v>1762</v>
      </c>
      <c r="C219" t="s">
        <v>222</v>
      </c>
      <c r="D219" t="s">
        <v>1763</v>
      </c>
      <c r="E219" t="s">
        <v>1764</v>
      </c>
      <c r="F219" t="s">
        <v>1765</v>
      </c>
      <c r="G219" t="s">
        <v>1766</v>
      </c>
      <c r="H219" t="s">
        <v>1767</v>
      </c>
      <c r="I219">
        <f t="shared" ca="1" si="12"/>
        <v>31</v>
      </c>
      <c r="J219" t="str">
        <f t="shared" ca="1" si="13"/>
        <v>30-39</v>
      </c>
      <c r="K219">
        <v>54452.58</v>
      </c>
      <c r="L219" t="str">
        <f>IF(Workforce[[#This Row],[Salary]]&lt;50000,"30k-49k",IF(Workforce[[#This Row],[Salary]]&lt;70000,"50k-69k",IF(Workforce[[#This Row],[Salary]]&lt;90000,"70k-89k","90k+")))</f>
        <v>50k-69k</v>
      </c>
      <c r="M219" t="s">
        <v>1768</v>
      </c>
      <c r="N219">
        <f t="shared" ca="1" si="14"/>
        <v>6</v>
      </c>
      <c r="O219" t="str">
        <f t="shared" ca="1" si="15"/>
        <v>Intermediate level</v>
      </c>
    </row>
    <row r="220" spans="1:15" x14ac:dyDescent="0.3">
      <c r="A220" t="s">
        <v>1769</v>
      </c>
      <c r="B220" t="s">
        <v>1770</v>
      </c>
      <c r="C220" t="s">
        <v>284</v>
      </c>
      <c r="D220" t="s">
        <v>1771</v>
      </c>
      <c r="E220" t="s">
        <v>1772</v>
      </c>
      <c r="F220" t="s">
        <v>73</v>
      </c>
      <c r="G220" t="s">
        <v>1773</v>
      </c>
      <c r="H220" t="s">
        <v>1774</v>
      </c>
      <c r="I220">
        <f t="shared" ca="1" si="12"/>
        <v>24</v>
      </c>
      <c r="J220" t="str">
        <f t="shared" ca="1" si="13"/>
        <v>18-29</v>
      </c>
      <c r="K220">
        <v>88134.81</v>
      </c>
      <c r="L220" t="str">
        <f>IF(Workforce[[#This Row],[Salary]]&lt;50000,"30k-49k",IF(Workforce[[#This Row],[Salary]]&lt;70000,"50k-69k",IF(Workforce[[#This Row],[Salary]]&lt;90000,"70k-89k","90k+")))</f>
        <v>70k-89k</v>
      </c>
      <c r="M220" t="s">
        <v>1775</v>
      </c>
      <c r="N220">
        <f t="shared" ca="1" si="14"/>
        <v>4</v>
      </c>
      <c r="O220" t="str">
        <f t="shared" ca="1" si="15"/>
        <v>Intermediate level</v>
      </c>
    </row>
    <row r="221" spans="1:15" x14ac:dyDescent="0.3">
      <c r="A221" t="s">
        <v>1776</v>
      </c>
      <c r="B221" t="s">
        <v>1777</v>
      </c>
      <c r="C221" t="s">
        <v>231</v>
      </c>
      <c r="D221" t="s">
        <v>1778</v>
      </c>
      <c r="E221" t="s">
        <v>1779</v>
      </c>
      <c r="F221" t="s">
        <v>1780</v>
      </c>
      <c r="G221" t="s">
        <v>1781</v>
      </c>
      <c r="H221" t="s">
        <v>1782</v>
      </c>
      <c r="I221">
        <f t="shared" ca="1" si="12"/>
        <v>30</v>
      </c>
      <c r="J221" t="str">
        <f t="shared" ca="1" si="13"/>
        <v>30-39</v>
      </c>
      <c r="K221">
        <v>80741.289999999994</v>
      </c>
      <c r="L221" t="str">
        <f>IF(Workforce[[#This Row],[Salary]]&lt;50000,"30k-49k",IF(Workforce[[#This Row],[Salary]]&lt;70000,"50k-69k",IF(Workforce[[#This Row],[Salary]]&lt;90000,"70k-89k","90k+")))</f>
        <v>70k-89k</v>
      </c>
      <c r="M221" t="s">
        <v>1783</v>
      </c>
      <c r="N221">
        <f t="shared" ca="1" si="14"/>
        <v>4</v>
      </c>
      <c r="O221" t="str">
        <f t="shared" ca="1" si="15"/>
        <v>Intermediate level</v>
      </c>
    </row>
    <row r="222" spans="1:15" x14ac:dyDescent="0.3">
      <c r="A222" t="s">
        <v>1784</v>
      </c>
      <c r="B222" t="s">
        <v>1785</v>
      </c>
      <c r="C222" t="s">
        <v>106</v>
      </c>
      <c r="D222" t="s">
        <v>1786</v>
      </c>
      <c r="E222" t="s">
        <v>1787</v>
      </c>
      <c r="F222" t="s">
        <v>1788</v>
      </c>
      <c r="G222" t="s">
        <v>1789</v>
      </c>
      <c r="H222" t="s">
        <v>696</v>
      </c>
      <c r="I222">
        <f t="shared" ca="1" si="12"/>
        <v>40</v>
      </c>
      <c r="J222" t="str">
        <f t="shared" ca="1" si="13"/>
        <v>40-49</v>
      </c>
      <c r="K222">
        <v>111323.53</v>
      </c>
      <c r="L222" t="str">
        <f>IF(Workforce[[#This Row],[Salary]]&lt;50000,"30k-49k",IF(Workforce[[#This Row],[Salary]]&lt;70000,"50k-69k",IF(Workforce[[#This Row],[Salary]]&lt;90000,"70k-89k","90k+")))</f>
        <v>90k+</v>
      </c>
      <c r="M222" t="s">
        <v>1790</v>
      </c>
      <c r="N222">
        <f t="shared" ca="1" si="14"/>
        <v>1</v>
      </c>
      <c r="O222" t="str">
        <f t="shared" ca="1" si="15"/>
        <v>Beginner</v>
      </c>
    </row>
    <row r="223" spans="1:15" x14ac:dyDescent="0.3">
      <c r="A223" t="s">
        <v>1791</v>
      </c>
      <c r="B223" t="s">
        <v>1792</v>
      </c>
      <c r="C223" t="s">
        <v>133</v>
      </c>
      <c r="D223" t="s">
        <v>1793</v>
      </c>
      <c r="E223" t="s">
        <v>1794</v>
      </c>
      <c r="F223" t="s">
        <v>1795</v>
      </c>
      <c r="G223" t="s">
        <v>1796</v>
      </c>
      <c r="H223" t="s">
        <v>1797</v>
      </c>
      <c r="I223">
        <f t="shared" ca="1" si="12"/>
        <v>42</v>
      </c>
      <c r="J223" t="str">
        <f t="shared" ca="1" si="13"/>
        <v>40-49</v>
      </c>
      <c r="K223">
        <v>54461.46</v>
      </c>
      <c r="L223" t="str">
        <f>IF(Workforce[[#This Row],[Salary]]&lt;50000,"30k-49k",IF(Workforce[[#This Row],[Salary]]&lt;70000,"50k-69k",IF(Workforce[[#This Row],[Salary]]&lt;90000,"70k-89k","90k+")))</f>
        <v>50k-69k</v>
      </c>
      <c r="M223" t="s">
        <v>1798</v>
      </c>
      <c r="N223">
        <f t="shared" ca="1" si="14"/>
        <v>8</v>
      </c>
      <c r="O223" t="str">
        <f t="shared" ca="1" si="15"/>
        <v>Senior level</v>
      </c>
    </row>
    <row r="224" spans="1:15" x14ac:dyDescent="0.3">
      <c r="A224" t="s">
        <v>1799</v>
      </c>
      <c r="B224" t="s">
        <v>1800</v>
      </c>
      <c r="C224" t="s">
        <v>351</v>
      </c>
      <c r="D224" t="s">
        <v>1801</v>
      </c>
      <c r="E224" t="s">
        <v>1802</v>
      </c>
      <c r="F224" t="s">
        <v>1803</v>
      </c>
      <c r="G224" t="s">
        <v>1804</v>
      </c>
      <c r="H224" t="s">
        <v>1805</v>
      </c>
      <c r="I224">
        <f t="shared" ca="1" si="12"/>
        <v>35</v>
      </c>
      <c r="J224" t="str">
        <f t="shared" ca="1" si="13"/>
        <v>30-39</v>
      </c>
      <c r="K224">
        <v>48178.2</v>
      </c>
      <c r="L224" t="str">
        <f>IF(Workforce[[#This Row],[Salary]]&lt;50000,"30k-49k",IF(Workforce[[#This Row],[Salary]]&lt;70000,"50k-69k",IF(Workforce[[#This Row],[Salary]]&lt;90000,"70k-89k","90k+")))</f>
        <v>30k-49k</v>
      </c>
      <c r="M224" t="s">
        <v>1806</v>
      </c>
      <c r="N224">
        <f t="shared" ca="1" si="14"/>
        <v>9</v>
      </c>
      <c r="O224" t="str">
        <f t="shared" ca="1" si="15"/>
        <v>Senior level</v>
      </c>
    </row>
    <row r="225" spans="1:15" x14ac:dyDescent="0.3">
      <c r="A225" t="s">
        <v>1807</v>
      </c>
      <c r="B225" t="s">
        <v>1808</v>
      </c>
      <c r="C225" t="s">
        <v>169</v>
      </c>
      <c r="D225" t="s">
        <v>1809</v>
      </c>
      <c r="E225" t="s">
        <v>1810</v>
      </c>
      <c r="F225" t="s">
        <v>1811</v>
      </c>
      <c r="G225" t="s">
        <v>1812</v>
      </c>
      <c r="H225" t="s">
        <v>1813</v>
      </c>
      <c r="I225">
        <f t="shared" ca="1" si="12"/>
        <v>32</v>
      </c>
      <c r="J225" t="str">
        <f t="shared" ca="1" si="13"/>
        <v>30-39</v>
      </c>
      <c r="K225">
        <v>75464.95</v>
      </c>
      <c r="L225" t="str">
        <f>IF(Workforce[[#This Row],[Salary]]&lt;50000,"30k-49k",IF(Workforce[[#This Row],[Salary]]&lt;70000,"50k-69k",IF(Workforce[[#This Row],[Salary]]&lt;90000,"70k-89k","90k+")))</f>
        <v>70k-89k</v>
      </c>
      <c r="M225" t="s">
        <v>1814</v>
      </c>
      <c r="N225">
        <f t="shared" ca="1" si="14"/>
        <v>8</v>
      </c>
      <c r="O225" t="str">
        <f t="shared" ca="1" si="15"/>
        <v>Senior level</v>
      </c>
    </row>
    <row r="226" spans="1:15" x14ac:dyDescent="0.3">
      <c r="A226" t="s">
        <v>1815</v>
      </c>
      <c r="B226" t="s">
        <v>1816</v>
      </c>
      <c r="C226" t="s">
        <v>124</v>
      </c>
      <c r="D226" t="s">
        <v>1817</v>
      </c>
      <c r="E226" t="s">
        <v>1818</v>
      </c>
      <c r="F226" t="s">
        <v>664</v>
      </c>
      <c r="G226" t="s">
        <v>1819</v>
      </c>
      <c r="H226" t="s">
        <v>1820</v>
      </c>
      <c r="I226">
        <f t="shared" ca="1" si="12"/>
        <v>26</v>
      </c>
      <c r="J226" t="str">
        <f t="shared" ca="1" si="13"/>
        <v>18-29</v>
      </c>
      <c r="K226">
        <v>55775.67</v>
      </c>
      <c r="L226" t="str">
        <f>IF(Workforce[[#This Row],[Salary]]&lt;50000,"30k-49k",IF(Workforce[[#This Row],[Salary]]&lt;70000,"50k-69k",IF(Workforce[[#This Row],[Salary]]&lt;90000,"70k-89k","90k+")))</f>
        <v>50k-69k</v>
      </c>
      <c r="M226" t="s">
        <v>1821</v>
      </c>
      <c r="N226">
        <f t="shared" ca="1" si="14"/>
        <v>1</v>
      </c>
      <c r="O226" t="str">
        <f t="shared" ca="1" si="15"/>
        <v>Beginner</v>
      </c>
    </row>
    <row r="227" spans="1:15" x14ac:dyDescent="0.3">
      <c r="A227" t="s">
        <v>1822</v>
      </c>
      <c r="B227" t="s">
        <v>1823</v>
      </c>
      <c r="C227" t="s">
        <v>757</v>
      </c>
      <c r="D227" t="s">
        <v>1824</v>
      </c>
      <c r="E227" t="s">
        <v>1825</v>
      </c>
      <c r="F227" t="s">
        <v>1826</v>
      </c>
      <c r="G227" t="s">
        <v>1827</v>
      </c>
      <c r="H227" t="s">
        <v>1828</v>
      </c>
      <c r="I227">
        <f t="shared" ca="1" si="12"/>
        <v>35</v>
      </c>
      <c r="J227" t="str">
        <f t="shared" ca="1" si="13"/>
        <v>30-39</v>
      </c>
      <c r="K227">
        <v>112478.14</v>
      </c>
      <c r="L227" t="str">
        <f>IF(Workforce[[#This Row],[Salary]]&lt;50000,"30k-49k",IF(Workforce[[#This Row],[Salary]]&lt;70000,"50k-69k",IF(Workforce[[#This Row],[Salary]]&lt;90000,"70k-89k","90k+")))</f>
        <v>90k+</v>
      </c>
      <c r="M227" t="s">
        <v>1829</v>
      </c>
      <c r="N227">
        <f t="shared" ca="1" si="14"/>
        <v>2</v>
      </c>
      <c r="O227" t="str">
        <f t="shared" ca="1" si="15"/>
        <v>Beginner</v>
      </c>
    </row>
    <row r="228" spans="1:15" x14ac:dyDescent="0.3">
      <c r="A228" t="s">
        <v>1830</v>
      </c>
      <c r="B228" t="s">
        <v>1831</v>
      </c>
      <c r="C228" t="s">
        <v>653</v>
      </c>
      <c r="D228" t="s">
        <v>1832</v>
      </c>
      <c r="E228" t="s">
        <v>1833</v>
      </c>
      <c r="F228" t="s">
        <v>354</v>
      </c>
      <c r="G228" t="s">
        <v>1834</v>
      </c>
      <c r="H228" t="s">
        <v>1835</v>
      </c>
      <c r="I228">
        <f t="shared" ca="1" si="12"/>
        <v>50</v>
      </c>
      <c r="J228" t="str">
        <f t="shared" ca="1" si="13"/>
        <v>50-59</v>
      </c>
      <c r="K228">
        <v>66419.47</v>
      </c>
      <c r="L228" t="str">
        <f>IF(Workforce[[#This Row],[Salary]]&lt;50000,"30k-49k",IF(Workforce[[#This Row],[Salary]]&lt;70000,"50k-69k",IF(Workforce[[#This Row],[Salary]]&lt;90000,"70k-89k","90k+")))</f>
        <v>50k-69k</v>
      </c>
      <c r="M228" t="s">
        <v>1836</v>
      </c>
      <c r="N228">
        <f t="shared" ca="1" si="14"/>
        <v>5</v>
      </c>
      <c r="O228" t="str">
        <f t="shared" ca="1" si="15"/>
        <v>Intermediate level</v>
      </c>
    </row>
    <row r="229" spans="1:15" x14ac:dyDescent="0.3">
      <c r="A229" t="s">
        <v>1837</v>
      </c>
      <c r="B229" t="s">
        <v>1838</v>
      </c>
      <c r="C229" t="s">
        <v>106</v>
      </c>
      <c r="D229" t="s">
        <v>1839</v>
      </c>
      <c r="E229" t="s">
        <v>1840</v>
      </c>
      <c r="F229" t="s">
        <v>1841</v>
      </c>
      <c r="G229" t="s">
        <v>1842</v>
      </c>
      <c r="H229" t="s">
        <v>1843</v>
      </c>
      <c r="I229">
        <f t="shared" ca="1" si="12"/>
        <v>52</v>
      </c>
      <c r="J229" t="str">
        <f t="shared" ca="1" si="13"/>
        <v>50-59</v>
      </c>
      <c r="K229">
        <v>117099.01</v>
      </c>
      <c r="L229" t="str">
        <f>IF(Workforce[[#This Row],[Salary]]&lt;50000,"30k-49k",IF(Workforce[[#This Row],[Salary]]&lt;70000,"50k-69k",IF(Workforce[[#This Row],[Salary]]&lt;90000,"70k-89k","90k+")))</f>
        <v>90k+</v>
      </c>
      <c r="M229" t="s">
        <v>1844</v>
      </c>
      <c r="N229">
        <f t="shared" ca="1" si="14"/>
        <v>5</v>
      </c>
      <c r="O229" t="str">
        <f t="shared" ca="1" si="15"/>
        <v>Intermediate level</v>
      </c>
    </row>
    <row r="230" spans="1:15" x14ac:dyDescent="0.3">
      <c r="A230" t="s">
        <v>1845</v>
      </c>
      <c r="B230" t="s">
        <v>1846</v>
      </c>
      <c r="C230" t="s">
        <v>97</v>
      </c>
      <c r="D230" t="s">
        <v>1847</v>
      </c>
      <c r="E230" t="s">
        <v>1848</v>
      </c>
      <c r="F230" t="s">
        <v>1849</v>
      </c>
      <c r="G230" t="s">
        <v>1850</v>
      </c>
      <c r="H230" t="s">
        <v>1851</v>
      </c>
      <c r="I230">
        <f t="shared" ca="1" si="12"/>
        <v>45</v>
      </c>
      <c r="J230" t="str">
        <f t="shared" ca="1" si="13"/>
        <v>40-49</v>
      </c>
      <c r="K230">
        <v>85383.17</v>
      </c>
      <c r="L230" t="str">
        <f>IF(Workforce[[#This Row],[Salary]]&lt;50000,"30k-49k",IF(Workforce[[#This Row],[Salary]]&lt;70000,"50k-69k",IF(Workforce[[#This Row],[Salary]]&lt;90000,"70k-89k","90k+")))</f>
        <v>70k-89k</v>
      </c>
      <c r="M230" t="s">
        <v>1852</v>
      </c>
      <c r="N230">
        <f t="shared" ca="1" si="14"/>
        <v>8</v>
      </c>
      <c r="O230" t="str">
        <f t="shared" ca="1" si="15"/>
        <v>Senior level</v>
      </c>
    </row>
    <row r="231" spans="1:15" x14ac:dyDescent="0.3">
      <c r="A231" t="s">
        <v>1853</v>
      </c>
      <c r="B231" t="s">
        <v>1854</v>
      </c>
      <c r="C231" t="s">
        <v>35</v>
      </c>
      <c r="D231" t="s">
        <v>1855</v>
      </c>
      <c r="E231" t="s">
        <v>1856</v>
      </c>
      <c r="F231" t="s">
        <v>1265</v>
      </c>
      <c r="G231" t="s">
        <v>1857</v>
      </c>
      <c r="H231" t="s">
        <v>1858</v>
      </c>
      <c r="I231">
        <f t="shared" ca="1" si="12"/>
        <v>59</v>
      </c>
      <c r="J231" t="str">
        <f t="shared" ca="1" si="13"/>
        <v>50-59</v>
      </c>
      <c r="K231">
        <v>101916.98</v>
      </c>
      <c r="L231" t="str">
        <f>IF(Workforce[[#This Row],[Salary]]&lt;50000,"30k-49k",IF(Workforce[[#This Row],[Salary]]&lt;70000,"50k-69k",IF(Workforce[[#This Row],[Salary]]&lt;90000,"70k-89k","90k+")))</f>
        <v>90k+</v>
      </c>
      <c r="M231" t="s">
        <v>1859</v>
      </c>
      <c r="N231">
        <f t="shared" ca="1" si="14"/>
        <v>8</v>
      </c>
      <c r="O231" t="str">
        <f t="shared" ca="1" si="15"/>
        <v>Senior level</v>
      </c>
    </row>
    <row r="232" spans="1:15" x14ac:dyDescent="0.3">
      <c r="A232" t="s">
        <v>1860</v>
      </c>
      <c r="B232" t="s">
        <v>1861</v>
      </c>
      <c r="C232" t="s">
        <v>88</v>
      </c>
      <c r="D232" t="s">
        <v>1862</v>
      </c>
      <c r="E232" t="s">
        <v>1863</v>
      </c>
      <c r="F232" t="s">
        <v>1864</v>
      </c>
      <c r="G232" t="s">
        <v>1865</v>
      </c>
      <c r="H232" t="s">
        <v>1866</v>
      </c>
      <c r="I232">
        <f t="shared" ca="1" si="12"/>
        <v>65</v>
      </c>
      <c r="J232" t="str">
        <f t="shared" ca="1" si="13"/>
        <v>60+</v>
      </c>
      <c r="K232">
        <v>103229.18</v>
      </c>
      <c r="L232" t="str">
        <f>IF(Workforce[[#This Row],[Salary]]&lt;50000,"30k-49k",IF(Workforce[[#This Row],[Salary]]&lt;70000,"50k-69k",IF(Workforce[[#This Row],[Salary]]&lt;90000,"70k-89k","90k+")))</f>
        <v>90k+</v>
      </c>
      <c r="M232" t="s">
        <v>1867</v>
      </c>
      <c r="N232">
        <f t="shared" ca="1" si="14"/>
        <v>6</v>
      </c>
      <c r="O232" t="str">
        <f t="shared" ca="1" si="15"/>
        <v>Intermediate level</v>
      </c>
    </row>
    <row r="233" spans="1:15" x14ac:dyDescent="0.3">
      <c r="A233" t="s">
        <v>1868</v>
      </c>
      <c r="B233" t="s">
        <v>1869</v>
      </c>
      <c r="C233" t="s">
        <v>133</v>
      </c>
      <c r="D233" t="s">
        <v>1870</v>
      </c>
      <c r="E233" t="s">
        <v>1871</v>
      </c>
      <c r="F233" t="s">
        <v>1872</v>
      </c>
      <c r="G233" t="s">
        <v>1873</v>
      </c>
      <c r="H233" t="s">
        <v>1874</v>
      </c>
      <c r="I233">
        <f t="shared" ca="1" si="12"/>
        <v>27</v>
      </c>
      <c r="J233" t="str">
        <f t="shared" ca="1" si="13"/>
        <v>18-29</v>
      </c>
      <c r="K233">
        <v>51225.72</v>
      </c>
      <c r="L233" t="str">
        <f>IF(Workforce[[#This Row],[Salary]]&lt;50000,"30k-49k",IF(Workforce[[#This Row],[Salary]]&lt;70000,"50k-69k",IF(Workforce[[#This Row],[Salary]]&lt;90000,"70k-89k","90k+")))</f>
        <v>50k-69k</v>
      </c>
      <c r="M233" t="s">
        <v>1875</v>
      </c>
      <c r="N233">
        <f t="shared" ca="1" si="14"/>
        <v>6</v>
      </c>
      <c r="O233" t="str">
        <f t="shared" ca="1" si="15"/>
        <v>Intermediate level</v>
      </c>
    </row>
    <row r="234" spans="1:15" x14ac:dyDescent="0.3">
      <c r="A234" t="s">
        <v>1876</v>
      </c>
      <c r="B234" t="s">
        <v>1877</v>
      </c>
      <c r="C234" t="s">
        <v>79</v>
      </c>
      <c r="D234" t="s">
        <v>1878</v>
      </c>
      <c r="E234" t="s">
        <v>1879</v>
      </c>
      <c r="F234" t="s">
        <v>1880</v>
      </c>
      <c r="G234" t="s">
        <v>1881</v>
      </c>
      <c r="H234" t="s">
        <v>1882</v>
      </c>
      <c r="I234">
        <f t="shared" ca="1" si="12"/>
        <v>22</v>
      </c>
      <c r="J234" t="str">
        <f t="shared" ca="1" si="13"/>
        <v>18-29</v>
      </c>
      <c r="K234">
        <v>44076.34</v>
      </c>
      <c r="L234" t="str">
        <f>IF(Workforce[[#This Row],[Salary]]&lt;50000,"30k-49k",IF(Workforce[[#This Row],[Salary]]&lt;70000,"50k-69k",IF(Workforce[[#This Row],[Salary]]&lt;90000,"70k-89k","90k+")))</f>
        <v>30k-49k</v>
      </c>
      <c r="M234" t="s">
        <v>1883</v>
      </c>
      <c r="N234">
        <f t="shared" ca="1" si="14"/>
        <v>3</v>
      </c>
      <c r="O234" t="str">
        <f t="shared" ca="1" si="15"/>
        <v>Intermediate level</v>
      </c>
    </row>
    <row r="235" spans="1:15" x14ac:dyDescent="0.3">
      <c r="A235" t="s">
        <v>1884</v>
      </c>
      <c r="B235" t="s">
        <v>1885</v>
      </c>
      <c r="C235" t="s">
        <v>97</v>
      </c>
      <c r="D235" t="s">
        <v>1886</v>
      </c>
      <c r="E235" t="s">
        <v>1887</v>
      </c>
      <c r="F235" t="s">
        <v>1888</v>
      </c>
      <c r="G235" t="s">
        <v>1889</v>
      </c>
      <c r="H235" t="s">
        <v>1890</v>
      </c>
      <c r="I235">
        <f t="shared" ca="1" si="12"/>
        <v>21</v>
      </c>
      <c r="J235" t="str">
        <f t="shared" ca="1" si="13"/>
        <v>18-29</v>
      </c>
      <c r="K235">
        <v>101699.61</v>
      </c>
      <c r="L235" t="str">
        <f>IF(Workforce[[#This Row],[Salary]]&lt;50000,"30k-49k",IF(Workforce[[#This Row],[Salary]]&lt;70000,"50k-69k",IF(Workforce[[#This Row],[Salary]]&lt;90000,"70k-89k","90k+")))</f>
        <v>90k+</v>
      </c>
      <c r="M235" t="s">
        <v>1891</v>
      </c>
      <c r="N235">
        <f t="shared" ca="1" si="14"/>
        <v>1</v>
      </c>
      <c r="O235" t="str">
        <f t="shared" ca="1" si="15"/>
        <v>Beginner</v>
      </c>
    </row>
    <row r="236" spans="1:15" x14ac:dyDescent="0.3">
      <c r="A236" t="s">
        <v>1892</v>
      </c>
      <c r="B236" t="s">
        <v>1893</v>
      </c>
      <c r="C236" t="s">
        <v>88</v>
      </c>
      <c r="D236" t="s">
        <v>1894</v>
      </c>
      <c r="E236" t="s">
        <v>1895</v>
      </c>
      <c r="F236" t="s">
        <v>1896</v>
      </c>
      <c r="G236" t="s">
        <v>1897</v>
      </c>
      <c r="H236" t="s">
        <v>1898</v>
      </c>
      <c r="I236">
        <f t="shared" ca="1" si="12"/>
        <v>66</v>
      </c>
      <c r="J236" t="str">
        <f t="shared" ca="1" si="13"/>
        <v>60+</v>
      </c>
      <c r="K236">
        <v>111086.28</v>
      </c>
      <c r="L236" t="str">
        <f>IF(Workforce[[#This Row],[Salary]]&lt;50000,"30k-49k",IF(Workforce[[#This Row],[Salary]]&lt;70000,"50k-69k",IF(Workforce[[#This Row],[Salary]]&lt;90000,"70k-89k","90k+")))</f>
        <v>90k+</v>
      </c>
      <c r="M236" t="s">
        <v>1899</v>
      </c>
      <c r="N236">
        <f t="shared" ca="1" si="14"/>
        <v>4</v>
      </c>
      <c r="O236" t="str">
        <f t="shared" ca="1" si="15"/>
        <v>Intermediate level</v>
      </c>
    </row>
    <row r="237" spans="1:15" x14ac:dyDescent="0.3">
      <c r="A237" t="s">
        <v>1900</v>
      </c>
      <c r="B237" t="s">
        <v>1901</v>
      </c>
      <c r="C237" t="s">
        <v>231</v>
      </c>
      <c r="D237" t="s">
        <v>1902</v>
      </c>
      <c r="E237" t="s">
        <v>1903</v>
      </c>
      <c r="F237" t="s">
        <v>926</v>
      </c>
      <c r="G237" t="s">
        <v>1904</v>
      </c>
      <c r="H237" t="s">
        <v>1905</v>
      </c>
      <c r="I237">
        <f t="shared" ca="1" si="12"/>
        <v>26</v>
      </c>
      <c r="J237" t="str">
        <f t="shared" ca="1" si="13"/>
        <v>18-29</v>
      </c>
      <c r="K237">
        <v>106843.86</v>
      </c>
      <c r="L237" t="str">
        <f>IF(Workforce[[#This Row],[Salary]]&lt;50000,"30k-49k",IF(Workforce[[#This Row],[Salary]]&lt;70000,"50k-69k",IF(Workforce[[#This Row],[Salary]]&lt;90000,"70k-89k","90k+")))</f>
        <v>90k+</v>
      </c>
      <c r="M237" t="s">
        <v>1906</v>
      </c>
      <c r="N237">
        <f t="shared" ca="1" si="14"/>
        <v>3</v>
      </c>
      <c r="O237" t="str">
        <f t="shared" ca="1" si="15"/>
        <v>Intermediate level</v>
      </c>
    </row>
    <row r="238" spans="1:15" x14ac:dyDescent="0.3">
      <c r="A238" t="s">
        <v>1907</v>
      </c>
      <c r="B238" t="s">
        <v>1908</v>
      </c>
      <c r="C238" t="s">
        <v>757</v>
      </c>
      <c r="D238" t="s">
        <v>1909</v>
      </c>
      <c r="E238" t="s">
        <v>1910</v>
      </c>
      <c r="F238" t="s">
        <v>1911</v>
      </c>
      <c r="G238" t="s">
        <v>1912</v>
      </c>
      <c r="H238" t="s">
        <v>1913</v>
      </c>
      <c r="I238">
        <f t="shared" ca="1" si="12"/>
        <v>20</v>
      </c>
      <c r="J238" t="str">
        <f t="shared" ca="1" si="13"/>
        <v>18-29</v>
      </c>
      <c r="K238">
        <v>110154.85</v>
      </c>
      <c r="L238" t="str">
        <f>IF(Workforce[[#This Row],[Salary]]&lt;50000,"30k-49k",IF(Workforce[[#This Row],[Salary]]&lt;70000,"50k-69k",IF(Workforce[[#This Row],[Salary]]&lt;90000,"70k-89k","90k+")))</f>
        <v>90k+</v>
      </c>
      <c r="M238" t="s">
        <v>1914</v>
      </c>
      <c r="N238">
        <f t="shared" ca="1" si="14"/>
        <v>1</v>
      </c>
      <c r="O238" t="str">
        <f t="shared" ca="1" si="15"/>
        <v>Beginner</v>
      </c>
    </row>
    <row r="239" spans="1:15" x14ac:dyDescent="0.3">
      <c r="A239" t="s">
        <v>1915</v>
      </c>
      <c r="B239" t="s">
        <v>1916</v>
      </c>
      <c r="C239" t="s">
        <v>196</v>
      </c>
      <c r="D239" t="s">
        <v>1917</v>
      </c>
      <c r="E239" t="s">
        <v>1918</v>
      </c>
      <c r="F239" t="s">
        <v>1919</v>
      </c>
      <c r="G239" t="s">
        <v>1920</v>
      </c>
      <c r="H239" t="s">
        <v>1921</v>
      </c>
      <c r="I239">
        <f t="shared" ca="1" si="12"/>
        <v>53</v>
      </c>
      <c r="J239" t="str">
        <f t="shared" ca="1" si="13"/>
        <v>50-59</v>
      </c>
      <c r="K239">
        <v>86620.25</v>
      </c>
      <c r="L239" t="str">
        <f>IF(Workforce[[#This Row],[Salary]]&lt;50000,"30k-49k",IF(Workforce[[#This Row],[Salary]]&lt;70000,"50k-69k",IF(Workforce[[#This Row],[Salary]]&lt;90000,"70k-89k","90k+")))</f>
        <v>70k-89k</v>
      </c>
      <c r="M239" t="s">
        <v>1922</v>
      </c>
      <c r="N239">
        <f t="shared" ca="1" si="14"/>
        <v>0</v>
      </c>
      <c r="O239" t="str">
        <f t="shared" ca="1" si="15"/>
        <v>Beginner</v>
      </c>
    </row>
    <row r="240" spans="1:15" x14ac:dyDescent="0.3">
      <c r="A240" t="s">
        <v>1923</v>
      </c>
      <c r="B240" t="s">
        <v>1924</v>
      </c>
      <c r="C240" t="s">
        <v>196</v>
      </c>
      <c r="D240" t="s">
        <v>1925</v>
      </c>
      <c r="E240" t="s">
        <v>1926</v>
      </c>
      <c r="F240" t="s">
        <v>1927</v>
      </c>
      <c r="G240" t="s">
        <v>1928</v>
      </c>
      <c r="H240" t="s">
        <v>1929</v>
      </c>
      <c r="I240">
        <f t="shared" ca="1" si="12"/>
        <v>50</v>
      </c>
      <c r="J240" t="str">
        <f t="shared" ca="1" si="13"/>
        <v>50-59</v>
      </c>
      <c r="K240">
        <v>105477.7</v>
      </c>
      <c r="L240" t="str">
        <f>IF(Workforce[[#This Row],[Salary]]&lt;50000,"30k-49k",IF(Workforce[[#This Row],[Salary]]&lt;70000,"50k-69k",IF(Workforce[[#This Row],[Salary]]&lt;90000,"70k-89k","90k+")))</f>
        <v>90k+</v>
      </c>
      <c r="M240" t="s">
        <v>858</v>
      </c>
      <c r="N240">
        <f t="shared" ca="1" si="14"/>
        <v>6</v>
      </c>
      <c r="O240" t="str">
        <f t="shared" ca="1" si="15"/>
        <v>Intermediate level</v>
      </c>
    </row>
    <row r="241" spans="1:15" x14ac:dyDescent="0.3">
      <c r="A241" t="s">
        <v>1930</v>
      </c>
      <c r="B241" t="s">
        <v>1931</v>
      </c>
      <c r="C241" t="s">
        <v>1223</v>
      </c>
      <c r="D241" t="s">
        <v>1932</v>
      </c>
      <c r="E241" t="s">
        <v>1933</v>
      </c>
      <c r="F241" t="s">
        <v>1934</v>
      </c>
      <c r="G241" t="s">
        <v>1935</v>
      </c>
      <c r="H241" t="s">
        <v>1936</v>
      </c>
      <c r="I241">
        <f t="shared" ca="1" si="12"/>
        <v>55</v>
      </c>
      <c r="J241" t="str">
        <f t="shared" ca="1" si="13"/>
        <v>50-59</v>
      </c>
      <c r="K241">
        <v>47779.67</v>
      </c>
      <c r="L241" t="str">
        <f>IF(Workforce[[#This Row],[Salary]]&lt;50000,"30k-49k",IF(Workforce[[#This Row],[Salary]]&lt;70000,"50k-69k",IF(Workforce[[#This Row],[Salary]]&lt;90000,"70k-89k","90k+")))</f>
        <v>30k-49k</v>
      </c>
      <c r="M241" t="s">
        <v>1937</v>
      </c>
      <c r="N241">
        <f t="shared" ca="1" si="14"/>
        <v>7</v>
      </c>
      <c r="O241" t="str">
        <f t="shared" ca="1" si="15"/>
        <v>Senior level</v>
      </c>
    </row>
    <row r="242" spans="1:15" x14ac:dyDescent="0.3">
      <c r="A242" t="s">
        <v>1938</v>
      </c>
      <c r="B242" t="s">
        <v>1939</v>
      </c>
      <c r="C242" t="s">
        <v>213</v>
      </c>
      <c r="D242" t="s">
        <v>1940</v>
      </c>
      <c r="E242" t="s">
        <v>1941</v>
      </c>
      <c r="F242" t="s">
        <v>1942</v>
      </c>
      <c r="G242" t="s">
        <v>1943</v>
      </c>
      <c r="H242" t="s">
        <v>1944</v>
      </c>
      <c r="I242">
        <f t="shared" ca="1" si="12"/>
        <v>19</v>
      </c>
      <c r="J242" t="str">
        <f t="shared" ca="1" si="13"/>
        <v>18-29</v>
      </c>
      <c r="K242">
        <v>37841.5</v>
      </c>
      <c r="L242" t="str">
        <f>IF(Workforce[[#This Row],[Salary]]&lt;50000,"30k-49k",IF(Workforce[[#This Row],[Salary]]&lt;70000,"50k-69k",IF(Workforce[[#This Row],[Salary]]&lt;90000,"70k-89k","90k+")))</f>
        <v>30k-49k</v>
      </c>
      <c r="M242" t="s">
        <v>1945</v>
      </c>
      <c r="N242">
        <f t="shared" ca="1" si="14"/>
        <v>8</v>
      </c>
      <c r="O242" t="str">
        <f t="shared" ca="1" si="15"/>
        <v>Senior level</v>
      </c>
    </row>
    <row r="243" spans="1:15" x14ac:dyDescent="0.3">
      <c r="A243" t="s">
        <v>1946</v>
      </c>
      <c r="B243" t="s">
        <v>1947</v>
      </c>
      <c r="C243" t="s">
        <v>1004</v>
      </c>
      <c r="D243" t="s">
        <v>1948</v>
      </c>
      <c r="E243" t="s">
        <v>1949</v>
      </c>
      <c r="F243" t="s">
        <v>1950</v>
      </c>
      <c r="G243" t="s">
        <v>1951</v>
      </c>
      <c r="H243" t="s">
        <v>1952</v>
      </c>
      <c r="I243">
        <f t="shared" ca="1" si="12"/>
        <v>58</v>
      </c>
      <c r="J243" t="str">
        <f t="shared" ca="1" si="13"/>
        <v>50-59</v>
      </c>
      <c r="K243">
        <v>38494.04</v>
      </c>
      <c r="L243" t="str">
        <f>IF(Workforce[[#This Row],[Salary]]&lt;50000,"30k-49k",IF(Workforce[[#This Row],[Salary]]&lt;70000,"50k-69k",IF(Workforce[[#This Row],[Salary]]&lt;90000,"70k-89k","90k+")))</f>
        <v>30k-49k</v>
      </c>
      <c r="M243" t="s">
        <v>1953</v>
      </c>
      <c r="N243">
        <f t="shared" ca="1" si="14"/>
        <v>6</v>
      </c>
      <c r="O243" t="str">
        <f t="shared" ca="1" si="15"/>
        <v>Intermediate level</v>
      </c>
    </row>
    <row r="244" spans="1:15" x14ac:dyDescent="0.3">
      <c r="A244" t="s">
        <v>1954</v>
      </c>
      <c r="B244" t="s">
        <v>1955</v>
      </c>
      <c r="C244" t="s">
        <v>400</v>
      </c>
      <c r="D244" t="s">
        <v>1956</v>
      </c>
      <c r="E244" t="s">
        <v>1957</v>
      </c>
      <c r="F244" t="s">
        <v>1618</v>
      </c>
      <c r="G244" t="s">
        <v>1958</v>
      </c>
      <c r="H244" t="s">
        <v>1959</v>
      </c>
      <c r="I244">
        <f t="shared" ca="1" si="12"/>
        <v>36</v>
      </c>
      <c r="J244" t="str">
        <f t="shared" ca="1" si="13"/>
        <v>30-39</v>
      </c>
      <c r="K244">
        <v>61794.54</v>
      </c>
      <c r="L244" t="str">
        <f>IF(Workforce[[#This Row],[Salary]]&lt;50000,"30k-49k",IF(Workforce[[#This Row],[Salary]]&lt;70000,"50k-69k",IF(Workforce[[#This Row],[Salary]]&lt;90000,"70k-89k","90k+")))</f>
        <v>50k-69k</v>
      </c>
      <c r="M244" t="s">
        <v>1960</v>
      </c>
      <c r="N244">
        <f t="shared" ca="1" si="14"/>
        <v>5</v>
      </c>
      <c r="O244" t="str">
        <f t="shared" ca="1" si="15"/>
        <v>Intermediate level</v>
      </c>
    </row>
    <row r="245" spans="1:15" x14ac:dyDescent="0.3">
      <c r="A245" t="s">
        <v>1961</v>
      </c>
      <c r="B245" t="s">
        <v>1962</v>
      </c>
      <c r="C245" t="s">
        <v>17</v>
      </c>
      <c r="D245" t="s">
        <v>1963</v>
      </c>
      <c r="E245" t="s">
        <v>1964</v>
      </c>
      <c r="F245" t="s">
        <v>1965</v>
      </c>
      <c r="G245" t="s">
        <v>1966</v>
      </c>
      <c r="H245" t="s">
        <v>1967</v>
      </c>
      <c r="I245">
        <f t="shared" ca="1" si="12"/>
        <v>40</v>
      </c>
      <c r="J245" t="str">
        <f t="shared" ca="1" si="13"/>
        <v>40-49</v>
      </c>
      <c r="K245">
        <v>68613.75</v>
      </c>
      <c r="L245" t="str">
        <f>IF(Workforce[[#This Row],[Salary]]&lt;50000,"30k-49k",IF(Workforce[[#This Row],[Salary]]&lt;70000,"50k-69k",IF(Workforce[[#This Row],[Salary]]&lt;90000,"70k-89k","90k+")))</f>
        <v>50k-69k</v>
      </c>
      <c r="M245" t="s">
        <v>1968</v>
      </c>
      <c r="N245">
        <f t="shared" ca="1" si="14"/>
        <v>2</v>
      </c>
      <c r="O245" t="str">
        <f t="shared" ca="1" si="15"/>
        <v>Beginner</v>
      </c>
    </row>
    <row r="246" spans="1:15" x14ac:dyDescent="0.3">
      <c r="A246" t="s">
        <v>1969</v>
      </c>
      <c r="B246" t="s">
        <v>1970</v>
      </c>
      <c r="C246" t="s">
        <v>400</v>
      </c>
      <c r="D246" t="s">
        <v>1971</v>
      </c>
      <c r="E246" t="s">
        <v>1972</v>
      </c>
      <c r="F246" t="s">
        <v>1973</v>
      </c>
      <c r="G246" t="s">
        <v>1974</v>
      </c>
      <c r="H246" t="s">
        <v>1975</v>
      </c>
      <c r="I246">
        <f t="shared" ca="1" si="12"/>
        <v>45</v>
      </c>
      <c r="J246" t="str">
        <f t="shared" ca="1" si="13"/>
        <v>40-49</v>
      </c>
      <c r="K246">
        <v>106673.03</v>
      </c>
      <c r="L246" t="str">
        <f>IF(Workforce[[#This Row],[Salary]]&lt;50000,"30k-49k",IF(Workforce[[#This Row],[Salary]]&lt;70000,"50k-69k",IF(Workforce[[#This Row],[Salary]]&lt;90000,"70k-89k","90k+")))</f>
        <v>90k+</v>
      </c>
      <c r="M246" t="s">
        <v>1976</v>
      </c>
      <c r="N246">
        <f t="shared" ca="1" si="14"/>
        <v>1</v>
      </c>
      <c r="O246" t="str">
        <f t="shared" ca="1" si="15"/>
        <v>Beginner</v>
      </c>
    </row>
    <row r="247" spans="1:15" x14ac:dyDescent="0.3">
      <c r="A247" t="s">
        <v>1977</v>
      </c>
      <c r="B247" t="s">
        <v>1978</v>
      </c>
      <c r="C247" t="s">
        <v>169</v>
      </c>
      <c r="D247" t="s">
        <v>1979</v>
      </c>
      <c r="E247" t="s">
        <v>1980</v>
      </c>
      <c r="F247" t="s">
        <v>1981</v>
      </c>
      <c r="G247" t="s">
        <v>1274</v>
      </c>
      <c r="H247" t="s">
        <v>1982</v>
      </c>
      <c r="I247">
        <f t="shared" ca="1" si="12"/>
        <v>32</v>
      </c>
      <c r="J247" t="str">
        <f t="shared" ca="1" si="13"/>
        <v>30-39</v>
      </c>
      <c r="K247">
        <v>83761.23</v>
      </c>
      <c r="L247" t="str">
        <f>IF(Workforce[[#This Row],[Salary]]&lt;50000,"30k-49k",IF(Workforce[[#This Row],[Salary]]&lt;70000,"50k-69k",IF(Workforce[[#This Row],[Salary]]&lt;90000,"70k-89k","90k+")))</f>
        <v>70k-89k</v>
      </c>
      <c r="M247" t="s">
        <v>1983</v>
      </c>
      <c r="N247">
        <f t="shared" ca="1" si="14"/>
        <v>8</v>
      </c>
      <c r="O247" t="str">
        <f t="shared" ca="1" si="15"/>
        <v>Senior level</v>
      </c>
    </row>
    <row r="248" spans="1:15" x14ac:dyDescent="0.3">
      <c r="A248" t="s">
        <v>1984</v>
      </c>
      <c r="B248" t="s">
        <v>1985</v>
      </c>
      <c r="C248" t="s">
        <v>222</v>
      </c>
      <c r="D248" t="s">
        <v>1986</v>
      </c>
      <c r="E248" t="s">
        <v>1987</v>
      </c>
      <c r="F248" t="s">
        <v>1988</v>
      </c>
      <c r="G248" t="s">
        <v>1989</v>
      </c>
      <c r="H248" t="s">
        <v>1990</v>
      </c>
      <c r="I248">
        <f t="shared" ca="1" si="12"/>
        <v>38</v>
      </c>
      <c r="J248" t="str">
        <f t="shared" ca="1" si="13"/>
        <v>30-39</v>
      </c>
      <c r="K248">
        <v>105462.41</v>
      </c>
      <c r="L248" t="str">
        <f>IF(Workforce[[#This Row],[Salary]]&lt;50000,"30k-49k",IF(Workforce[[#This Row],[Salary]]&lt;70000,"50k-69k",IF(Workforce[[#This Row],[Salary]]&lt;90000,"70k-89k","90k+")))</f>
        <v>90k+</v>
      </c>
      <c r="M248" t="s">
        <v>1991</v>
      </c>
      <c r="N248">
        <f t="shared" ca="1" si="14"/>
        <v>2</v>
      </c>
      <c r="O248" t="str">
        <f t="shared" ca="1" si="15"/>
        <v>Beginner</v>
      </c>
    </row>
    <row r="249" spans="1:15" x14ac:dyDescent="0.3">
      <c r="A249" t="s">
        <v>1992</v>
      </c>
      <c r="B249" t="s">
        <v>1993</v>
      </c>
      <c r="C249" t="s">
        <v>995</v>
      </c>
      <c r="D249" t="s">
        <v>1994</v>
      </c>
      <c r="E249" t="s">
        <v>1995</v>
      </c>
      <c r="F249" t="s">
        <v>1996</v>
      </c>
      <c r="G249" t="s">
        <v>1997</v>
      </c>
      <c r="H249" t="s">
        <v>1998</v>
      </c>
      <c r="I249">
        <f t="shared" ca="1" si="12"/>
        <v>59</v>
      </c>
      <c r="J249" t="str">
        <f t="shared" ca="1" si="13"/>
        <v>50-59</v>
      </c>
      <c r="K249">
        <v>65006.22</v>
      </c>
      <c r="L249" t="str">
        <f>IF(Workforce[[#This Row],[Salary]]&lt;50000,"30k-49k",IF(Workforce[[#This Row],[Salary]]&lt;70000,"50k-69k",IF(Workforce[[#This Row],[Salary]]&lt;90000,"70k-89k","90k+")))</f>
        <v>50k-69k</v>
      </c>
      <c r="M249" t="s">
        <v>1999</v>
      </c>
      <c r="N249">
        <f t="shared" ca="1" si="14"/>
        <v>2</v>
      </c>
      <c r="O249" t="str">
        <f t="shared" ca="1" si="15"/>
        <v>Beginner</v>
      </c>
    </row>
    <row r="250" spans="1:15" x14ac:dyDescent="0.3">
      <c r="A250" t="s">
        <v>2000</v>
      </c>
      <c r="B250" t="s">
        <v>2001</v>
      </c>
      <c r="C250" t="s">
        <v>266</v>
      </c>
      <c r="D250" t="s">
        <v>2002</v>
      </c>
      <c r="E250" t="s">
        <v>2003</v>
      </c>
      <c r="F250" t="s">
        <v>2004</v>
      </c>
      <c r="G250" t="s">
        <v>2005</v>
      </c>
      <c r="H250" t="s">
        <v>2006</v>
      </c>
      <c r="I250">
        <f t="shared" ca="1" si="12"/>
        <v>63</v>
      </c>
      <c r="J250" t="str">
        <f t="shared" ca="1" si="13"/>
        <v>60+</v>
      </c>
      <c r="K250">
        <v>43969.89</v>
      </c>
      <c r="L250" t="str">
        <f>IF(Workforce[[#This Row],[Salary]]&lt;50000,"30k-49k",IF(Workforce[[#This Row],[Salary]]&lt;70000,"50k-69k",IF(Workforce[[#This Row],[Salary]]&lt;90000,"70k-89k","90k+")))</f>
        <v>30k-49k</v>
      </c>
      <c r="M250" t="s">
        <v>2007</v>
      </c>
      <c r="N250">
        <f t="shared" ca="1" si="14"/>
        <v>6</v>
      </c>
      <c r="O250" t="str">
        <f t="shared" ca="1" si="15"/>
        <v>Intermediate level</v>
      </c>
    </row>
    <row r="251" spans="1:15" x14ac:dyDescent="0.3">
      <c r="A251" t="s">
        <v>2008</v>
      </c>
      <c r="B251" t="s">
        <v>2009</v>
      </c>
      <c r="C251" t="s">
        <v>196</v>
      </c>
      <c r="D251" t="s">
        <v>2010</v>
      </c>
      <c r="E251" t="s">
        <v>2011</v>
      </c>
      <c r="F251" t="s">
        <v>2012</v>
      </c>
      <c r="G251" t="s">
        <v>2013</v>
      </c>
      <c r="H251" t="s">
        <v>2014</v>
      </c>
      <c r="I251">
        <f t="shared" ca="1" si="12"/>
        <v>44</v>
      </c>
      <c r="J251" t="str">
        <f t="shared" ca="1" si="13"/>
        <v>40-49</v>
      </c>
      <c r="K251">
        <v>38706.35</v>
      </c>
      <c r="L251" t="str">
        <f>IF(Workforce[[#This Row],[Salary]]&lt;50000,"30k-49k",IF(Workforce[[#This Row],[Salary]]&lt;70000,"50k-69k",IF(Workforce[[#This Row],[Salary]]&lt;90000,"70k-89k","90k+")))</f>
        <v>30k-49k</v>
      </c>
      <c r="M251" t="s">
        <v>2015</v>
      </c>
      <c r="N251">
        <f t="shared" ca="1" si="14"/>
        <v>10</v>
      </c>
      <c r="O251" t="str">
        <f t="shared" ca="1" si="15"/>
        <v>Senior level</v>
      </c>
    </row>
    <row r="252" spans="1:15" x14ac:dyDescent="0.3">
      <c r="A252" t="s">
        <v>2016</v>
      </c>
      <c r="B252" t="s">
        <v>2017</v>
      </c>
      <c r="C252" t="s">
        <v>326</v>
      </c>
      <c r="D252" t="s">
        <v>2018</v>
      </c>
      <c r="E252" t="s">
        <v>2019</v>
      </c>
      <c r="F252" t="s">
        <v>2020</v>
      </c>
      <c r="G252" t="s">
        <v>2021</v>
      </c>
      <c r="H252" t="s">
        <v>2022</v>
      </c>
      <c r="I252">
        <f t="shared" ca="1" si="12"/>
        <v>19</v>
      </c>
      <c r="J252" t="str">
        <f t="shared" ca="1" si="13"/>
        <v>18-29</v>
      </c>
      <c r="K252">
        <v>96774.2</v>
      </c>
      <c r="L252" t="str">
        <f>IF(Workforce[[#This Row],[Salary]]&lt;50000,"30k-49k",IF(Workforce[[#This Row],[Salary]]&lt;70000,"50k-69k",IF(Workforce[[#This Row],[Salary]]&lt;90000,"70k-89k","90k+")))</f>
        <v>90k+</v>
      </c>
      <c r="M252" t="s">
        <v>2023</v>
      </c>
      <c r="N252">
        <f t="shared" ca="1" si="14"/>
        <v>2</v>
      </c>
      <c r="O252" t="str">
        <f t="shared" ca="1" si="15"/>
        <v>Beginner</v>
      </c>
    </row>
    <row r="253" spans="1:15" x14ac:dyDescent="0.3">
      <c r="A253" t="s">
        <v>2024</v>
      </c>
      <c r="B253" t="s">
        <v>2025</v>
      </c>
      <c r="C253" t="s">
        <v>169</v>
      </c>
      <c r="D253" t="s">
        <v>2026</v>
      </c>
      <c r="E253" t="s">
        <v>2027</v>
      </c>
      <c r="F253" t="s">
        <v>2028</v>
      </c>
      <c r="G253" t="s">
        <v>2029</v>
      </c>
      <c r="H253" t="s">
        <v>2030</v>
      </c>
      <c r="I253">
        <f t="shared" ca="1" si="12"/>
        <v>61</v>
      </c>
      <c r="J253" t="str">
        <f t="shared" ca="1" si="13"/>
        <v>60+</v>
      </c>
      <c r="K253">
        <v>117996.79</v>
      </c>
      <c r="L253" t="str">
        <f>IF(Workforce[[#This Row],[Salary]]&lt;50000,"30k-49k",IF(Workforce[[#This Row],[Salary]]&lt;70000,"50k-69k",IF(Workforce[[#This Row],[Salary]]&lt;90000,"70k-89k","90k+")))</f>
        <v>90k+</v>
      </c>
      <c r="M253" t="s">
        <v>2031</v>
      </c>
      <c r="N253">
        <f t="shared" ca="1" si="14"/>
        <v>5</v>
      </c>
      <c r="O253" t="str">
        <f t="shared" ca="1" si="15"/>
        <v>Intermediate level</v>
      </c>
    </row>
    <row r="254" spans="1:15" x14ac:dyDescent="0.3">
      <c r="A254" t="s">
        <v>2032</v>
      </c>
      <c r="B254" t="s">
        <v>2033</v>
      </c>
      <c r="C254" t="s">
        <v>187</v>
      </c>
      <c r="D254" t="s">
        <v>2034</v>
      </c>
      <c r="E254" t="s">
        <v>2035</v>
      </c>
      <c r="F254" t="s">
        <v>2036</v>
      </c>
      <c r="G254" t="s">
        <v>2037</v>
      </c>
      <c r="H254" t="s">
        <v>2038</v>
      </c>
      <c r="I254">
        <f t="shared" ca="1" si="12"/>
        <v>50</v>
      </c>
      <c r="J254" t="str">
        <f t="shared" ca="1" si="13"/>
        <v>50-59</v>
      </c>
      <c r="K254">
        <v>45791.33</v>
      </c>
      <c r="L254" t="str">
        <f>IF(Workforce[[#This Row],[Salary]]&lt;50000,"30k-49k",IF(Workforce[[#This Row],[Salary]]&lt;70000,"50k-69k",IF(Workforce[[#This Row],[Salary]]&lt;90000,"70k-89k","90k+")))</f>
        <v>30k-49k</v>
      </c>
      <c r="M254" t="s">
        <v>2039</v>
      </c>
      <c r="N254">
        <f t="shared" ca="1" si="14"/>
        <v>5</v>
      </c>
      <c r="O254" t="str">
        <f t="shared" ca="1" si="15"/>
        <v>Intermediate level</v>
      </c>
    </row>
    <row r="255" spans="1:15" x14ac:dyDescent="0.3">
      <c r="A255" t="s">
        <v>2040</v>
      </c>
      <c r="B255" t="s">
        <v>2041</v>
      </c>
      <c r="C255" t="s">
        <v>222</v>
      </c>
      <c r="D255" t="s">
        <v>2042</v>
      </c>
      <c r="E255" t="s">
        <v>2043</v>
      </c>
      <c r="F255" t="s">
        <v>295</v>
      </c>
      <c r="G255" t="s">
        <v>2044</v>
      </c>
      <c r="H255" t="s">
        <v>2045</v>
      </c>
      <c r="I255">
        <f t="shared" ca="1" si="12"/>
        <v>42</v>
      </c>
      <c r="J255" t="str">
        <f t="shared" ca="1" si="13"/>
        <v>40-49</v>
      </c>
      <c r="K255">
        <v>88442.06</v>
      </c>
      <c r="L255" t="str">
        <f>IF(Workforce[[#This Row],[Salary]]&lt;50000,"30k-49k",IF(Workforce[[#This Row],[Salary]]&lt;70000,"50k-69k",IF(Workforce[[#This Row],[Salary]]&lt;90000,"70k-89k","90k+")))</f>
        <v>70k-89k</v>
      </c>
      <c r="M255" t="s">
        <v>2046</v>
      </c>
      <c r="N255">
        <f t="shared" ca="1" si="14"/>
        <v>7</v>
      </c>
      <c r="O255" t="str">
        <f t="shared" ca="1" si="15"/>
        <v>Senior level</v>
      </c>
    </row>
    <row r="256" spans="1:15" x14ac:dyDescent="0.3">
      <c r="A256" t="s">
        <v>2047</v>
      </c>
      <c r="B256" t="s">
        <v>2048</v>
      </c>
      <c r="C256" t="s">
        <v>326</v>
      </c>
      <c r="D256" t="s">
        <v>2049</v>
      </c>
      <c r="E256" t="s">
        <v>2050</v>
      </c>
      <c r="F256" t="s">
        <v>2051</v>
      </c>
      <c r="G256" t="s">
        <v>2052</v>
      </c>
      <c r="H256" t="s">
        <v>2053</v>
      </c>
      <c r="I256">
        <f t="shared" ca="1" si="12"/>
        <v>33</v>
      </c>
      <c r="J256" t="str">
        <f t="shared" ca="1" si="13"/>
        <v>30-39</v>
      </c>
      <c r="K256">
        <v>94884.46</v>
      </c>
      <c r="L256" t="str">
        <f>IF(Workforce[[#This Row],[Salary]]&lt;50000,"30k-49k",IF(Workforce[[#This Row],[Salary]]&lt;70000,"50k-69k",IF(Workforce[[#This Row],[Salary]]&lt;90000,"70k-89k","90k+")))</f>
        <v>90k+</v>
      </c>
      <c r="M256" t="s">
        <v>2054</v>
      </c>
      <c r="N256">
        <f t="shared" ca="1" si="14"/>
        <v>10</v>
      </c>
      <c r="O256" t="str">
        <f t="shared" ca="1" si="15"/>
        <v>Senior level</v>
      </c>
    </row>
    <row r="257" spans="1:15" x14ac:dyDescent="0.3">
      <c r="A257" t="s">
        <v>2055</v>
      </c>
      <c r="B257" t="s">
        <v>2056</v>
      </c>
      <c r="C257" t="s">
        <v>284</v>
      </c>
      <c r="D257" t="s">
        <v>2057</v>
      </c>
      <c r="E257" t="s">
        <v>2058</v>
      </c>
      <c r="F257" t="s">
        <v>1996</v>
      </c>
      <c r="G257" t="s">
        <v>2059</v>
      </c>
      <c r="H257" t="s">
        <v>2060</v>
      </c>
      <c r="I257">
        <f t="shared" ca="1" si="12"/>
        <v>19</v>
      </c>
      <c r="J257" t="str">
        <f t="shared" ca="1" si="13"/>
        <v>18-29</v>
      </c>
      <c r="K257">
        <v>48788.45</v>
      </c>
      <c r="L257" t="str">
        <f>IF(Workforce[[#This Row],[Salary]]&lt;50000,"30k-49k",IF(Workforce[[#This Row],[Salary]]&lt;70000,"50k-69k",IF(Workforce[[#This Row],[Salary]]&lt;90000,"70k-89k","90k+")))</f>
        <v>30k-49k</v>
      </c>
      <c r="M257" t="s">
        <v>2061</v>
      </c>
      <c r="N257">
        <f t="shared" ca="1" si="14"/>
        <v>1</v>
      </c>
      <c r="O257" t="str">
        <f t="shared" ca="1" si="15"/>
        <v>Beginner</v>
      </c>
    </row>
    <row r="258" spans="1:15" x14ac:dyDescent="0.3">
      <c r="A258" t="s">
        <v>2062</v>
      </c>
      <c r="B258" t="s">
        <v>2063</v>
      </c>
      <c r="C258" t="s">
        <v>482</v>
      </c>
      <c r="D258" t="s">
        <v>2064</v>
      </c>
      <c r="E258" t="s">
        <v>2065</v>
      </c>
      <c r="F258" t="s">
        <v>2066</v>
      </c>
      <c r="G258" t="s">
        <v>2067</v>
      </c>
      <c r="H258" t="s">
        <v>1728</v>
      </c>
      <c r="I258">
        <f t="shared" ref="I258:I321" ca="1" si="16">DATEDIF(H258,TODAY(),"y")</f>
        <v>52</v>
      </c>
      <c r="J258" t="str">
        <f t="shared" ref="J258:J321" ca="1" si="17">IF(I258&lt;30,"18-29",IF(I258&lt;40,"30-39",IF(I258&lt;50,"40-49",IF(I258&lt;60,"50-59","60+"))))</f>
        <v>50-59</v>
      </c>
      <c r="K258">
        <v>51758.99</v>
      </c>
      <c r="L258" t="str">
        <f>IF(Workforce[[#This Row],[Salary]]&lt;50000,"30k-49k",IF(Workforce[[#This Row],[Salary]]&lt;70000,"50k-69k",IF(Workforce[[#This Row],[Salary]]&lt;90000,"70k-89k","90k+")))</f>
        <v>50k-69k</v>
      </c>
      <c r="M258" t="s">
        <v>2068</v>
      </c>
      <c r="N258">
        <f t="shared" ref="N258:N321" ca="1" si="18">DATEDIF(M258,TODAY(),"y")</f>
        <v>5</v>
      </c>
      <c r="O258" t="str">
        <f t="shared" ref="O258:O321" ca="1" si="19">IF(N258&lt;=2,"Beginner",IF(N258&lt;=6,"Intermediate level","Senior level"))</f>
        <v>Intermediate level</v>
      </c>
    </row>
    <row r="259" spans="1:15" x14ac:dyDescent="0.3">
      <c r="A259" t="s">
        <v>2069</v>
      </c>
      <c r="B259" t="s">
        <v>2070</v>
      </c>
      <c r="C259" t="s">
        <v>88</v>
      </c>
      <c r="D259" t="s">
        <v>2071</v>
      </c>
      <c r="E259" t="s">
        <v>2072</v>
      </c>
      <c r="F259" t="s">
        <v>127</v>
      </c>
      <c r="G259" t="s">
        <v>2073</v>
      </c>
      <c r="H259" t="s">
        <v>2074</v>
      </c>
      <c r="I259">
        <f t="shared" ca="1" si="16"/>
        <v>30</v>
      </c>
      <c r="J259" t="str">
        <f t="shared" ca="1" si="17"/>
        <v>30-39</v>
      </c>
      <c r="K259">
        <v>74493.25</v>
      </c>
      <c r="L259" t="str">
        <f>IF(Workforce[[#This Row],[Salary]]&lt;50000,"30k-49k",IF(Workforce[[#This Row],[Salary]]&lt;70000,"50k-69k",IF(Workforce[[#This Row],[Salary]]&lt;90000,"70k-89k","90k+")))</f>
        <v>70k-89k</v>
      </c>
      <c r="M259" t="s">
        <v>2075</v>
      </c>
      <c r="N259">
        <f t="shared" ca="1" si="18"/>
        <v>4</v>
      </c>
      <c r="O259" t="str">
        <f t="shared" ca="1" si="19"/>
        <v>Intermediate level</v>
      </c>
    </row>
    <row r="260" spans="1:15" x14ac:dyDescent="0.3">
      <c r="A260" t="s">
        <v>2076</v>
      </c>
      <c r="B260" t="s">
        <v>2077</v>
      </c>
      <c r="C260" t="s">
        <v>222</v>
      </c>
      <c r="D260" t="s">
        <v>2078</v>
      </c>
      <c r="E260" t="s">
        <v>2079</v>
      </c>
      <c r="F260" t="s">
        <v>2080</v>
      </c>
      <c r="G260" t="s">
        <v>2081</v>
      </c>
      <c r="H260" t="s">
        <v>2082</v>
      </c>
      <c r="I260">
        <f t="shared" ca="1" si="16"/>
        <v>46</v>
      </c>
      <c r="J260" t="str">
        <f t="shared" ca="1" si="17"/>
        <v>40-49</v>
      </c>
      <c r="K260">
        <v>103394.92</v>
      </c>
      <c r="L260" t="str">
        <f>IF(Workforce[[#This Row],[Salary]]&lt;50000,"30k-49k",IF(Workforce[[#This Row],[Salary]]&lt;70000,"50k-69k",IF(Workforce[[#This Row],[Salary]]&lt;90000,"70k-89k","90k+")))</f>
        <v>90k+</v>
      </c>
      <c r="M260" t="s">
        <v>2083</v>
      </c>
      <c r="N260">
        <f t="shared" ca="1" si="18"/>
        <v>7</v>
      </c>
      <c r="O260" t="str">
        <f t="shared" ca="1" si="19"/>
        <v>Senior level</v>
      </c>
    </row>
    <row r="261" spans="1:15" x14ac:dyDescent="0.3">
      <c r="A261" t="s">
        <v>2084</v>
      </c>
      <c r="B261" t="s">
        <v>2085</v>
      </c>
      <c r="C261" t="s">
        <v>2086</v>
      </c>
      <c r="D261" t="s">
        <v>2087</v>
      </c>
      <c r="E261" t="s">
        <v>2088</v>
      </c>
      <c r="F261" t="s">
        <v>710</v>
      </c>
      <c r="G261" t="s">
        <v>2089</v>
      </c>
      <c r="H261" t="s">
        <v>2090</v>
      </c>
      <c r="I261">
        <f t="shared" ca="1" si="16"/>
        <v>38</v>
      </c>
      <c r="J261" t="str">
        <f t="shared" ca="1" si="17"/>
        <v>30-39</v>
      </c>
      <c r="K261">
        <v>68106.350000000006</v>
      </c>
      <c r="L261" t="str">
        <f>IF(Workforce[[#This Row],[Salary]]&lt;50000,"30k-49k",IF(Workforce[[#This Row],[Salary]]&lt;70000,"50k-69k",IF(Workforce[[#This Row],[Salary]]&lt;90000,"70k-89k","90k+")))</f>
        <v>50k-69k</v>
      </c>
      <c r="M261" t="s">
        <v>2091</v>
      </c>
      <c r="N261">
        <f t="shared" ca="1" si="18"/>
        <v>1</v>
      </c>
      <c r="O261" t="str">
        <f t="shared" ca="1" si="19"/>
        <v>Beginner</v>
      </c>
    </row>
    <row r="262" spans="1:15" x14ac:dyDescent="0.3">
      <c r="A262" t="s">
        <v>2092</v>
      </c>
      <c r="B262" t="s">
        <v>2093</v>
      </c>
      <c r="C262" t="s">
        <v>222</v>
      </c>
      <c r="D262" t="s">
        <v>2094</v>
      </c>
      <c r="E262" t="s">
        <v>2095</v>
      </c>
      <c r="F262" t="s">
        <v>886</v>
      </c>
      <c r="G262" t="s">
        <v>2096</v>
      </c>
      <c r="H262" t="s">
        <v>2097</v>
      </c>
      <c r="I262">
        <f t="shared" ca="1" si="16"/>
        <v>47</v>
      </c>
      <c r="J262" t="str">
        <f t="shared" ca="1" si="17"/>
        <v>40-49</v>
      </c>
      <c r="K262">
        <v>78563.89</v>
      </c>
      <c r="L262" t="str">
        <f>IF(Workforce[[#This Row],[Salary]]&lt;50000,"30k-49k",IF(Workforce[[#This Row],[Salary]]&lt;70000,"50k-69k",IF(Workforce[[#This Row],[Salary]]&lt;90000,"70k-89k","90k+")))</f>
        <v>70k-89k</v>
      </c>
      <c r="M262" t="s">
        <v>2098</v>
      </c>
      <c r="N262">
        <f t="shared" ca="1" si="18"/>
        <v>9</v>
      </c>
      <c r="O262" t="str">
        <f t="shared" ca="1" si="19"/>
        <v>Senior level</v>
      </c>
    </row>
    <row r="263" spans="1:15" x14ac:dyDescent="0.3">
      <c r="A263" t="s">
        <v>2099</v>
      </c>
      <c r="B263" s="3" t="s">
        <v>2100</v>
      </c>
      <c r="C263" t="s">
        <v>457</v>
      </c>
      <c r="D263" t="s">
        <v>2101</v>
      </c>
      <c r="E263" t="s">
        <v>2102</v>
      </c>
      <c r="F263" t="s">
        <v>1996</v>
      </c>
      <c r="G263" t="s">
        <v>2103</v>
      </c>
      <c r="H263" t="s">
        <v>2104</v>
      </c>
      <c r="I263">
        <f t="shared" ca="1" si="16"/>
        <v>30</v>
      </c>
      <c r="J263" t="str">
        <f t="shared" ca="1" si="17"/>
        <v>30-39</v>
      </c>
      <c r="K263">
        <v>68383.91</v>
      </c>
      <c r="L263" t="str">
        <f>IF(Workforce[[#This Row],[Salary]]&lt;50000,"30k-49k",IF(Workforce[[#This Row],[Salary]]&lt;70000,"50k-69k",IF(Workforce[[#This Row],[Salary]]&lt;90000,"70k-89k","90k+")))</f>
        <v>50k-69k</v>
      </c>
      <c r="M263" t="s">
        <v>2105</v>
      </c>
      <c r="N263">
        <f t="shared" ca="1" si="18"/>
        <v>2</v>
      </c>
      <c r="O263" t="str">
        <f t="shared" ca="1" si="19"/>
        <v>Beginner</v>
      </c>
    </row>
    <row r="264" spans="1:15" x14ac:dyDescent="0.3">
      <c r="A264" t="s">
        <v>2106</v>
      </c>
      <c r="B264" t="s">
        <v>2107</v>
      </c>
      <c r="C264" t="s">
        <v>440</v>
      </c>
      <c r="D264" t="s">
        <v>2108</v>
      </c>
      <c r="E264" t="s">
        <v>2109</v>
      </c>
      <c r="F264" t="s">
        <v>1525</v>
      </c>
      <c r="G264" t="s">
        <v>2110</v>
      </c>
      <c r="H264" t="s">
        <v>2111</v>
      </c>
      <c r="I264">
        <f t="shared" ca="1" si="16"/>
        <v>21</v>
      </c>
      <c r="J264" t="str">
        <f t="shared" ca="1" si="17"/>
        <v>18-29</v>
      </c>
      <c r="K264">
        <v>59964.26</v>
      </c>
      <c r="L264" t="str">
        <f>IF(Workforce[[#This Row],[Salary]]&lt;50000,"30k-49k",IF(Workforce[[#This Row],[Salary]]&lt;70000,"50k-69k",IF(Workforce[[#This Row],[Salary]]&lt;90000,"70k-89k","90k+")))</f>
        <v>50k-69k</v>
      </c>
      <c r="M264" t="s">
        <v>2112</v>
      </c>
      <c r="N264">
        <f t="shared" ca="1" si="18"/>
        <v>1</v>
      </c>
      <c r="O264" t="str">
        <f t="shared" ca="1" si="19"/>
        <v>Beginner</v>
      </c>
    </row>
    <row r="265" spans="1:15" x14ac:dyDescent="0.3">
      <c r="A265" t="s">
        <v>2113</v>
      </c>
      <c r="B265" t="s">
        <v>2114</v>
      </c>
      <c r="C265" t="s">
        <v>160</v>
      </c>
      <c r="D265" t="s">
        <v>2115</v>
      </c>
      <c r="E265" t="s">
        <v>2116</v>
      </c>
      <c r="F265" t="s">
        <v>2117</v>
      </c>
      <c r="G265" t="s">
        <v>2118</v>
      </c>
      <c r="H265" t="s">
        <v>2119</v>
      </c>
      <c r="I265">
        <f t="shared" ca="1" si="16"/>
        <v>37</v>
      </c>
      <c r="J265" t="str">
        <f t="shared" ca="1" si="17"/>
        <v>30-39</v>
      </c>
      <c r="K265">
        <v>85800.11</v>
      </c>
      <c r="L265" t="str">
        <f>IF(Workforce[[#This Row],[Salary]]&lt;50000,"30k-49k",IF(Workforce[[#This Row],[Salary]]&lt;70000,"50k-69k",IF(Workforce[[#This Row],[Salary]]&lt;90000,"70k-89k","90k+")))</f>
        <v>70k-89k</v>
      </c>
      <c r="M265" t="s">
        <v>2120</v>
      </c>
      <c r="N265">
        <f t="shared" ca="1" si="18"/>
        <v>5</v>
      </c>
      <c r="O265" t="str">
        <f t="shared" ca="1" si="19"/>
        <v>Intermediate level</v>
      </c>
    </row>
    <row r="266" spans="1:15" x14ac:dyDescent="0.3">
      <c r="A266" t="s">
        <v>2121</v>
      </c>
      <c r="B266" t="s">
        <v>2122</v>
      </c>
      <c r="C266" t="s">
        <v>133</v>
      </c>
      <c r="D266" t="s">
        <v>2123</v>
      </c>
      <c r="E266" t="s">
        <v>2124</v>
      </c>
      <c r="F266" t="s">
        <v>1765</v>
      </c>
      <c r="G266" t="s">
        <v>2125</v>
      </c>
      <c r="H266" t="s">
        <v>2126</v>
      </c>
      <c r="I266">
        <f t="shared" ca="1" si="16"/>
        <v>31</v>
      </c>
      <c r="J266" t="str">
        <f t="shared" ca="1" si="17"/>
        <v>30-39</v>
      </c>
      <c r="K266">
        <v>119133.46</v>
      </c>
      <c r="L266" t="str">
        <f>IF(Workforce[[#This Row],[Salary]]&lt;50000,"30k-49k",IF(Workforce[[#This Row],[Salary]]&lt;70000,"50k-69k",IF(Workforce[[#This Row],[Salary]]&lt;90000,"70k-89k","90k+")))</f>
        <v>90k+</v>
      </c>
      <c r="M266" t="s">
        <v>2127</v>
      </c>
      <c r="N266">
        <f t="shared" ca="1" si="18"/>
        <v>9</v>
      </c>
      <c r="O266" t="str">
        <f t="shared" ca="1" si="19"/>
        <v>Senior level</v>
      </c>
    </row>
    <row r="267" spans="1:15" x14ac:dyDescent="0.3">
      <c r="A267" t="s">
        <v>2128</v>
      </c>
      <c r="B267" t="s">
        <v>2129</v>
      </c>
      <c r="C267" t="s">
        <v>178</v>
      </c>
      <c r="D267" t="s">
        <v>2130</v>
      </c>
      <c r="E267" t="s">
        <v>2131</v>
      </c>
      <c r="F267" t="s">
        <v>295</v>
      </c>
      <c r="G267" t="s">
        <v>2132</v>
      </c>
      <c r="H267" t="s">
        <v>2133</v>
      </c>
      <c r="I267">
        <f t="shared" ca="1" si="16"/>
        <v>45</v>
      </c>
      <c r="J267" t="str">
        <f t="shared" ca="1" si="17"/>
        <v>40-49</v>
      </c>
      <c r="K267">
        <v>54562.89</v>
      </c>
      <c r="L267" t="str">
        <f>IF(Workforce[[#This Row],[Salary]]&lt;50000,"30k-49k",IF(Workforce[[#This Row],[Salary]]&lt;70000,"50k-69k",IF(Workforce[[#This Row],[Salary]]&lt;90000,"70k-89k","90k+")))</f>
        <v>50k-69k</v>
      </c>
      <c r="M267" t="s">
        <v>2134</v>
      </c>
      <c r="N267">
        <f t="shared" ca="1" si="18"/>
        <v>10</v>
      </c>
      <c r="O267" t="str">
        <f t="shared" ca="1" si="19"/>
        <v>Senior level</v>
      </c>
    </row>
    <row r="268" spans="1:15" x14ac:dyDescent="0.3">
      <c r="A268" t="s">
        <v>2135</v>
      </c>
      <c r="B268" t="s">
        <v>2136</v>
      </c>
      <c r="C268" t="s">
        <v>187</v>
      </c>
      <c r="D268" t="s">
        <v>2137</v>
      </c>
      <c r="E268" t="s">
        <v>2138</v>
      </c>
      <c r="F268" t="s">
        <v>2139</v>
      </c>
      <c r="G268" t="s">
        <v>2140</v>
      </c>
      <c r="H268" t="s">
        <v>2141</v>
      </c>
      <c r="I268">
        <f t="shared" ca="1" si="16"/>
        <v>64</v>
      </c>
      <c r="J268" t="str">
        <f t="shared" ca="1" si="17"/>
        <v>60+</v>
      </c>
      <c r="K268">
        <v>72814.38</v>
      </c>
      <c r="L268" t="str">
        <f>IF(Workforce[[#This Row],[Salary]]&lt;50000,"30k-49k",IF(Workforce[[#This Row],[Salary]]&lt;70000,"50k-69k",IF(Workforce[[#This Row],[Salary]]&lt;90000,"70k-89k","90k+")))</f>
        <v>70k-89k</v>
      </c>
      <c r="M268" t="s">
        <v>2142</v>
      </c>
      <c r="N268">
        <f t="shared" ca="1" si="18"/>
        <v>3</v>
      </c>
      <c r="O268" t="str">
        <f t="shared" ca="1" si="19"/>
        <v>Intermediate level</v>
      </c>
    </row>
    <row r="269" spans="1:15" x14ac:dyDescent="0.3">
      <c r="A269" t="s">
        <v>2143</v>
      </c>
      <c r="B269" t="s">
        <v>2144</v>
      </c>
      <c r="C269" t="s">
        <v>196</v>
      </c>
      <c r="D269" t="s">
        <v>2145</v>
      </c>
      <c r="E269" t="s">
        <v>2146</v>
      </c>
      <c r="F269" t="s">
        <v>1533</v>
      </c>
      <c r="G269" t="s">
        <v>2147</v>
      </c>
      <c r="H269" t="s">
        <v>2148</v>
      </c>
      <c r="I269">
        <f t="shared" ca="1" si="16"/>
        <v>57</v>
      </c>
      <c r="J269" t="str">
        <f t="shared" ca="1" si="17"/>
        <v>50-59</v>
      </c>
      <c r="K269">
        <v>95572.73</v>
      </c>
      <c r="L269" t="str">
        <f>IF(Workforce[[#This Row],[Salary]]&lt;50000,"30k-49k",IF(Workforce[[#This Row],[Salary]]&lt;70000,"50k-69k",IF(Workforce[[#This Row],[Salary]]&lt;90000,"70k-89k","90k+")))</f>
        <v>90k+</v>
      </c>
      <c r="M269" t="s">
        <v>2149</v>
      </c>
      <c r="N269">
        <f t="shared" ca="1" si="18"/>
        <v>3</v>
      </c>
      <c r="O269" t="str">
        <f t="shared" ca="1" si="19"/>
        <v>Intermediate level</v>
      </c>
    </row>
    <row r="270" spans="1:15" x14ac:dyDescent="0.3">
      <c r="A270" t="s">
        <v>2150</v>
      </c>
      <c r="B270" t="s">
        <v>2151</v>
      </c>
      <c r="C270" t="s">
        <v>169</v>
      </c>
      <c r="D270" t="s">
        <v>2152</v>
      </c>
      <c r="E270" t="s">
        <v>2153</v>
      </c>
      <c r="F270" t="s">
        <v>2154</v>
      </c>
      <c r="G270" t="s">
        <v>2155</v>
      </c>
      <c r="H270" t="s">
        <v>2156</v>
      </c>
      <c r="I270">
        <f t="shared" ca="1" si="16"/>
        <v>36</v>
      </c>
      <c r="J270" t="str">
        <f t="shared" ca="1" si="17"/>
        <v>30-39</v>
      </c>
      <c r="K270">
        <v>116430.28</v>
      </c>
      <c r="L270" t="str">
        <f>IF(Workforce[[#This Row],[Salary]]&lt;50000,"30k-49k",IF(Workforce[[#This Row],[Salary]]&lt;70000,"50k-69k",IF(Workforce[[#This Row],[Salary]]&lt;90000,"70k-89k","90k+")))</f>
        <v>90k+</v>
      </c>
      <c r="M270" t="s">
        <v>2157</v>
      </c>
      <c r="N270">
        <f t="shared" ca="1" si="18"/>
        <v>1</v>
      </c>
      <c r="O270" t="str">
        <f t="shared" ca="1" si="19"/>
        <v>Beginner</v>
      </c>
    </row>
    <row r="271" spans="1:15" x14ac:dyDescent="0.3">
      <c r="A271" t="s">
        <v>2158</v>
      </c>
      <c r="B271" t="s">
        <v>2159</v>
      </c>
      <c r="C271" t="s">
        <v>1004</v>
      </c>
      <c r="D271" t="s">
        <v>2160</v>
      </c>
      <c r="E271" t="s">
        <v>2161</v>
      </c>
      <c r="F271" t="s">
        <v>2162</v>
      </c>
      <c r="G271" t="s">
        <v>2163</v>
      </c>
      <c r="H271" t="s">
        <v>2164</v>
      </c>
      <c r="I271">
        <f t="shared" ca="1" si="16"/>
        <v>40</v>
      </c>
      <c r="J271" t="str">
        <f t="shared" ca="1" si="17"/>
        <v>40-49</v>
      </c>
      <c r="K271">
        <v>90727.02</v>
      </c>
      <c r="L271" t="str">
        <f>IF(Workforce[[#This Row],[Salary]]&lt;50000,"30k-49k",IF(Workforce[[#This Row],[Salary]]&lt;70000,"50k-69k",IF(Workforce[[#This Row],[Salary]]&lt;90000,"70k-89k","90k+")))</f>
        <v>90k+</v>
      </c>
      <c r="M271" t="s">
        <v>2165</v>
      </c>
      <c r="N271">
        <f t="shared" ca="1" si="18"/>
        <v>3</v>
      </c>
      <c r="O271" t="str">
        <f t="shared" ca="1" si="19"/>
        <v>Intermediate level</v>
      </c>
    </row>
    <row r="272" spans="1:15" x14ac:dyDescent="0.3">
      <c r="A272" t="s">
        <v>2166</v>
      </c>
      <c r="B272" t="s">
        <v>2167</v>
      </c>
      <c r="C272" t="s">
        <v>1004</v>
      </c>
      <c r="D272" t="s">
        <v>2168</v>
      </c>
      <c r="E272" t="s">
        <v>2169</v>
      </c>
      <c r="F272" t="s">
        <v>2170</v>
      </c>
      <c r="G272" t="s">
        <v>2171</v>
      </c>
      <c r="H272" t="s">
        <v>2172</v>
      </c>
      <c r="I272">
        <f t="shared" ca="1" si="16"/>
        <v>33</v>
      </c>
      <c r="J272" t="str">
        <f t="shared" ca="1" si="17"/>
        <v>30-39</v>
      </c>
      <c r="K272">
        <v>74563.289999999994</v>
      </c>
      <c r="L272" t="str">
        <f>IF(Workforce[[#This Row],[Salary]]&lt;50000,"30k-49k",IF(Workforce[[#This Row],[Salary]]&lt;70000,"50k-69k",IF(Workforce[[#This Row],[Salary]]&lt;90000,"70k-89k","90k+")))</f>
        <v>70k-89k</v>
      </c>
      <c r="M272" t="s">
        <v>2173</v>
      </c>
      <c r="N272">
        <f t="shared" ca="1" si="18"/>
        <v>7</v>
      </c>
      <c r="O272" t="str">
        <f t="shared" ca="1" si="19"/>
        <v>Senior level</v>
      </c>
    </row>
    <row r="273" spans="1:15" x14ac:dyDescent="0.3">
      <c r="A273" t="s">
        <v>2174</v>
      </c>
      <c r="B273" t="s">
        <v>2175</v>
      </c>
      <c r="C273" t="s">
        <v>124</v>
      </c>
      <c r="D273" t="s">
        <v>2176</v>
      </c>
      <c r="E273" t="s">
        <v>2177</v>
      </c>
      <c r="F273" t="s">
        <v>2178</v>
      </c>
      <c r="G273" t="s">
        <v>2179</v>
      </c>
      <c r="H273" t="s">
        <v>2180</v>
      </c>
      <c r="I273">
        <f t="shared" ca="1" si="16"/>
        <v>61</v>
      </c>
      <c r="J273" t="str">
        <f t="shared" ca="1" si="17"/>
        <v>60+</v>
      </c>
      <c r="K273">
        <v>59277.48</v>
      </c>
      <c r="L273" t="str">
        <f>IF(Workforce[[#This Row],[Salary]]&lt;50000,"30k-49k",IF(Workforce[[#This Row],[Salary]]&lt;70000,"50k-69k",IF(Workforce[[#This Row],[Salary]]&lt;90000,"70k-89k","90k+")))</f>
        <v>50k-69k</v>
      </c>
      <c r="M273" t="s">
        <v>2181</v>
      </c>
      <c r="N273">
        <f t="shared" ca="1" si="18"/>
        <v>5</v>
      </c>
      <c r="O273" t="str">
        <f t="shared" ca="1" si="19"/>
        <v>Intermediate level</v>
      </c>
    </row>
    <row r="274" spans="1:15" x14ac:dyDescent="0.3">
      <c r="A274" t="s">
        <v>2182</v>
      </c>
      <c r="B274" t="s">
        <v>2183</v>
      </c>
      <c r="C274" t="s">
        <v>106</v>
      </c>
      <c r="D274" t="s">
        <v>2184</v>
      </c>
      <c r="E274" t="s">
        <v>2185</v>
      </c>
      <c r="F274" t="s">
        <v>2186</v>
      </c>
      <c r="G274" t="s">
        <v>2187</v>
      </c>
      <c r="H274" t="s">
        <v>2188</v>
      </c>
      <c r="I274">
        <f t="shared" ca="1" si="16"/>
        <v>29</v>
      </c>
      <c r="J274" t="str">
        <f t="shared" ca="1" si="17"/>
        <v>18-29</v>
      </c>
      <c r="K274">
        <v>52664.74</v>
      </c>
      <c r="L274" t="str">
        <f>IF(Workforce[[#This Row],[Salary]]&lt;50000,"30k-49k",IF(Workforce[[#This Row],[Salary]]&lt;70000,"50k-69k",IF(Workforce[[#This Row],[Salary]]&lt;90000,"70k-89k","90k+")))</f>
        <v>50k-69k</v>
      </c>
      <c r="M274" t="s">
        <v>2189</v>
      </c>
      <c r="N274">
        <f t="shared" ca="1" si="18"/>
        <v>4</v>
      </c>
      <c r="O274" t="str">
        <f t="shared" ca="1" si="19"/>
        <v>Intermediate level</v>
      </c>
    </row>
    <row r="275" spans="1:15" x14ac:dyDescent="0.3">
      <c r="A275" t="s">
        <v>2190</v>
      </c>
      <c r="B275" t="s">
        <v>2191</v>
      </c>
      <c r="C275" t="s">
        <v>351</v>
      </c>
      <c r="D275" t="s">
        <v>2192</v>
      </c>
      <c r="E275" t="s">
        <v>2193</v>
      </c>
      <c r="F275" t="s">
        <v>2194</v>
      </c>
      <c r="G275" t="s">
        <v>2195</v>
      </c>
      <c r="H275" t="s">
        <v>2196</v>
      </c>
      <c r="I275">
        <f t="shared" ca="1" si="16"/>
        <v>49</v>
      </c>
      <c r="J275" t="str">
        <f t="shared" ca="1" si="17"/>
        <v>40-49</v>
      </c>
      <c r="K275">
        <v>69724.53</v>
      </c>
      <c r="L275" t="str">
        <f>IF(Workforce[[#This Row],[Salary]]&lt;50000,"30k-49k",IF(Workforce[[#This Row],[Salary]]&lt;70000,"50k-69k",IF(Workforce[[#This Row],[Salary]]&lt;90000,"70k-89k","90k+")))</f>
        <v>50k-69k</v>
      </c>
      <c r="M275" t="s">
        <v>2197</v>
      </c>
      <c r="N275">
        <f t="shared" ca="1" si="18"/>
        <v>5</v>
      </c>
      <c r="O275" t="str">
        <f t="shared" ca="1" si="19"/>
        <v>Intermediate level</v>
      </c>
    </row>
    <row r="276" spans="1:15" x14ac:dyDescent="0.3">
      <c r="A276" t="s">
        <v>2198</v>
      </c>
      <c r="B276" t="s">
        <v>2199</v>
      </c>
      <c r="C276" t="s">
        <v>44</v>
      </c>
      <c r="D276" t="s">
        <v>2200</v>
      </c>
      <c r="E276" t="s">
        <v>2201</v>
      </c>
      <c r="F276" t="s">
        <v>2202</v>
      </c>
      <c r="G276" t="s">
        <v>2203</v>
      </c>
      <c r="H276" t="s">
        <v>2204</v>
      </c>
      <c r="I276">
        <f t="shared" ca="1" si="16"/>
        <v>29</v>
      </c>
      <c r="J276" t="str">
        <f t="shared" ca="1" si="17"/>
        <v>18-29</v>
      </c>
      <c r="K276">
        <v>39137.339999999997</v>
      </c>
      <c r="L276" t="str">
        <f>IF(Workforce[[#This Row],[Salary]]&lt;50000,"30k-49k",IF(Workforce[[#This Row],[Salary]]&lt;70000,"50k-69k",IF(Workforce[[#This Row],[Salary]]&lt;90000,"70k-89k","90k+")))</f>
        <v>30k-49k</v>
      </c>
      <c r="M276" t="s">
        <v>2205</v>
      </c>
      <c r="N276">
        <f t="shared" ca="1" si="18"/>
        <v>6</v>
      </c>
      <c r="O276" t="str">
        <f t="shared" ca="1" si="19"/>
        <v>Intermediate level</v>
      </c>
    </row>
    <row r="277" spans="1:15" x14ac:dyDescent="0.3">
      <c r="A277" t="s">
        <v>2206</v>
      </c>
      <c r="B277" t="s">
        <v>2207</v>
      </c>
      <c r="C277" t="s">
        <v>133</v>
      </c>
      <c r="D277" t="s">
        <v>2208</v>
      </c>
      <c r="E277" t="s">
        <v>2209</v>
      </c>
      <c r="F277" t="s">
        <v>639</v>
      </c>
      <c r="G277" t="s">
        <v>2210</v>
      </c>
      <c r="H277" t="s">
        <v>2211</v>
      </c>
      <c r="I277">
        <f t="shared" ca="1" si="16"/>
        <v>22</v>
      </c>
      <c r="J277" t="str">
        <f t="shared" ca="1" si="17"/>
        <v>18-29</v>
      </c>
      <c r="K277">
        <v>82270.03</v>
      </c>
      <c r="L277" t="str">
        <f>IF(Workforce[[#This Row],[Salary]]&lt;50000,"30k-49k",IF(Workforce[[#This Row],[Salary]]&lt;70000,"50k-69k",IF(Workforce[[#This Row],[Salary]]&lt;90000,"70k-89k","90k+")))</f>
        <v>70k-89k</v>
      </c>
      <c r="M277" t="s">
        <v>2212</v>
      </c>
      <c r="N277">
        <f t="shared" ca="1" si="18"/>
        <v>4</v>
      </c>
      <c r="O277" t="str">
        <f t="shared" ca="1" si="19"/>
        <v>Intermediate level</v>
      </c>
    </row>
    <row r="278" spans="1:15" x14ac:dyDescent="0.3">
      <c r="A278" t="s">
        <v>2213</v>
      </c>
      <c r="B278" t="s">
        <v>2214</v>
      </c>
      <c r="C278" t="s">
        <v>457</v>
      </c>
      <c r="D278" t="s">
        <v>2215</v>
      </c>
      <c r="E278" t="s">
        <v>2216</v>
      </c>
      <c r="F278" t="s">
        <v>2217</v>
      </c>
      <c r="G278" t="s">
        <v>2218</v>
      </c>
      <c r="H278" t="s">
        <v>2219</v>
      </c>
      <c r="I278">
        <f t="shared" ca="1" si="16"/>
        <v>51</v>
      </c>
      <c r="J278" t="str">
        <f t="shared" ca="1" si="17"/>
        <v>50-59</v>
      </c>
      <c r="K278">
        <v>112280.27</v>
      </c>
      <c r="L278" t="str">
        <f>IF(Workforce[[#This Row],[Salary]]&lt;50000,"30k-49k",IF(Workforce[[#This Row],[Salary]]&lt;70000,"50k-69k",IF(Workforce[[#This Row],[Salary]]&lt;90000,"70k-89k","90k+")))</f>
        <v>90k+</v>
      </c>
      <c r="M278" t="s">
        <v>2220</v>
      </c>
      <c r="N278">
        <f t="shared" ca="1" si="18"/>
        <v>4</v>
      </c>
      <c r="O278" t="str">
        <f t="shared" ca="1" si="19"/>
        <v>Intermediate level</v>
      </c>
    </row>
    <row r="279" spans="1:15" x14ac:dyDescent="0.3">
      <c r="A279" t="s">
        <v>2221</v>
      </c>
      <c r="B279" t="s">
        <v>2222</v>
      </c>
      <c r="C279" t="s">
        <v>580</v>
      </c>
      <c r="D279" t="s">
        <v>2223</v>
      </c>
      <c r="E279" t="s">
        <v>2224</v>
      </c>
      <c r="F279" t="s">
        <v>1626</v>
      </c>
      <c r="G279" t="s">
        <v>2225</v>
      </c>
      <c r="H279" t="s">
        <v>2226</v>
      </c>
      <c r="I279">
        <f t="shared" ca="1" si="16"/>
        <v>24</v>
      </c>
      <c r="J279" t="str">
        <f t="shared" ca="1" si="17"/>
        <v>18-29</v>
      </c>
      <c r="K279">
        <v>59333.03</v>
      </c>
      <c r="L279" t="str">
        <f>IF(Workforce[[#This Row],[Salary]]&lt;50000,"30k-49k",IF(Workforce[[#This Row],[Salary]]&lt;70000,"50k-69k",IF(Workforce[[#This Row],[Salary]]&lt;90000,"70k-89k","90k+")))</f>
        <v>50k-69k</v>
      </c>
      <c r="M279" t="s">
        <v>2227</v>
      </c>
      <c r="N279">
        <f t="shared" ca="1" si="18"/>
        <v>10</v>
      </c>
      <c r="O279" t="str">
        <f t="shared" ca="1" si="19"/>
        <v>Senior level</v>
      </c>
    </row>
    <row r="280" spans="1:15" x14ac:dyDescent="0.3">
      <c r="A280" t="s">
        <v>2228</v>
      </c>
      <c r="B280" t="s">
        <v>2229</v>
      </c>
      <c r="C280" t="s">
        <v>284</v>
      </c>
      <c r="D280" t="s">
        <v>2230</v>
      </c>
      <c r="E280" t="s">
        <v>2231</v>
      </c>
      <c r="F280" t="s">
        <v>2232</v>
      </c>
      <c r="G280" t="s">
        <v>657</v>
      </c>
      <c r="H280" t="s">
        <v>2233</v>
      </c>
      <c r="I280">
        <f t="shared" ca="1" si="16"/>
        <v>36</v>
      </c>
      <c r="J280" t="str">
        <f t="shared" ca="1" si="17"/>
        <v>30-39</v>
      </c>
      <c r="K280">
        <v>110078.41</v>
      </c>
      <c r="L280" t="str">
        <f>IF(Workforce[[#This Row],[Salary]]&lt;50000,"30k-49k",IF(Workforce[[#This Row],[Salary]]&lt;70000,"50k-69k",IF(Workforce[[#This Row],[Salary]]&lt;90000,"70k-89k","90k+")))</f>
        <v>90k+</v>
      </c>
      <c r="M280" t="s">
        <v>2234</v>
      </c>
      <c r="N280">
        <f t="shared" ca="1" si="18"/>
        <v>1</v>
      </c>
      <c r="O280" t="str">
        <f t="shared" ca="1" si="19"/>
        <v>Beginner</v>
      </c>
    </row>
    <row r="281" spans="1:15" x14ac:dyDescent="0.3">
      <c r="A281" t="s">
        <v>2235</v>
      </c>
      <c r="B281" t="s">
        <v>2236</v>
      </c>
      <c r="C281" t="s">
        <v>400</v>
      </c>
      <c r="D281" t="s">
        <v>2237</v>
      </c>
      <c r="E281" t="s">
        <v>2238</v>
      </c>
      <c r="F281" t="s">
        <v>2239</v>
      </c>
      <c r="G281" t="s">
        <v>2240</v>
      </c>
      <c r="H281" t="s">
        <v>2241</v>
      </c>
      <c r="I281">
        <f t="shared" ca="1" si="16"/>
        <v>31</v>
      </c>
      <c r="J281" t="str">
        <f t="shared" ca="1" si="17"/>
        <v>30-39</v>
      </c>
      <c r="K281">
        <v>108252.74</v>
      </c>
      <c r="L281" t="str">
        <f>IF(Workforce[[#This Row],[Salary]]&lt;50000,"30k-49k",IF(Workforce[[#This Row],[Salary]]&lt;70000,"50k-69k",IF(Workforce[[#This Row],[Salary]]&lt;90000,"70k-89k","90k+")))</f>
        <v>90k+</v>
      </c>
      <c r="M281" t="s">
        <v>2242</v>
      </c>
      <c r="N281">
        <f t="shared" ca="1" si="18"/>
        <v>0</v>
      </c>
      <c r="O281" t="str">
        <f t="shared" ca="1" si="19"/>
        <v>Beginner</v>
      </c>
    </row>
    <row r="282" spans="1:15" x14ac:dyDescent="0.3">
      <c r="A282" t="s">
        <v>2243</v>
      </c>
      <c r="B282" t="s">
        <v>2244</v>
      </c>
      <c r="C282" t="s">
        <v>222</v>
      </c>
      <c r="D282" t="s">
        <v>2245</v>
      </c>
      <c r="E282" t="s">
        <v>2246</v>
      </c>
      <c r="F282" t="s">
        <v>2232</v>
      </c>
      <c r="G282" t="s">
        <v>2247</v>
      </c>
      <c r="H282" t="s">
        <v>2248</v>
      </c>
      <c r="I282">
        <f t="shared" ca="1" si="16"/>
        <v>41</v>
      </c>
      <c r="J282" t="str">
        <f t="shared" ca="1" si="17"/>
        <v>40-49</v>
      </c>
      <c r="K282">
        <v>85763.520000000004</v>
      </c>
      <c r="L282" t="str">
        <f>IF(Workforce[[#This Row],[Salary]]&lt;50000,"30k-49k",IF(Workforce[[#This Row],[Salary]]&lt;70000,"50k-69k",IF(Workforce[[#This Row],[Salary]]&lt;90000,"70k-89k","90k+")))</f>
        <v>70k-89k</v>
      </c>
      <c r="M282" t="s">
        <v>2249</v>
      </c>
      <c r="N282">
        <f t="shared" ca="1" si="18"/>
        <v>4</v>
      </c>
      <c r="O282" t="str">
        <f t="shared" ca="1" si="19"/>
        <v>Intermediate level</v>
      </c>
    </row>
    <row r="283" spans="1:15" x14ac:dyDescent="0.3">
      <c r="A283" t="s">
        <v>2250</v>
      </c>
      <c r="B283" t="s">
        <v>2251</v>
      </c>
      <c r="C283" t="s">
        <v>757</v>
      </c>
      <c r="D283" t="s">
        <v>2252</v>
      </c>
      <c r="E283" t="s">
        <v>2253</v>
      </c>
      <c r="F283" t="s">
        <v>1872</v>
      </c>
      <c r="G283" t="s">
        <v>2254</v>
      </c>
      <c r="H283" t="s">
        <v>2255</v>
      </c>
      <c r="I283">
        <f t="shared" ca="1" si="16"/>
        <v>22</v>
      </c>
      <c r="J283" t="str">
        <f t="shared" ca="1" si="17"/>
        <v>18-29</v>
      </c>
      <c r="K283">
        <v>77471.98</v>
      </c>
      <c r="L283" t="str">
        <f>IF(Workforce[[#This Row],[Salary]]&lt;50000,"30k-49k",IF(Workforce[[#This Row],[Salary]]&lt;70000,"50k-69k",IF(Workforce[[#This Row],[Salary]]&lt;90000,"70k-89k","90k+")))</f>
        <v>70k-89k</v>
      </c>
      <c r="M283" t="s">
        <v>2256</v>
      </c>
      <c r="N283">
        <f t="shared" ca="1" si="18"/>
        <v>5</v>
      </c>
      <c r="O283" t="str">
        <f t="shared" ca="1" si="19"/>
        <v>Intermediate level</v>
      </c>
    </row>
    <row r="284" spans="1:15" x14ac:dyDescent="0.3">
      <c r="A284" t="s">
        <v>2257</v>
      </c>
      <c r="B284" t="s">
        <v>2258</v>
      </c>
      <c r="C284" t="s">
        <v>97</v>
      </c>
      <c r="D284" t="s">
        <v>2259</v>
      </c>
      <c r="E284" t="s">
        <v>2260</v>
      </c>
      <c r="F284" t="s">
        <v>1580</v>
      </c>
      <c r="G284" t="s">
        <v>2261</v>
      </c>
      <c r="H284" t="s">
        <v>57</v>
      </c>
      <c r="I284">
        <f t="shared" ca="1" si="16"/>
        <v>38</v>
      </c>
      <c r="J284" t="str">
        <f t="shared" ca="1" si="17"/>
        <v>30-39</v>
      </c>
      <c r="K284">
        <v>36909.980000000003</v>
      </c>
      <c r="L284" t="str">
        <f>IF(Workforce[[#This Row],[Salary]]&lt;50000,"30k-49k",IF(Workforce[[#This Row],[Salary]]&lt;70000,"50k-69k",IF(Workforce[[#This Row],[Salary]]&lt;90000,"70k-89k","90k+")))</f>
        <v>30k-49k</v>
      </c>
      <c r="M284" t="s">
        <v>2262</v>
      </c>
      <c r="N284">
        <f t="shared" ca="1" si="18"/>
        <v>10</v>
      </c>
      <c r="O284" t="str">
        <f t="shared" ca="1" si="19"/>
        <v>Senior level</v>
      </c>
    </row>
    <row r="285" spans="1:15" x14ac:dyDescent="0.3">
      <c r="A285" t="s">
        <v>2263</v>
      </c>
      <c r="B285" t="s">
        <v>2264</v>
      </c>
      <c r="C285" t="s">
        <v>440</v>
      </c>
      <c r="D285" t="s">
        <v>2265</v>
      </c>
      <c r="E285" t="s">
        <v>2266</v>
      </c>
      <c r="F285" t="s">
        <v>2267</v>
      </c>
      <c r="G285" t="s">
        <v>2268</v>
      </c>
      <c r="H285" t="s">
        <v>2269</v>
      </c>
      <c r="I285">
        <f t="shared" ca="1" si="16"/>
        <v>46</v>
      </c>
      <c r="J285" t="str">
        <f t="shared" ca="1" si="17"/>
        <v>40-49</v>
      </c>
      <c r="K285">
        <v>101295.85</v>
      </c>
      <c r="L285" t="str">
        <f>IF(Workforce[[#This Row],[Salary]]&lt;50000,"30k-49k",IF(Workforce[[#This Row],[Salary]]&lt;70000,"50k-69k",IF(Workforce[[#This Row],[Salary]]&lt;90000,"70k-89k","90k+")))</f>
        <v>90k+</v>
      </c>
      <c r="M285" t="s">
        <v>2270</v>
      </c>
      <c r="N285">
        <f t="shared" ca="1" si="18"/>
        <v>2</v>
      </c>
      <c r="O285" t="str">
        <f t="shared" ca="1" si="19"/>
        <v>Beginner</v>
      </c>
    </row>
    <row r="286" spans="1:15" x14ac:dyDescent="0.3">
      <c r="A286" t="s">
        <v>2271</v>
      </c>
      <c r="B286" t="s">
        <v>2272</v>
      </c>
      <c r="C286" t="s">
        <v>844</v>
      </c>
      <c r="D286" t="s">
        <v>2273</v>
      </c>
      <c r="E286" t="s">
        <v>2274</v>
      </c>
      <c r="F286" t="s">
        <v>2020</v>
      </c>
      <c r="G286" t="s">
        <v>2275</v>
      </c>
      <c r="H286" t="s">
        <v>2276</v>
      </c>
      <c r="I286">
        <f t="shared" ca="1" si="16"/>
        <v>65</v>
      </c>
      <c r="J286" t="str">
        <f t="shared" ca="1" si="17"/>
        <v>60+</v>
      </c>
      <c r="K286">
        <v>52524.52</v>
      </c>
      <c r="L286" t="str">
        <f>IF(Workforce[[#This Row],[Salary]]&lt;50000,"30k-49k",IF(Workforce[[#This Row],[Salary]]&lt;70000,"50k-69k",IF(Workforce[[#This Row],[Salary]]&lt;90000,"70k-89k","90k+")))</f>
        <v>50k-69k</v>
      </c>
      <c r="M286" t="s">
        <v>2277</v>
      </c>
      <c r="N286">
        <f t="shared" ca="1" si="18"/>
        <v>8</v>
      </c>
      <c r="O286" t="str">
        <f t="shared" ca="1" si="19"/>
        <v>Senior level</v>
      </c>
    </row>
    <row r="287" spans="1:15" x14ac:dyDescent="0.3">
      <c r="A287" t="s">
        <v>2278</v>
      </c>
      <c r="B287" t="s">
        <v>2279</v>
      </c>
      <c r="C287" t="s">
        <v>106</v>
      </c>
      <c r="D287" t="s">
        <v>2280</v>
      </c>
      <c r="E287" t="s">
        <v>2281</v>
      </c>
      <c r="F287" t="s">
        <v>2282</v>
      </c>
      <c r="G287" t="s">
        <v>2283</v>
      </c>
      <c r="H287" t="s">
        <v>2284</v>
      </c>
      <c r="I287">
        <f t="shared" ca="1" si="16"/>
        <v>64</v>
      </c>
      <c r="J287" t="str">
        <f t="shared" ca="1" si="17"/>
        <v>60+</v>
      </c>
      <c r="K287">
        <v>64337.05</v>
      </c>
      <c r="L287" t="str">
        <f>IF(Workforce[[#This Row],[Salary]]&lt;50000,"30k-49k",IF(Workforce[[#This Row],[Salary]]&lt;70000,"50k-69k",IF(Workforce[[#This Row],[Salary]]&lt;90000,"70k-89k","90k+")))</f>
        <v>50k-69k</v>
      </c>
      <c r="M287" t="s">
        <v>2285</v>
      </c>
      <c r="N287">
        <f t="shared" ca="1" si="18"/>
        <v>6</v>
      </c>
      <c r="O287" t="str">
        <f t="shared" ca="1" si="19"/>
        <v>Intermediate level</v>
      </c>
    </row>
    <row r="288" spans="1:15" x14ac:dyDescent="0.3">
      <c r="A288" t="s">
        <v>2286</v>
      </c>
      <c r="B288" t="s">
        <v>2287</v>
      </c>
      <c r="C288" t="s">
        <v>1223</v>
      </c>
      <c r="D288" t="s">
        <v>2288</v>
      </c>
      <c r="E288" t="s">
        <v>2289</v>
      </c>
      <c r="F288" t="s">
        <v>426</v>
      </c>
      <c r="G288" t="s">
        <v>2290</v>
      </c>
      <c r="H288" t="s">
        <v>2291</v>
      </c>
      <c r="I288">
        <f t="shared" ca="1" si="16"/>
        <v>61</v>
      </c>
      <c r="J288" t="str">
        <f t="shared" ca="1" si="17"/>
        <v>60+</v>
      </c>
      <c r="K288">
        <v>30144.84</v>
      </c>
      <c r="L288" t="str">
        <f>IF(Workforce[[#This Row],[Salary]]&lt;50000,"30k-49k",IF(Workforce[[#This Row],[Salary]]&lt;70000,"50k-69k",IF(Workforce[[#This Row],[Salary]]&lt;90000,"70k-89k","90k+")))</f>
        <v>30k-49k</v>
      </c>
      <c r="M288" t="s">
        <v>2292</v>
      </c>
      <c r="N288">
        <f t="shared" ca="1" si="18"/>
        <v>9</v>
      </c>
      <c r="O288" t="str">
        <f t="shared" ca="1" si="19"/>
        <v>Senior level</v>
      </c>
    </row>
    <row r="289" spans="1:15" x14ac:dyDescent="0.3">
      <c r="A289" t="s">
        <v>2293</v>
      </c>
      <c r="B289" t="s">
        <v>2294</v>
      </c>
      <c r="C289" t="s">
        <v>844</v>
      </c>
      <c r="D289" t="s">
        <v>2295</v>
      </c>
      <c r="E289" t="s">
        <v>2296</v>
      </c>
      <c r="F289" t="s">
        <v>2297</v>
      </c>
      <c r="G289" t="s">
        <v>2298</v>
      </c>
      <c r="H289" t="s">
        <v>2299</v>
      </c>
      <c r="I289">
        <f t="shared" ca="1" si="16"/>
        <v>35</v>
      </c>
      <c r="J289" t="str">
        <f t="shared" ca="1" si="17"/>
        <v>30-39</v>
      </c>
      <c r="K289">
        <v>106500.36</v>
      </c>
      <c r="L289" t="str">
        <f>IF(Workforce[[#This Row],[Salary]]&lt;50000,"30k-49k",IF(Workforce[[#This Row],[Salary]]&lt;70000,"50k-69k",IF(Workforce[[#This Row],[Salary]]&lt;90000,"70k-89k","90k+")))</f>
        <v>90k+</v>
      </c>
      <c r="M289" t="s">
        <v>2300</v>
      </c>
      <c r="N289">
        <f t="shared" ca="1" si="18"/>
        <v>3</v>
      </c>
      <c r="O289" t="str">
        <f t="shared" ca="1" si="19"/>
        <v>Intermediate level</v>
      </c>
    </row>
    <row r="290" spans="1:15" x14ac:dyDescent="0.3">
      <c r="A290" t="s">
        <v>2301</v>
      </c>
      <c r="B290" t="s">
        <v>2302</v>
      </c>
      <c r="C290" t="s">
        <v>580</v>
      </c>
      <c r="D290" t="s">
        <v>2303</v>
      </c>
      <c r="E290" t="s">
        <v>2304</v>
      </c>
      <c r="F290" t="s">
        <v>2305</v>
      </c>
      <c r="G290" t="s">
        <v>2306</v>
      </c>
      <c r="H290" t="s">
        <v>2307</v>
      </c>
      <c r="I290">
        <f t="shared" ca="1" si="16"/>
        <v>33</v>
      </c>
      <c r="J290" t="str">
        <f t="shared" ca="1" si="17"/>
        <v>30-39</v>
      </c>
      <c r="K290">
        <v>68200.13</v>
      </c>
      <c r="L290" t="str">
        <f>IF(Workforce[[#This Row],[Salary]]&lt;50000,"30k-49k",IF(Workforce[[#This Row],[Salary]]&lt;70000,"50k-69k",IF(Workforce[[#This Row],[Salary]]&lt;90000,"70k-89k","90k+")))</f>
        <v>50k-69k</v>
      </c>
      <c r="M290" t="s">
        <v>2308</v>
      </c>
      <c r="N290">
        <f t="shared" ca="1" si="18"/>
        <v>6</v>
      </c>
      <c r="O290" t="str">
        <f t="shared" ca="1" si="19"/>
        <v>Intermediate level</v>
      </c>
    </row>
    <row r="291" spans="1:15" x14ac:dyDescent="0.3">
      <c r="A291" t="s">
        <v>2309</v>
      </c>
      <c r="B291" t="s">
        <v>2310</v>
      </c>
      <c r="C291" t="s">
        <v>222</v>
      </c>
      <c r="D291" t="s">
        <v>2311</v>
      </c>
      <c r="E291" t="s">
        <v>2312</v>
      </c>
      <c r="F291" t="s">
        <v>2313</v>
      </c>
      <c r="G291" t="s">
        <v>2314</v>
      </c>
      <c r="H291" t="s">
        <v>2315</v>
      </c>
      <c r="I291">
        <f t="shared" ca="1" si="16"/>
        <v>23</v>
      </c>
      <c r="J291" t="str">
        <f t="shared" ca="1" si="17"/>
        <v>18-29</v>
      </c>
      <c r="K291">
        <v>43105.4</v>
      </c>
      <c r="L291" t="str">
        <f>IF(Workforce[[#This Row],[Salary]]&lt;50000,"30k-49k",IF(Workforce[[#This Row],[Salary]]&lt;70000,"50k-69k",IF(Workforce[[#This Row],[Salary]]&lt;90000,"70k-89k","90k+")))</f>
        <v>30k-49k</v>
      </c>
      <c r="M291" t="s">
        <v>2316</v>
      </c>
      <c r="N291">
        <f t="shared" ca="1" si="18"/>
        <v>4</v>
      </c>
      <c r="O291" t="str">
        <f t="shared" ca="1" si="19"/>
        <v>Intermediate level</v>
      </c>
    </row>
    <row r="292" spans="1:15" x14ac:dyDescent="0.3">
      <c r="A292" t="s">
        <v>2317</v>
      </c>
      <c r="B292" t="s">
        <v>2318</v>
      </c>
      <c r="C292" t="s">
        <v>70</v>
      </c>
      <c r="D292" t="s">
        <v>2319</v>
      </c>
      <c r="E292" t="s">
        <v>2320</v>
      </c>
      <c r="F292" t="s">
        <v>1434</v>
      </c>
      <c r="G292" t="s">
        <v>2321</v>
      </c>
      <c r="H292" t="s">
        <v>2322</v>
      </c>
      <c r="I292">
        <f t="shared" ca="1" si="16"/>
        <v>28</v>
      </c>
      <c r="J292" t="str">
        <f t="shared" ca="1" si="17"/>
        <v>18-29</v>
      </c>
      <c r="K292">
        <v>89152.48</v>
      </c>
      <c r="L292" t="str">
        <f>IF(Workforce[[#This Row],[Salary]]&lt;50000,"30k-49k",IF(Workforce[[#This Row],[Salary]]&lt;70000,"50k-69k",IF(Workforce[[#This Row],[Salary]]&lt;90000,"70k-89k","90k+")))</f>
        <v>70k-89k</v>
      </c>
      <c r="M292" t="s">
        <v>2323</v>
      </c>
      <c r="N292">
        <f t="shared" ca="1" si="18"/>
        <v>10</v>
      </c>
      <c r="O292" t="str">
        <f t="shared" ca="1" si="19"/>
        <v>Senior level</v>
      </c>
    </row>
    <row r="293" spans="1:15" x14ac:dyDescent="0.3">
      <c r="A293" t="s">
        <v>2324</v>
      </c>
      <c r="B293" t="s">
        <v>2325</v>
      </c>
      <c r="C293" t="s">
        <v>222</v>
      </c>
      <c r="D293" t="s">
        <v>2326</v>
      </c>
      <c r="E293" t="s">
        <v>2327</v>
      </c>
      <c r="F293" t="s">
        <v>2328</v>
      </c>
      <c r="G293" t="s">
        <v>2329</v>
      </c>
      <c r="H293" t="s">
        <v>2330</v>
      </c>
      <c r="I293">
        <f t="shared" ca="1" si="16"/>
        <v>41</v>
      </c>
      <c r="J293" t="str">
        <f t="shared" ca="1" si="17"/>
        <v>40-49</v>
      </c>
      <c r="K293">
        <v>114790.03</v>
      </c>
      <c r="L293" t="str">
        <f>IF(Workforce[[#This Row],[Salary]]&lt;50000,"30k-49k",IF(Workforce[[#This Row],[Salary]]&lt;70000,"50k-69k",IF(Workforce[[#This Row],[Salary]]&lt;90000,"70k-89k","90k+")))</f>
        <v>90k+</v>
      </c>
      <c r="M293" t="s">
        <v>2331</v>
      </c>
      <c r="N293">
        <f t="shared" ca="1" si="18"/>
        <v>2</v>
      </c>
      <c r="O293" t="str">
        <f t="shared" ca="1" si="19"/>
        <v>Beginner</v>
      </c>
    </row>
    <row r="294" spans="1:15" x14ac:dyDescent="0.3">
      <c r="A294" t="s">
        <v>2332</v>
      </c>
      <c r="B294" t="s">
        <v>2333</v>
      </c>
      <c r="C294" t="s">
        <v>326</v>
      </c>
      <c r="D294" t="s">
        <v>2334</v>
      </c>
      <c r="E294" t="s">
        <v>2335</v>
      </c>
      <c r="F294" t="s">
        <v>2336</v>
      </c>
      <c r="G294" t="s">
        <v>2337</v>
      </c>
      <c r="H294" t="s">
        <v>2338</v>
      </c>
      <c r="I294">
        <f t="shared" ca="1" si="16"/>
        <v>46</v>
      </c>
      <c r="J294" t="str">
        <f t="shared" ca="1" si="17"/>
        <v>40-49</v>
      </c>
      <c r="K294">
        <v>40348.400000000001</v>
      </c>
      <c r="L294" t="str">
        <f>IF(Workforce[[#This Row],[Salary]]&lt;50000,"30k-49k",IF(Workforce[[#This Row],[Salary]]&lt;70000,"50k-69k",IF(Workforce[[#This Row],[Salary]]&lt;90000,"70k-89k","90k+")))</f>
        <v>30k-49k</v>
      </c>
      <c r="M294" t="s">
        <v>2339</v>
      </c>
      <c r="N294">
        <f t="shared" ca="1" si="18"/>
        <v>10</v>
      </c>
      <c r="O294" t="str">
        <f t="shared" ca="1" si="19"/>
        <v>Senior level</v>
      </c>
    </row>
    <row r="295" spans="1:15" x14ac:dyDescent="0.3">
      <c r="A295" t="s">
        <v>2340</v>
      </c>
      <c r="B295" t="s">
        <v>2341</v>
      </c>
      <c r="C295" t="s">
        <v>757</v>
      </c>
      <c r="D295" t="s">
        <v>2342</v>
      </c>
      <c r="E295" t="s">
        <v>2343</v>
      </c>
      <c r="F295" t="s">
        <v>2217</v>
      </c>
      <c r="G295" t="s">
        <v>2344</v>
      </c>
      <c r="H295" t="s">
        <v>2345</v>
      </c>
      <c r="I295">
        <f t="shared" ca="1" si="16"/>
        <v>32</v>
      </c>
      <c r="J295" t="str">
        <f t="shared" ca="1" si="17"/>
        <v>30-39</v>
      </c>
      <c r="K295">
        <v>32514.400000000001</v>
      </c>
      <c r="L295" t="str">
        <f>IF(Workforce[[#This Row],[Salary]]&lt;50000,"30k-49k",IF(Workforce[[#This Row],[Salary]]&lt;70000,"50k-69k",IF(Workforce[[#This Row],[Salary]]&lt;90000,"70k-89k","90k+")))</f>
        <v>30k-49k</v>
      </c>
      <c r="M295" t="s">
        <v>2346</v>
      </c>
      <c r="N295">
        <f t="shared" ca="1" si="18"/>
        <v>6</v>
      </c>
      <c r="O295" t="str">
        <f t="shared" ca="1" si="19"/>
        <v>Intermediate level</v>
      </c>
    </row>
    <row r="296" spans="1:15" x14ac:dyDescent="0.3">
      <c r="A296" t="s">
        <v>2347</v>
      </c>
      <c r="B296" t="s">
        <v>2348</v>
      </c>
      <c r="C296" t="s">
        <v>326</v>
      </c>
      <c r="D296" t="s">
        <v>2349</v>
      </c>
      <c r="E296" t="s">
        <v>2350</v>
      </c>
      <c r="F296" t="s">
        <v>1153</v>
      </c>
      <c r="G296" t="s">
        <v>2351</v>
      </c>
      <c r="H296" t="s">
        <v>2352</v>
      </c>
      <c r="I296">
        <f t="shared" ca="1" si="16"/>
        <v>30</v>
      </c>
      <c r="J296" t="str">
        <f t="shared" ca="1" si="17"/>
        <v>30-39</v>
      </c>
      <c r="K296">
        <v>107907.76</v>
      </c>
      <c r="L296" t="str">
        <f>IF(Workforce[[#This Row],[Salary]]&lt;50000,"30k-49k",IF(Workforce[[#This Row],[Salary]]&lt;70000,"50k-69k",IF(Workforce[[#This Row],[Salary]]&lt;90000,"70k-89k","90k+")))</f>
        <v>90k+</v>
      </c>
      <c r="M296" t="s">
        <v>2353</v>
      </c>
      <c r="N296">
        <f t="shared" ca="1" si="18"/>
        <v>6</v>
      </c>
      <c r="O296" t="str">
        <f t="shared" ca="1" si="19"/>
        <v>Intermediate level</v>
      </c>
    </row>
    <row r="297" spans="1:15" x14ac:dyDescent="0.3">
      <c r="A297" t="s">
        <v>2354</v>
      </c>
      <c r="B297" t="s">
        <v>2355</v>
      </c>
      <c r="C297" t="s">
        <v>457</v>
      </c>
      <c r="D297" t="s">
        <v>2356</v>
      </c>
      <c r="E297" t="s">
        <v>2357</v>
      </c>
      <c r="F297" t="s">
        <v>2358</v>
      </c>
      <c r="G297" t="s">
        <v>2359</v>
      </c>
      <c r="H297" t="s">
        <v>552</v>
      </c>
      <c r="I297">
        <f t="shared" ca="1" si="16"/>
        <v>63</v>
      </c>
      <c r="J297" t="str">
        <f t="shared" ca="1" si="17"/>
        <v>60+</v>
      </c>
      <c r="K297">
        <v>89273.71</v>
      </c>
      <c r="L297" t="str">
        <f>IF(Workforce[[#This Row],[Salary]]&lt;50000,"30k-49k",IF(Workforce[[#This Row],[Salary]]&lt;70000,"50k-69k",IF(Workforce[[#This Row],[Salary]]&lt;90000,"70k-89k","90k+")))</f>
        <v>70k-89k</v>
      </c>
      <c r="M297" t="s">
        <v>2360</v>
      </c>
      <c r="N297">
        <f t="shared" ca="1" si="18"/>
        <v>8</v>
      </c>
      <c r="O297" t="str">
        <f t="shared" ca="1" si="19"/>
        <v>Senior level</v>
      </c>
    </row>
    <row r="298" spans="1:15" x14ac:dyDescent="0.3">
      <c r="A298" t="s">
        <v>2361</v>
      </c>
      <c r="B298" t="s">
        <v>2362</v>
      </c>
      <c r="C298" t="s">
        <v>482</v>
      </c>
      <c r="D298" t="s">
        <v>2363</v>
      </c>
      <c r="E298" t="s">
        <v>2364</v>
      </c>
      <c r="F298" t="s">
        <v>2365</v>
      </c>
      <c r="G298" t="s">
        <v>2366</v>
      </c>
      <c r="H298" t="s">
        <v>1890</v>
      </c>
      <c r="I298">
        <f t="shared" ca="1" si="16"/>
        <v>21</v>
      </c>
      <c r="J298" t="str">
        <f t="shared" ca="1" si="17"/>
        <v>18-29</v>
      </c>
      <c r="K298">
        <v>108245.79</v>
      </c>
      <c r="L298" t="str">
        <f>IF(Workforce[[#This Row],[Salary]]&lt;50000,"30k-49k",IF(Workforce[[#This Row],[Salary]]&lt;70000,"50k-69k",IF(Workforce[[#This Row],[Salary]]&lt;90000,"70k-89k","90k+")))</f>
        <v>90k+</v>
      </c>
      <c r="M298" t="s">
        <v>2367</v>
      </c>
      <c r="N298">
        <f t="shared" ca="1" si="18"/>
        <v>6</v>
      </c>
      <c r="O298" t="str">
        <f t="shared" ca="1" si="19"/>
        <v>Intermediate level</v>
      </c>
    </row>
    <row r="299" spans="1:15" x14ac:dyDescent="0.3">
      <c r="A299" t="s">
        <v>2368</v>
      </c>
      <c r="B299" t="s">
        <v>2369</v>
      </c>
      <c r="C299" t="s">
        <v>115</v>
      </c>
      <c r="D299" t="s">
        <v>2370</v>
      </c>
      <c r="E299" t="s">
        <v>2371</v>
      </c>
      <c r="F299" t="s">
        <v>269</v>
      </c>
      <c r="G299" t="s">
        <v>2372</v>
      </c>
      <c r="H299" t="s">
        <v>2373</v>
      </c>
      <c r="I299">
        <f t="shared" ca="1" si="16"/>
        <v>55</v>
      </c>
      <c r="J299" t="str">
        <f t="shared" ca="1" si="17"/>
        <v>50-59</v>
      </c>
      <c r="K299">
        <v>54917.56</v>
      </c>
      <c r="L299" t="str">
        <f>IF(Workforce[[#This Row],[Salary]]&lt;50000,"30k-49k",IF(Workforce[[#This Row],[Salary]]&lt;70000,"50k-69k",IF(Workforce[[#This Row],[Salary]]&lt;90000,"70k-89k","90k+")))</f>
        <v>50k-69k</v>
      </c>
      <c r="M299" t="s">
        <v>2374</v>
      </c>
      <c r="N299">
        <f t="shared" ca="1" si="18"/>
        <v>6</v>
      </c>
      <c r="O299" t="str">
        <f t="shared" ca="1" si="19"/>
        <v>Intermediate level</v>
      </c>
    </row>
    <row r="300" spans="1:15" x14ac:dyDescent="0.3">
      <c r="A300" t="s">
        <v>2375</v>
      </c>
      <c r="B300" t="s">
        <v>2376</v>
      </c>
      <c r="C300" t="s">
        <v>222</v>
      </c>
      <c r="D300" t="s">
        <v>2377</v>
      </c>
      <c r="E300" t="s">
        <v>2378</v>
      </c>
      <c r="F300" t="s">
        <v>2379</v>
      </c>
      <c r="G300" t="s">
        <v>2380</v>
      </c>
      <c r="H300" t="s">
        <v>2381</v>
      </c>
      <c r="I300">
        <f t="shared" ca="1" si="16"/>
        <v>42</v>
      </c>
      <c r="J300" t="str">
        <f t="shared" ca="1" si="17"/>
        <v>40-49</v>
      </c>
      <c r="K300">
        <v>34812.379999999997</v>
      </c>
      <c r="L300" t="str">
        <f>IF(Workforce[[#This Row],[Salary]]&lt;50000,"30k-49k",IF(Workforce[[#This Row],[Salary]]&lt;70000,"50k-69k",IF(Workforce[[#This Row],[Salary]]&lt;90000,"70k-89k","90k+")))</f>
        <v>30k-49k</v>
      </c>
      <c r="M300" t="s">
        <v>2382</v>
      </c>
      <c r="N300">
        <f t="shared" ca="1" si="18"/>
        <v>9</v>
      </c>
      <c r="O300" t="str">
        <f t="shared" ca="1" si="19"/>
        <v>Senior level</v>
      </c>
    </row>
    <row r="301" spans="1:15" x14ac:dyDescent="0.3">
      <c r="A301" t="s">
        <v>2383</v>
      </c>
      <c r="B301" t="s">
        <v>2384</v>
      </c>
      <c r="C301" t="s">
        <v>97</v>
      </c>
      <c r="D301" t="s">
        <v>2385</v>
      </c>
      <c r="E301" t="s">
        <v>2386</v>
      </c>
      <c r="F301" t="s">
        <v>127</v>
      </c>
      <c r="G301" t="s">
        <v>2387</v>
      </c>
      <c r="H301" t="s">
        <v>2388</v>
      </c>
      <c r="I301">
        <f t="shared" ca="1" si="16"/>
        <v>30</v>
      </c>
      <c r="J301" t="str">
        <f t="shared" ca="1" si="17"/>
        <v>30-39</v>
      </c>
      <c r="K301">
        <v>49957.9</v>
      </c>
      <c r="L301" t="str">
        <f>IF(Workforce[[#This Row],[Salary]]&lt;50000,"30k-49k",IF(Workforce[[#This Row],[Salary]]&lt;70000,"50k-69k",IF(Workforce[[#This Row],[Salary]]&lt;90000,"70k-89k","90k+")))</f>
        <v>30k-49k</v>
      </c>
      <c r="M301" t="s">
        <v>2389</v>
      </c>
      <c r="N301">
        <f t="shared" ca="1" si="18"/>
        <v>5</v>
      </c>
      <c r="O301" t="str">
        <f t="shared" ca="1" si="19"/>
        <v>Intermediate level</v>
      </c>
    </row>
    <row r="302" spans="1:15" x14ac:dyDescent="0.3">
      <c r="A302" t="s">
        <v>2390</v>
      </c>
      <c r="B302" t="s">
        <v>2391</v>
      </c>
      <c r="C302" t="s">
        <v>748</v>
      </c>
      <c r="D302" t="s">
        <v>2392</v>
      </c>
      <c r="E302" t="s">
        <v>2393</v>
      </c>
      <c r="F302" t="s">
        <v>1115</v>
      </c>
      <c r="G302" t="s">
        <v>2394</v>
      </c>
      <c r="H302" t="s">
        <v>2395</v>
      </c>
      <c r="I302">
        <f t="shared" ca="1" si="16"/>
        <v>54</v>
      </c>
      <c r="J302" t="str">
        <f t="shared" ca="1" si="17"/>
        <v>50-59</v>
      </c>
      <c r="K302">
        <v>103778.74</v>
      </c>
      <c r="L302" t="str">
        <f>IF(Workforce[[#This Row],[Salary]]&lt;50000,"30k-49k",IF(Workforce[[#This Row],[Salary]]&lt;70000,"50k-69k",IF(Workforce[[#This Row],[Salary]]&lt;90000,"70k-89k","90k+")))</f>
        <v>90k+</v>
      </c>
      <c r="M302" t="s">
        <v>2396</v>
      </c>
      <c r="N302">
        <f t="shared" ca="1" si="18"/>
        <v>2</v>
      </c>
      <c r="O302" t="str">
        <f t="shared" ca="1" si="19"/>
        <v>Beginner</v>
      </c>
    </row>
    <row r="303" spans="1:15" x14ac:dyDescent="0.3">
      <c r="A303" t="s">
        <v>2397</v>
      </c>
      <c r="B303" t="s">
        <v>2398</v>
      </c>
      <c r="C303" t="s">
        <v>160</v>
      </c>
      <c r="D303" t="s">
        <v>2399</v>
      </c>
      <c r="E303" t="s">
        <v>2400</v>
      </c>
      <c r="F303" t="s">
        <v>2401</v>
      </c>
      <c r="G303" t="s">
        <v>2402</v>
      </c>
      <c r="H303" t="s">
        <v>2403</v>
      </c>
      <c r="I303">
        <f t="shared" ca="1" si="16"/>
        <v>39</v>
      </c>
      <c r="J303" t="str">
        <f t="shared" ca="1" si="17"/>
        <v>30-39</v>
      </c>
      <c r="K303">
        <v>57880.44</v>
      </c>
      <c r="L303" t="str">
        <f>IF(Workforce[[#This Row],[Salary]]&lt;50000,"30k-49k",IF(Workforce[[#This Row],[Salary]]&lt;70000,"50k-69k",IF(Workforce[[#This Row],[Salary]]&lt;90000,"70k-89k","90k+")))</f>
        <v>50k-69k</v>
      </c>
      <c r="M303" t="s">
        <v>2404</v>
      </c>
      <c r="N303">
        <f t="shared" ca="1" si="18"/>
        <v>7</v>
      </c>
      <c r="O303" t="str">
        <f t="shared" ca="1" si="19"/>
        <v>Senior level</v>
      </c>
    </row>
    <row r="304" spans="1:15" x14ac:dyDescent="0.3">
      <c r="A304" t="s">
        <v>2405</v>
      </c>
      <c r="B304" t="s">
        <v>2406</v>
      </c>
      <c r="C304" t="s">
        <v>70</v>
      </c>
      <c r="D304" t="s">
        <v>2407</v>
      </c>
      <c r="E304" t="s">
        <v>2408</v>
      </c>
      <c r="F304" t="s">
        <v>243</v>
      </c>
      <c r="G304" t="s">
        <v>2409</v>
      </c>
      <c r="H304" t="s">
        <v>2410</v>
      </c>
      <c r="I304">
        <f t="shared" ca="1" si="16"/>
        <v>35</v>
      </c>
      <c r="J304" t="str">
        <f t="shared" ca="1" si="17"/>
        <v>30-39</v>
      </c>
      <c r="K304">
        <v>57701.63</v>
      </c>
      <c r="L304" t="str">
        <f>IF(Workforce[[#This Row],[Salary]]&lt;50000,"30k-49k",IF(Workforce[[#This Row],[Salary]]&lt;70000,"50k-69k",IF(Workforce[[#This Row],[Salary]]&lt;90000,"70k-89k","90k+")))</f>
        <v>50k-69k</v>
      </c>
      <c r="M304" t="s">
        <v>2411</v>
      </c>
      <c r="N304">
        <f t="shared" ca="1" si="18"/>
        <v>2</v>
      </c>
      <c r="O304" t="str">
        <f t="shared" ca="1" si="19"/>
        <v>Beginner</v>
      </c>
    </row>
    <row r="305" spans="1:15" x14ac:dyDescent="0.3">
      <c r="A305" t="s">
        <v>2412</v>
      </c>
      <c r="B305" t="s">
        <v>2413</v>
      </c>
      <c r="C305" t="s">
        <v>106</v>
      </c>
      <c r="D305" t="s">
        <v>2414</v>
      </c>
      <c r="E305" t="s">
        <v>2415</v>
      </c>
      <c r="F305" t="s">
        <v>2416</v>
      </c>
      <c r="G305" t="s">
        <v>2417</v>
      </c>
      <c r="H305" t="s">
        <v>2418</v>
      </c>
      <c r="I305">
        <f t="shared" ca="1" si="16"/>
        <v>22</v>
      </c>
      <c r="J305" t="str">
        <f t="shared" ca="1" si="17"/>
        <v>18-29</v>
      </c>
      <c r="K305">
        <v>102610.36</v>
      </c>
      <c r="L305" t="str">
        <f>IF(Workforce[[#This Row],[Salary]]&lt;50000,"30k-49k",IF(Workforce[[#This Row],[Salary]]&lt;70000,"50k-69k",IF(Workforce[[#This Row],[Salary]]&lt;90000,"70k-89k","90k+")))</f>
        <v>90k+</v>
      </c>
      <c r="M305" t="s">
        <v>2419</v>
      </c>
      <c r="N305">
        <f t="shared" ca="1" si="18"/>
        <v>1</v>
      </c>
      <c r="O305" t="str">
        <f t="shared" ca="1" si="19"/>
        <v>Beginner</v>
      </c>
    </row>
    <row r="306" spans="1:15" x14ac:dyDescent="0.3">
      <c r="A306" t="s">
        <v>2420</v>
      </c>
      <c r="B306" t="s">
        <v>2421</v>
      </c>
      <c r="C306" t="s">
        <v>774</v>
      </c>
      <c r="D306" t="s">
        <v>2422</v>
      </c>
      <c r="E306" t="s">
        <v>2423</v>
      </c>
      <c r="F306" t="s">
        <v>109</v>
      </c>
      <c r="G306" t="s">
        <v>2424</v>
      </c>
      <c r="H306" t="s">
        <v>2425</v>
      </c>
      <c r="I306">
        <f t="shared" ca="1" si="16"/>
        <v>65</v>
      </c>
      <c r="J306" t="str">
        <f t="shared" ca="1" si="17"/>
        <v>60+</v>
      </c>
      <c r="K306">
        <v>85420.65</v>
      </c>
      <c r="L306" t="str">
        <f>IF(Workforce[[#This Row],[Salary]]&lt;50000,"30k-49k",IF(Workforce[[#This Row],[Salary]]&lt;70000,"50k-69k",IF(Workforce[[#This Row],[Salary]]&lt;90000,"70k-89k","90k+")))</f>
        <v>70k-89k</v>
      </c>
      <c r="M306" t="s">
        <v>2426</v>
      </c>
      <c r="N306">
        <f t="shared" ca="1" si="18"/>
        <v>9</v>
      </c>
      <c r="O306" t="str">
        <f t="shared" ca="1" si="19"/>
        <v>Senior level</v>
      </c>
    </row>
    <row r="307" spans="1:15" x14ac:dyDescent="0.3">
      <c r="A307" t="s">
        <v>2427</v>
      </c>
      <c r="B307" t="s">
        <v>2428</v>
      </c>
      <c r="C307" t="s">
        <v>482</v>
      </c>
      <c r="D307" t="s">
        <v>2429</v>
      </c>
      <c r="E307" t="s">
        <v>2430</v>
      </c>
      <c r="F307" t="s">
        <v>2431</v>
      </c>
      <c r="G307" t="s">
        <v>2432</v>
      </c>
      <c r="H307" t="s">
        <v>2433</v>
      </c>
      <c r="I307">
        <f t="shared" ca="1" si="16"/>
        <v>30</v>
      </c>
      <c r="J307" t="str">
        <f t="shared" ca="1" si="17"/>
        <v>30-39</v>
      </c>
      <c r="K307">
        <v>60841.62</v>
      </c>
      <c r="L307" t="str">
        <f>IF(Workforce[[#This Row],[Salary]]&lt;50000,"30k-49k",IF(Workforce[[#This Row],[Salary]]&lt;70000,"50k-69k",IF(Workforce[[#This Row],[Salary]]&lt;90000,"70k-89k","90k+")))</f>
        <v>50k-69k</v>
      </c>
      <c r="M307" t="s">
        <v>2434</v>
      </c>
      <c r="N307">
        <f t="shared" ca="1" si="18"/>
        <v>4</v>
      </c>
      <c r="O307" t="str">
        <f t="shared" ca="1" si="19"/>
        <v>Intermediate level</v>
      </c>
    </row>
    <row r="308" spans="1:15" x14ac:dyDescent="0.3">
      <c r="A308" t="s">
        <v>2435</v>
      </c>
      <c r="B308" t="s">
        <v>2436</v>
      </c>
      <c r="C308" t="s">
        <v>326</v>
      </c>
      <c r="D308" t="s">
        <v>2437</v>
      </c>
      <c r="E308" t="s">
        <v>2438</v>
      </c>
      <c r="F308" t="s">
        <v>190</v>
      </c>
      <c r="G308" t="s">
        <v>2439</v>
      </c>
      <c r="H308" t="s">
        <v>2440</v>
      </c>
      <c r="I308">
        <f t="shared" ca="1" si="16"/>
        <v>40</v>
      </c>
      <c r="J308" t="str">
        <f t="shared" ca="1" si="17"/>
        <v>40-49</v>
      </c>
      <c r="K308">
        <v>56570.48</v>
      </c>
      <c r="L308" t="str">
        <f>IF(Workforce[[#This Row],[Salary]]&lt;50000,"30k-49k",IF(Workforce[[#This Row],[Salary]]&lt;70000,"50k-69k",IF(Workforce[[#This Row],[Salary]]&lt;90000,"70k-89k","90k+")))</f>
        <v>50k-69k</v>
      </c>
      <c r="M308" t="s">
        <v>2441</v>
      </c>
      <c r="N308">
        <f t="shared" ca="1" si="18"/>
        <v>9</v>
      </c>
      <c r="O308" t="str">
        <f t="shared" ca="1" si="19"/>
        <v>Senior level</v>
      </c>
    </row>
    <row r="309" spans="1:15" x14ac:dyDescent="0.3">
      <c r="A309" t="s">
        <v>2442</v>
      </c>
      <c r="B309" t="s">
        <v>2443</v>
      </c>
      <c r="C309" t="s">
        <v>774</v>
      </c>
      <c r="D309" t="s">
        <v>2444</v>
      </c>
      <c r="E309" t="s">
        <v>2445</v>
      </c>
      <c r="F309" t="s">
        <v>2446</v>
      </c>
      <c r="G309" t="s">
        <v>2447</v>
      </c>
      <c r="H309" t="s">
        <v>2448</v>
      </c>
      <c r="I309">
        <f t="shared" ca="1" si="16"/>
        <v>47</v>
      </c>
      <c r="J309" t="str">
        <f t="shared" ca="1" si="17"/>
        <v>40-49</v>
      </c>
      <c r="K309">
        <v>41707.85</v>
      </c>
      <c r="L309" t="str">
        <f>IF(Workforce[[#This Row],[Salary]]&lt;50000,"30k-49k",IF(Workforce[[#This Row],[Salary]]&lt;70000,"50k-69k",IF(Workforce[[#This Row],[Salary]]&lt;90000,"70k-89k","90k+")))</f>
        <v>30k-49k</v>
      </c>
      <c r="M309" t="s">
        <v>2449</v>
      </c>
      <c r="N309">
        <f t="shared" ca="1" si="18"/>
        <v>10</v>
      </c>
      <c r="O309" t="str">
        <f t="shared" ca="1" si="19"/>
        <v>Senior level</v>
      </c>
    </row>
    <row r="310" spans="1:15" x14ac:dyDescent="0.3">
      <c r="A310" t="s">
        <v>2450</v>
      </c>
      <c r="B310" t="s">
        <v>2451</v>
      </c>
      <c r="C310" t="s">
        <v>482</v>
      </c>
      <c r="D310" t="s">
        <v>2452</v>
      </c>
      <c r="E310" t="s">
        <v>2453</v>
      </c>
      <c r="F310" t="s">
        <v>1153</v>
      </c>
      <c r="G310" t="s">
        <v>2454</v>
      </c>
      <c r="H310" t="s">
        <v>2455</v>
      </c>
      <c r="I310">
        <f t="shared" ca="1" si="16"/>
        <v>56</v>
      </c>
      <c r="J310" t="str">
        <f t="shared" ca="1" si="17"/>
        <v>50-59</v>
      </c>
      <c r="K310">
        <v>73084.61</v>
      </c>
      <c r="L310" t="str">
        <f>IF(Workforce[[#This Row],[Salary]]&lt;50000,"30k-49k",IF(Workforce[[#This Row],[Salary]]&lt;70000,"50k-69k",IF(Workforce[[#This Row],[Salary]]&lt;90000,"70k-89k","90k+")))</f>
        <v>70k-89k</v>
      </c>
      <c r="M310" t="s">
        <v>2456</v>
      </c>
      <c r="N310">
        <f t="shared" ca="1" si="18"/>
        <v>9</v>
      </c>
      <c r="O310" t="str">
        <f t="shared" ca="1" si="19"/>
        <v>Senior level</v>
      </c>
    </row>
    <row r="311" spans="1:15" x14ac:dyDescent="0.3">
      <c r="A311" t="s">
        <v>2457</v>
      </c>
      <c r="B311" t="s">
        <v>2458</v>
      </c>
      <c r="C311" t="s">
        <v>844</v>
      </c>
      <c r="D311" t="s">
        <v>2459</v>
      </c>
      <c r="E311" t="s">
        <v>2460</v>
      </c>
      <c r="F311" t="s">
        <v>1022</v>
      </c>
      <c r="G311" t="s">
        <v>2461</v>
      </c>
      <c r="H311" t="s">
        <v>2462</v>
      </c>
      <c r="I311">
        <f t="shared" ca="1" si="16"/>
        <v>28</v>
      </c>
      <c r="J311" t="str">
        <f t="shared" ca="1" si="17"/>
        <v>18-29</v>
      </c>
      <c r="K311">
        <v>116550.73</v>
      </c>
      <c r="L311" t="str">
        <f>IF(Workforce[[#This Row],[Salary]]&lt;50000,"30k-49k",IF(Workforce[[#This Row],[Salary]]&lt;70000,"50k-69k",IF(Workforce[[#This Row],[Salary]]&lt;90000,"70k-89k","90k+")))</f>
        <v>90k+</v>
      </c>
      <c r="M311" t="s">
        <v>2463</v>
      </c>
      <c r="N311">
        <f t="shared" ca="1" si="18"/>
        <v>2</v>
      </c>
      <c r="O311" t="str">
        <f t="shared" ca="1" si="19"/>
        <v>Beginner</v>
      </c>
    </row>
    <row r="312" spans="1:15" x14ac:dyDescent="0.3">
      <c r="A312" t="s">
        <v>2464</v>
      </c>
      <c r="B312" t="s">
        <v>2465</v>
      </c>
      <c r="C312" t="s">
        <v>335</v>
      </c>
      <c r="D312" t="s">
        <v>2466</v>
      </c>
      <c r="E312" t="s">
        <v>2467</v>
      </c>
      <c r="F312" t="s">
        <v>1712</v>
      </c>
      <c r="G312" t="s">
        <v>2468</v>
      </c>
      <c r="H312" t="s">
        <v>2469</v>
      </c>
      <c r="I312">
        <f t="shared" ca="1" si="16"/>
        <v>63</v>
      </c>
      <c r="J312" t="str">
        <f t="shared" ca="1" si="17"/>
        <v>60+</v>
      </c>
      <c r="K312">
        <v>86521.59</v>
      </c>
      <c r="L312" t="str">
        <f>IF(Workforce[[#This Row],[Salary]]&lt;50000,"30k-49k",IF(Workforce[[#This Row],[Salary]]&lt;70000,"50k-69k",IF(Workforce[[#This Row],[Salary]]&lt;90000,"70k-89k","90k+")))</f>
        <v>70k-89k</v>
      </c>
      <c r="M312" t="s">
        <v>2470</v>
      </c>
      <c r="N312">
        <f t="shared" ca="1" si="18"/>
        <v>8</v>
      </c>
      <c r="O312" t="str">
        <f t="shared" ca="1" si="19"/>
        <v>Senior level</v>
      </c>
    </row>
    <row r="313" spans="1:15" x14ac:dyDescent="0.3">
      <c r="A313" t="s">
        <v>2471</v>
      </c>
      <c r="B313" t="s">
        <v>2472</v>
      </c>
      <c r="C313" t="s">
        <v>457</v>
      </c>
      <c r="D313" t="s">
        <v>2473</v>
      </c>
      <c r="E313" t="s">
        <v>2474</v>
      </c>
      <c r="F313" t="s">
        <v>1780</v>
      </c>
      <c r="G313" t="s">
        <v>2475</v>
      </c>
      <c r="H313" t="s">
        <v>2476</v>
      </c>
      <c r="I313">
        <f t="shared" ca="1" si="16"/>
        <v>37</v>
      </c>
      <c r="J313" t="str">
        <f t="shared" ca="1" si="17"/>
        <v>30-39</v>
      </c>
      <c r="K313">
        <v>86193.45</v>
      </c>
      <c r="L313" t="str">
        <f>IF(Workforce[[#This Row],[Salary]]&lt;50000,"30k-49k",IF(Workforce[[#This Row],[Salary]]&lt;70000,"50k-69k",IF(Workforce[[#This Row],[Salary]]&lt;90000,"70k-89k","90k+")))</f>
        <v>70k-89k</v>
      </c>
      <c r="M313" t="s">
        <v>2477</v>
      </c>
      <c r="N313">
        <f t="shared" ca="1" si="18"/>
        <v>9</v>
      </c>
      <c r="O313" t="str">
        <f t="shared" ca="1" si="19"/>
        <v>Senior level</v>
      </c>
    </row>
    <row r="314" spans="1:15" x14ac:dyDescent="0.3">
      <c r="A314" t="s">
        <v>2478</v>
      </c>
      <c r="B314" t="s">
        <v>2479</v>
      </c>
      <c r="C314" t="s">
        <v>88</v>
      </c>
      <c r="D314" t="s">
        <v>2480</v>
      </c>
      <c r="E314" t="s">
        <v>2481</v>
      </c>
      <c r="F314" t="s">
        <v>2482</v>
      </c>
      <c r="G314" t="s">
        <v>2483</v>
      </c>
      <c r="H314" t="s">
        <v>2484</v>
      </c>
      <c r="I314">
        <f t="shared" ca="1" si="16"/>
        <v>45</v>
      </c>
      <c r="J314" t="str">
        <f t="shared" ca="1" si="17"/>
        <v>40-49</v>
      </c>
      <c r="K314">
        <v>35813.31</v>
      </c>
      <c r="L314" t="str">
        <f>IF(Workforce[[#This Row],[Salary]]&lt;50000,"30k-49k",IF(Workforce[[#This Row],[Salary]]&lt;70000,"50k-69k",IF(Workforce[[#This Row],[Salary]]&lt;90000,"70k-89k","90k+")))</f>
        <v>30k-49k</v>
      </c>
      <c r="M314" t="s">
        <v>2485</v>
      </c>
      <c r="N314">
        <f t="shared" ca="1" si="18"/>
        <v>7</v>
      </c>
      <c r="O314" t="str">
        <f t="shared" ca="1" si="19"/>
        <v>Senior level</v>
      </c>
    </row>
    <row r="315" spans="1:15" x14ac:dyDescent="0.3">
      <c r="A315" t="s">
        <v>2486</v>
      </c>
      <c r="B315" t="s">
        <v>2487</v>
      </c>
      <c r="C315" t="s">
        <v>482</v>
      </c>
      <c r="D315" t="s">
        <v>2488</v>
      </c>
      <c r="E315" t="s">
        <v>2489</v>
      </c>
      <c r="F315" t="s">
        <v>583</v>
      </c>
      <c r="G315" t="s">
        <v>2490</v>
      </c>
      <c r="H315" t="s">
        <v>2491</v>
      </c>
      <c r="I315">
        <f t="shared" ca="1" si="16"/>
        <v>19</v>
      </c>
      <c r="J315" t="str">
        <f t="shared" ca="1" si="17"/>
        <v>18-29</v>
      </c>
      <c r="K315">
        <v>92935.85</v>
      </c>
      <c r="L315" t="str">
        <f>IF(Workforce[[#This Row],[Salary]]&lt;50000,"30k-49k",IF(Workforce[[#This Row],[Salary]]&lt;70000,"50k-69k",IF(Workforce[[#This Row],[Salary]]&lt;90000,"70k-89k","90k+")))</f>
        <v>90k+</v>
      </c>
      <c r="M315" t="s">
        <v>2492</v>
      </c>
      <c r="N315">
        <f t="shared" ca="1" si="18"/>
        <v>1</v>
      </c>
      <c r="O315" t="str">
        <f t="shared" ca="1" si="19"/>
        <v>Beginner</v>
      </c>
    </row>
    <row r="316" spans="1:15" x14ac:dyDescent="0.3">
      <c r="A316" t="s">
        <v>2493</v>
      </c>
      <c r="B316" t="s">
        <v>2494</v>
      </c>
      <c r="C316" t="s">
        <v>151</v>
      </c>
      <c r="D316" t="s">
        <v>2495</v>
      </c>
      <c r="E316" t="s">
        <v>2496</v>
      </c>
      <c r="F316" t="s">
        <v>2497</v>
      </c>
      <c r="G316" t="s">
        <v>2498</v>
      </c>
      <c r="H316" t="s">
        <v>2499</v>
      </c>
      <c r="I316">
        <f t="shared" ca="1" si="16"/>
        <v>59</v>
      </c>
      <c r="J316" t="str">
        <f t="shared" ca="1" si="17"/>
        <v>50-59</v>
      </c>
      <c r="K316">
        <v>89964.57</v>
      </c>
      <c r="L316" t="str">
        <f>IF(Workforce[[#This Row],[Salary]]&lt;50000,"30k-49k",IF(Workforce[[#This Row],[Salary]]&lt;70000,"50k-69k",IF(Workforce[[#This Row],[Salary]]&lt;90000,"70k-89k","90k+")))</f>
        <v>70k-89k</v>
      </c>
      <c r="M316" t="s">
        <v>2500</v>
      </c>
      <c r="N316">
        <f t="shared" ca="1" si="18"/>
        <v>2</v>
      </c>
      <c r="O316" t="str">
        <f t="shared" ca="1" si="19"/>
        <v>Beginner</v>
      </c>
    </row>
    <row r="317" spans="1:15" x14ac:dyDescent="0.3">
      <c r="A317" t="s">
        <v>2501</v>
      </c>
      <c r="B317" t="s">
        <v>2502</v>
      </c>
      <c r="C317" t="s">
        <v>995</v>
      </c>
      <c r="D317" t="s">
        <v>2503</v>
      </c>
      <c r="E317" t="s">
        <v>2504</v>
      </c>
      <c r="F317" t="s">
        <v>2505</v>
      </c>
      <c r="G317" t="s">
        <v>2506</v>
      </c>
      <c r="H317" t="s">
        <v>2507</v>
      </c>
      <c r="I317">
        <f t="shared" ca="1" si="16"/>
        <v>64</v>
      </c>
      <c r="J317" t="str">
        <f t="shared" ca="1" si="17"/>
        <v>60+</v>
      </c>
      <c r="K317">
        <v>32860.94</v>
      </c>
      <c r="L317" t="str">
        <f>IF(Workforce[[#This Row],[Salary]]&lt;50000,"30k-49k",IF(Workforce[[#This Row],[Salary]]&lt;70000,"50k-69k",IF(Workforce[[#This Row],[Salary]]&lt;90000,"70k-89k","90k+")))</f>
        <v>30k-49k</v>
      </c>
      <c r="M317" t="s">
        <v>2508</v>
      </c>
      <c r="N317">
        <f t="shared" ca="1" si="18"/>
        <v>4</v>
      </c>
      <c r="O317" t="str">
        <f t="shared" ca="1" si="19"/>
        <v>Intermediate level</v>
      </c>
    </row>
    <row r="318" spans="1:15" x14ac:dyDescent="0.3">
      <c r="A318" t="s">
        <v>2509</v>
      </c>
      <c r="B318" t="s">
        <v>2510</v>
      </c>
      <c r="C318" t="s">
        <v>653</v>
      </c>
      <c r="D318" t="s">
        <v>2511</v>
      </c>
      <c r="E318" t="s">
        <v>2512</v>
      </c>
      <c r="F318" t="s">
        <v>199</v>
      </c>
      <c r="G318" t="s">
        <v>2513</v>
      </c>
      <c r="H318" t="s">
        <v>2514</v>
      </c>
      <c r="I318">
        <f t="shared" ca="1" si="16"/>
        <v>31</v>
      </c>
      <c r="J318" t="str">
        <f t="shared" ca="1" si="17"/>
        <v>30-39</v>
      </c>
      <c r="K318">
        <v>102803.48</v>
      </c>
      <c r="L318" t="str">
        <f>IF(Workforce[[#This Row],[Salary]]&lt;50000,"30k-49k",IF(Workforce[[#This Row],[Salary]]&lt;70000,"50k-69k",IF(Workforce[[#This Row],[Salary]]&lt;90000,"70k-89k","90k+")))</f>
        <v>90k+</v>
      </c>
      <c r="M318" t="s">
        <v>1156</v>
      </c>
      <c r="N318">
        <f t="shared" ca="1" si="18"/>
        <v>4</v>
      </c>
      <c r="O318" t="str">
        <f t="shared" ca="1" si="19"/>
        <v>Intermediate level</v>
      </c>
    </row>
    <row r="319" spans="1:15" x14ac:dyDescent="0.3">
      <c r="A319" t="s">
        <v>2515</v>
      </c>
      <c r="B319" t="s">
        <v>2516</v>
      </c>
      <c r="C319" t="s">
        <v>196</v>
      </c>
      <c r="D319" t="s">
        <v>2517</v>
      </c>
      <c r="E319" t="s">
        <v>2518</v>
      </c>
      <c r="F319" t="s">
        <v>1265</v>
      </c>
      <c r="G319" t="s">
        <v>2519</v>
      </c>
      <c r="H319" t="s">
        <v>2520</v>
      </c>
      <c r="I319">
        <f t="shared" ca="1" si="16"/>
        <v>59</v>
      </c>
      <c r="J319" t="str">
        <f t="shared" ca="1" si="17"/>
        <v>50-59</v>
      </c>
      <c r="K319">
        <v>39444.720000000001</v>
      </c>
      <c r="L319" t="str">
        <f>IF(Workforce[[#This Row],[Salary]]&lt;50000,"30k-49k",IF(Workforce[[#This Row],[Salary]]&lt;70000,"50k-69k",IF(Workforce[[#This Row],[Salary]]&lt;90000,"70k-89k","90k+")))</f>
        <v>30k-49k</v>
      </c>
      <c r="M319" t="s">
        <v>2521</v>
      </c>
      <c r="N319">
        <f t="shared" ca="1" si="18"/>
        <v>8</v>
      </c>
      <c r="O319" t="str">
        <f t="shared" ca="1" si="19"/>
        <v>Senior level</v>
      </c>
    </row>
    <row r="320" spans="1:15" x14ac:dyDescent="0.3">
      <c r="A320" t="s">
        <v>2522</v>
      </c>
      <c r="B320" t="s">
        <v>2523</v>
      </c>
      <c r="C320" t="s">
        <v>351</v>
      </c>
      <c r="D320" t="s">
        <v>2524</v>
      </c>
      <c r="E320" t="s">
        <v>2525</v>
      </c>
      <c r="F320" t="s">
        <v>2526</v>
      </c>
      <c r="G320" t="s">
        <v>2527</v>
      </c>
      <c r="H320" t="s">
        <v>2528</v>
      </c>
      <c r="I320">
        <f t="shared" ca="1" si="16"/>
        <v>62</v>
      </c>
      <c r="J320" t="str">
        <f t="shared" ca="1" si="17"/>
        <v>60+</v>
      </c>
      <c r="K320">
        <v>37165.06</v>
      </c>
      <c r="L320" t="str">
        <f>IF(Workforce[[#This Row],[Salary]]&lt;50000,"30k-49k",IF(Workforce[[#This Row],[Salary]]&lt;70000,"50k-69k",IF(Workforce[[#This Row],[Salary]]&lt;90000,"70k-89k","90k+")))</f>
        <v>30k-49k</v>
      </c>
      <c r="M320" t="s">
        <v>659</v>
      </c>
      <c r="N320">
        <f t="shared" ca="1" si="18"/>
        <v>1</v>
      </c>
      <c r="O320" t="str">
        <f t="shared" ca="1" si="19"/>
        <v>Beginner</v>
      </c>
    </row>
    <row r="321" spans="1:15" x14ac:dyDescent="0.3">
      <c r="A321" t="s">
        <v>2529</v>
      </c>
      <c r="B321" t="s">
        <v>2530</v>
      </c>
      <c r="C321" t="s">
        <v>317</v>
      </c>
      <c r="D321" t="s">
        <v>2531</v>
      </c>
      <c r="E321" t="s">
        <v>2532</v>
      </c>
      <c r="F321" t="s">
        <v>2117</v>
      </c>
      <c r="G321" t="s">
        <v>2533</v>
      </c>
      <c r="H321" t="s">
        <v>2534</v>
      </c>
      <c r="I321">
        <f t="shared" ca="1" si="16"/>
        <v>53</v>
      </c>
      <c r="J321" t="str">
        <f t="shared" ca="1" si="17"/>
        <v>50-59</v>
      </c>
      <c r="K321">
        <v>88054.9</v>
      </c>
      <c r="L321" t="str">
        <f>IF(Workforce[[#This Row],[Salary]]&lt;50000,"30k-49k",IF(Workforce[[#This Row],[Salary]]&lt;70000,"50k-69k",IF(Workforce[[#This Row],[Salary]]&lt;90000,"70k-89k","90k+")))</f>
        <v>70k-89k</v>
      </c>
      <c r="M321" t="s">
        <v>2535</v>
      </c>
      <c r="N321">
        <f t="shared" ca="1" si="18"/>
        <v>8</v>
      </c>
      <c r="O321" t="str">
        <f t="shared" ca="1" si="19"/>
        <v>Senior level</v>
      </c>
    </row>
    <row r="322" spans="1:15" x14ac:dyDescent="0.3">
      <c r="A322" t="s">
        <v>2536</v>
      </c>
      <c r="B322" t="s">
        <v>2537</v>
      </c>
      <c r="C322" t="s">
        <v>151</v>
      </c>
      <c r="D322" t="s">
        <v>2538</v>
      </c>
      <c r="E322" t="s">
        <v>2539</v>
      </c>
      <c r="F322" t="s">
        <v>2540</v>
      </c>
      <c r="G322" t="s">
        <v>2541</v>
      </c>
      <c r="H322" t="s">
        <v>2542</v>
      </c>
      <c r="I322">
        <f t="shared" ref="I322:I385" ca="1" si="20">DATEDIF(H322,TODAY(),"y")</f>
        <v>52</v>
      </c>
      <c r="J322" t="str">
        <f t="shared" ref="J322:J385" ca="1" si="21">IF(I322&lt;30,"18-29",IF(I322&lt;40,"30-39",IF(I322&lt;50,"40-49",IF(I322&lt;60,"50-59","60+"))))</f>
        <v>50-59</v>
      </c>
      <c r="K322">
        <v>35430.33</v>
      </c>
      <c r="L322" t="str">
        <f>IF(Workforce[[#This Row],[Salary]]&lt;50000,"30k-49k",IF(Workforce[[#This Row],[Salary]]&lt;70000,"50k-69k",IF(Workforce[[#This Row],[Salary]]&lt;90000,"70k-89k","90k+")))</f>
        <v>30k-49k</v>
      </c>
      <c r="M322" t="s">
        <v>2543</v>
      </c>
      <c r="N322">
        <f t="shared" ref="N322:N385" ca="1" si="22">DATEDIF(M322,TODAY(),"y")</f>
        <v>5</v>
      </c>
      <c r="O322" t="str">
        <f t="shared" ref="O322:O385" ca="1" si="23">IF(N322&lt;=2,"Beginner",IF(N322&lt;=6,"Intermediate level","Senior level"))</f>
        <v>Intermediate level</v>
      </c>
    </row>
    <row r="323" spans="1:15" x14ac:dyDescent="0.3">
      <c r="A323" t="s">
        <v>2544</v>
      </c>
      <c r="B323" t="s">
        <v>2545</v>
      </c>
      <c r="C323" t="s">
        <v>604</v>
      </c>
      <c r="D323" t="s">
        <v>2546</v>
      </c>
      <c r="E323" t="s">
        <v>2547</v>
      </c>
      <c r="F323" t="s">
        <v>1572</v>
      </c>
      <c r="G323" t="s">
        <v>2548</v>
      </c>
      <c r="H323" t="s">
        <v>2549</v>
      </c>
      <c r="I323">
        <f t="shared" ca="1" si="20"/>
        <v>45</v>
      </c>
      <c r="J323" t="str">
        <f t="shared" ca="1" si="21"/>
        <v>40-49</v>
      </c>
      <c r="K323">
        <v>30853.7</v>
      </c>
      <c r="L323" t="str">
        <f>IF(Workforce[[#This Row],[Salary]]&lt;50000,"30k-49k",IF(Workforce[[#This Row],[Salary]]&lt;70000,"50k-69k",IF(Workforce[[#This Row],[Salary]]&lt;90000,"70k-89k","90k+")))</f>
        <v>30k-49k</v>
      </c>
      <c r="M323" t="s">
        <v>2550</v>
      </c>
      <c r="N323">
        <f t="shared" ca="1" si="22"/>
        <v>3</v>
      </c>
      <c r="O323" t="str">
        <f t="shared" ca="1" si="23"/>
        <v>Intermediate level</v>
      </c>
    </row>
    <row r="324" spans="1:15" x14ac:dyDescent="0.3">
      <c r="A324" t="s">
        <v>2551</v>
      </c>
      <c r="B324" t="s">
        <v>2552</v>
      </c>
      <c r="C324" t="s">
        <v>580</v>
      </c>
      <c r="D324" t="s">
        <v>2553</v>
      </c>
      <c r="E324" t="s">
        <v>2554</v>
      </c>
      <c r="F324" t="s">
        <v>1864</v>
      </c>
      <c r="G324" t="s">
        <v>2555</v>
      </c>
      <c r="H324" t="s">
        <v>2556</v>
      </c>
      <c r="I324">
        <f t="shared" ca="1" si="20"/>
        <v>39</v>
      </c>
      <c r="J324" t="str">
        <f t="shared" ca="1" si="21"/>
        <v>30-39</v>
      </c>
      <c r="K324">
        <v>55618.41</v>
      </c>
      <c r="L324" t="str">
        <f>IF(Workforce[[#This Row],[Salary]]&lt;50000,"30k-49k",IF(Workforce[[#This Row],[Salary]]&lt;70000,"50k-69k",IF(Workforce[[#This Row],[Salary]]&lt;90000,"70k-89k","90k+")))</f>
        <v>50k-69k</v>
      </c>
      <c r="M324" t="s">
        <v>2557</v>
      </c>
      <c r="N324">
        <f t="shared" ca="1" si="22"/>
        <v>9</v>
      </c>
      <c r="O324" t="str">
        <f t="shared" ca="1" si="23"/>
        <v>Senior level</v>
      </c>
    </row>
    <row r="325" spans="1:15" x14ac:dyDescent="0.3">
      <c r="A325" t="s">
        <v>2558</v>
      </c>
      <c r="B325" t="s">
        <v>2559</v>
      </c>
      <c r="C325" t="s">
        <v>774</v>
      </c>
      <c r="D325" t="s">
        <v>2560</v>
      </c>
      <c r="E325" t="s">
        <v>2561</v>
      </c>
      <c r="F325" t="s">
        <v>2562</v>
      </c>
      <c r="G325" t="s">
        <v>2563</v>
      </c>
      <c r="H325" t="s">
        <v>2564</v>
      </c>
      <c r="I325">
        <f t="shared" ca="1" si="20"/>
        <v>39</v>
      </c>
      <c r="J325" t="str">
        <f t="shared" ca="1" si="21"/>
        <v>30-39</v>
      </c>
      <c r="K325">
        <v>79527.06</v>
      </c>
      <c r="L325" t="str">
        <f>IF(Workforce[[#This Row],[Salary]]&lt;50000,"30k-49k",IF(Workforce[[#This Row],[Salary]]&lt;70000,"50k-69k",IF(Workforce[[#This Row],[Salary]]&lt;90000,"70k-89k","90k+")))</f>
        <v>70k-89k</v>
      </c>
      <c r="M325" t="s">
        <v>2565</v>
      </c>
      <c r="N325">
        <f t="shared" ca="1" si="22"/>
        <v>7</v>
      </c>
      <c r="O325" t="str">
        <f t="shared" ca="1" si="23"/>
        <v>Senior level</v>
      </c>
    </row>
    <row r="326" spans="1:15" x14ac:dyDescent="0.3">
      <c r="A326" t="s">
        <v>2566</v>
      </c>
      <c r="B326" t="s">
        <v>2567</v>
      </c>
      <c r="C326" t="s">
        <v>457</v>
      </c>
      <c r="D326" t="s">
        <v>2568</v>
      </c>
      <c r="E326" t="s">
        <v>2569</v>
      </c>
      <c r="F326" t="s">
        <v>1107</v>
      </c>
      <c r="G326" t="s">
        <v>2570</v>
      </c>
      <c r="H326" t="s">
        <v>2571</v>
      </c>
      <c r="I326">
        <f t="shared" ca="1" si="20"/>
        <v>56</v>
      </c>
      <c r="J326" t="str">
        <f t="shared" ca="1" si="21"/>
        <v>50-59</v>
      </c>
      <c r="K326">
        <v>31538.38</v>
      </c>
      <c r="L326" t="str">
        <f>IF(Workforce[[#This Row],[Salary]]&lt;50000,"30k-49k",IF(Workforce[[#This Row],[Salary]]&lt;70000,"50k-69k",IF(Workforce[[#This Row],[Salary]]&lt;90000,"70k-89k","90k+")))</f>
        <v>30k-49k</v>
      </c>
      <c r="M326" t="s">
        <v>2572</v>
      </c>
      <c r="N326">
        <f t="shared" ca="1" si="22"/>
        <v>1</v>
      </c>
      <c r="O326" t="str">
        <f t="shared" ca="1" si="23"/>
        <v>Beginner</v>
      </c>
    </row>
    <row r="327" spans="1:15" x14ac:dyDescent="0.3">
      <c r="A327" t="s">
        <v>2573</v>
      </c>
      <c r="B327" t="s">
        <v>2574</v>
      </c>
      <c r="C327" t="s">
        <v>240</v>
      </c>
      <c r="D327" t="s">
        <v>2575</v>
      </c>
      <c r="E327" t="s">
        <v>2576</v>
      </c>
      <c r="F327" t="s">
        <v>2577</v>
      </c>
      <c r="G327" t="s">
        <v>2578</v>
      </c>
      <c r="H327" t="s">
        <v>2579</v>
      </c>
      <c r="I327">
        <f t="shared" ca="1" si="20"/>
        <v>64</v>
      </c>
      <c r="J327" t="str">
        <f t="shared" ca="1" si="21"/>
        <v>60+</v>
      </c>
      <c r="K327">
        <v>88701.26</v>
      </c>
      <c r="L327" t="str">
        <f>IF(Workforce[[#This Row],[Salary]]&lt;50000,"30k-49k",IF(Workforce[[#This Row],[Salary]]&lt;70000,"50k-69k",IF(Workforce[[#This Row],[Salary]]&lt;90000,"70k-89k","90k+")))</f>
        <v>70k-89k</v>
      </c>
      <c r="M327" t="s">
        <v>2580</v>
      </c>
      <c r="N327">
        <f t="shared" ca="1" si="22"/>
        <v>9</v>
      </c>
      <c r="O327" t="str">
        <f t="shared" ca="1" si="23"/>
        <v>Senior level</v>
      </c>
    </row>
    <row r="328" spans="1:15" x14ac:dyDescent="0.3">
      <c r="A328" t="s">
        <v>2581</v>
      </c>
      <c r="B328" t="s">
        <v>2582</v>
      </c>
      <c r="C328" t="s">
        <v>2086</v>
      </c>
      <c r="D328" t="s">
        <v>2583</v>
      </c>
      <c r="E328" t="s">
        <v>2584</v>
      </c>
      <c r="F328" t="s">
        <v>2585</v>
      </c>
      <c r="G328" t="s">
        <v>2586</v>
      </c>
      <c r="H328" t="s">
        <v>2587</v>
      </c>
      <c r="I328">
        <f t="shared" ca="1" si="20"/>
        <v>52</v>
      </c>
      <c r="J328" t="str">
        <f t="shared" ca="1" si="21"/>
        <v>50-59</v>
      </c>
      <c r="K328">
        <v>74461.34</v>
      </c>
      <c r="L328" t="str">
        <f>IF(Workforce[[#This Row],[Salary]]&lt;50000,"30k-49k",IF(Workforce[[#This Row],[Salary]]&lt;70000,"50k-69k",IF(Workforce[[#This Row],[Salary]]&lt;90000,"70k-89k","90k+")))</f>
        <v>70k-89k</v>
      </c>
      <c r="M328" t="s">
        <v>1844</v>
      </c>
      <c r="N328">
        <f t="shared" ca="1" si="22"/>
        <v>5</v>
      </c>
      <c r="O328" t="str">
        <f t="shared" ca="1" si="23"/>
        <v>Intermediate level</v>
      </c>
    </row>
    <row r="329" spans="1:15" x14ac:dyDescent="0.3">
      <c r="A329" t="s">
        <v>2588</v>
      </c>
      <c r="B329" t="s">
        <v>2589</v>
      </c>
      <c r="C329" t="s">
        <v>757</v>
      </c>
      <c r="D329" t="s">
        <v>2590</v>
      </c>
      <c r="E329" t="s">
        <v>2591</v>
      </c>
      <c r="F329" t="s">
        <v>2592</v>
      </c>
      <c r="G329" t="s">
        <v>2593</v>
      </c>
      <c r="H329" t="s">
        <v>2594</v>
      </c>
      <c r="I329">
        <f t="shared" ca="1" si="20"/>
        <v>23</v>
      </c>
      <c r="J329" t="str">
        <f t="shared" ca="1" si="21"/>
        <v>18-29</v>
      </c>
      <c r="K329">
        <v>109263.41</v>
      </c>
      <c r="L329" t="str">
        <f>IF(Workforce[[#This Row],[Salary]]&lt;50000,"30k-49k",IF(Workforce[[#This Row],[Salary]]&lt;70000,"50k-69k",IF(Workforce[[#This Row],[Salary]]&lt;90000,"70k-89k","90k+")))</f>
        <v>90k+</v>
      </c>
      <c r="M329" t="s">
        <v>2595</v>
      </c>
      <c r="N329">
        <f t="shared" ca="1" si="22"/>
        <v>0</v>
      </c>
      <c r="O329" t="str">
        <f t="shared" ca="1" si="23"/>
        <v>Beginner</v>
      </c>
    </row>
    <row r="330" spans="1:15" x14ac:dyDescent="0.3">
      <c r="A330" t="s">
        <v>2596</v>
      </c>
      <c r="B330" t="s">
        <v>2597</v>
      </c>
      <c r="C330" t="s">
        <v>326</v>
      </c>
      <c r="D330" t="s">
        <v>2598</v>
      </c>
      <c r="E330" t="s">
        <v>2599</v>
      </c>
      <c r="F330" t="s">
        <v>2600</v>
      </c>
      <c r="G330" t="s">
        <v>2601</v>
      </c>
      <c r="H330" t="s">
        <v>2602</v>
      </c>
      <c r="I330">
        <f t="shared" ca="1" si="20"/>
        <v>49</v>
      </c>
      <c r="J330" t="str">
        <f t="shared" ca="1" si="21"/>
        <v>40-49</v>
      </c>
      <c r="K330">
        <v>108713.38</v>
      </c>
      <c r="L330" t="str">
        <f>IF(Workforce[[#This Row],[Salary]]&lt;50000,"30k-49k",IF(Workforce[[#This Row],[Salary]]&lt;70000,"50k-69k",IF(Workforce[[#This Row],[Salary]]&lt;90000,"70k-89k","90k+")))</f>
        <v>90k+</v>
      </c>
      <c r="M330" t="s">
        <v>2603</v>
      </c>
      <c r="N330">
        <f t="shared" ca="1" si="22"/>
        <v>8</v>
      </c>
      <c r="O330" t="str">
        <f t="shared" ca="1" si="23"/>
        <v>Senior level</v>
      </c>
    </row>
    <row r="331" spans="1:15" x14ac:dyDescent="0.3">
      <c r="A331" t="s">
        <v>2604</v>
      </c>
      <c r="B331" t="s">
        <v>2605</v>
      </c>
      <c r="C331" t="s">
        <v>79</v>
      </c>
      <c r="D331" t="s">
        <v>2606</v>
      </c>
      <c r="E331" t="s">
        <v>2607</v>
      </c>
      <c r="F331" t="s">
        <v>2592</v>
      </c>
      <c r="G331" t="s">
        <v>2608</v>
      </c>
      <c r="H331" t="s">
        <v>2609</v>
      </c>
      <c r="I331">
        <f t="shared" ca="1" si="20"/>
        <v>43</v>
      </c>
      <c r="J331" t="str">
        <f t="shared" ca="1" si="21"/>
        <v>40-49</v>
      </c>
      <c r="K331">
        <v>89514.33</v>
      </c>
      <c r="L331" t="str">
        <f>IF(Workforce[[#This Row],[Salary]]&lt;50000,"30k-49k",IF(Workforce[[#This Row],[Salary]]&lt;70000,"50k-69k",IF(Workforce[[#This Row],[Salary]]&lt;90000,"70k-89k","90k+")))</f>
        <v>70k-89k</v>
      </c>
      <c r="M331" t="s">
        <v>2610</v>
      </c>
      <c r="N331">
        <f t="shared" ca="1" si="22"/>
        <v>9</v>
      </c>
      <c r="O331" t="str">
        <f t="shared" ca="1" si="23"/>
        <v>Senior level</v>
      </c>
    </row>
    <row r="332" spans="1:15" x14ac:dyDescent="0.3">
      <c r="A332" t="s">
        <v>2611</v>
      </c>
      <c r="B332" t="s">
        <v>2612</v>
      </c>
      <c r="C332" t="s">
        <v>440</v>
      </c>
      <c r="D332" t="s">
        <v>2613</v>
      </c>
      <c r="E332" t="s">
        <v>2614</v>
      </c>
      <c r="F332" t="s">
        <v>2615</v>
      </c>
      <c r="G332" t="s">
        <v>2616</v>
      </c>
      <c r="H332" t="s">
        <v>2617</v>
      </c>
      <c r="I332">
        <f t="shared" ca="1" si="20"/>
        <v>39</v>
      </c>
      <c r="J332" t="str">
        <f t="shared" ca="1" si="21"/>
        <v>30-39</v>
      </c>
      <c r="K332">
        <v>90207.35</v>
      </c>
      <c r="L332" t="str">
        <f>IF(Workforce[[#This Row],[Salary]]&lt;50000,"30k-49k",IF(Workforce[[#This Row],[Salary]]&lt;70000,"50k-69k",IF(Workforce[[#This Row],[Salary]]&lt;90000,"70k-89k","90k+")))</f>
        <v>90k+</v>
      </c>
      <c r="M332" t="s">
        <v>2618</v>
      </c>
      <c r="N332">
        <f t="shared" ca="1" si="22"/>
        <v>6</v>
      </c>
      <c r="O332" t="str">
        <f t="shared" ca="1" si="23"/>
        <v>Intermediate level</v>
      </c>
    </row>
    <row r="333" spans="1:15" x14ac:dyDescent="0.3">
      <c r="A333" t="s">
        <v>2619</v>
      </c>
      <c r="B333" t="s">
        <v>2620</v>
      </c>
      <c r="C333" t="s">
        <v>133</v>
      </c>
      <c r="D333" t="s">
        <v>2621</v>
      </c>
      <c r="E333" t="s">
        <v>2622</v>
      </c>
      <c r="F333" t="s">
        <v>2623</v>
      </c>
      <c r="G333" t="s">
        <v>2624</v>
      </c>
      <c r="H333" t="s">
        <v>2625</v>
      </c>
      <c r="I333">
        <f t="shared" ca="1" si="20"/>
        <v>36</v>
      </c>
      <c r="J333" t="str">
        <f t="shared" ca="1" si="21"/>
        <v>30-39</v>
      </c>
      <c r="K333">
        <v>96872.87</v>
      </c>
      <c r="L333" t="str">
        <f>IF(Workforce[[#This Row],[Salary]]&lt;50000,"30k-49k",IF(Workforce[[#This Row],[Salary]]&lt;70000,"50k-69k",IF(Workforce[[#This Row],[Salary]]&lt;90000,"70k-89k","90k+")))</f>
        <v>90k+</v>
      </c>
      <c r="M333" t="s">
        <v>2626</v>
      </c>
      <c r="N333">
        <f t="shared" ca="1" si="22"/>
        <v>6</v>
      </c>
      <c r="O333" t="str">
        <f t="shared" ca="1" si="23"/>
        <v>Intermediate level</v>
      </c>
    </row>
    <row r="334" spans="1:15" x14ac:dyDescent="0.3">
      <c r="A334" t="s">
        <v>1166</v>
      </c>
      <c r="B334" t="s">
        <v>2627</v>
      </c>
      <c r="C334" t="s">
        <v>124</v>
      </c>
      <c r="D334" t="s">
        <v>2628</v>
      </c>
      <c r="E334" t="s">
        <v>2629</v>
      </c>
      <c r="F334" t="s">
        <v>2630</v>
      </c>
      <c r="G334" t="s">
        <v>2631</v>
      </c>
      <c r="H334" t="s">
        <v>2632</v>
      </c>
      <c r="I334">
        <f t="shared" ca="1" si="20"/>
        <v>53</v>
      </c>
      <c r="J334" t="str">
        <f t="shared" ca="1" si="21"/>
        <v>50-59</v>
      </c>
      <c r="K334">
        <v>91502.77</v>
      </c>
      <c r="L334" t="str">
        <f>IF(Workforce[[#This Row],[Salary]]&lt;50000,"30k-49k",IF(Workforce[[#This Row],[Salary]]&lt;70000,"50k-69k",IF(Workforce[[#This Row],[Salary]]&lt;90000,"70k-89k","90k+")))</f>
        <v>90k+</v>
      </c>
      <c r="M334" t="s">
        <v>2633</v>
      </c>
      <c r="N334">
        <f t="shared" ca="1" si="22"/>
        <v>2</v>
      </c>
      <c r="O334" t="str">
        <f t="shared" ca="1" si="23"/>
        <v>Beginner</v>
      </c>
    </row>
    <row r="335" spans="1:15" x14ac:dyDescent="0.3">
      <c r="A335" t="s">
        <v>2634</v>
      </c>
      <c r="B335" t="s">
        <v>2635</v>
      </c>
      <c r="C335" t="s">
        <v>653</v>
      </c>
      <c r="D335" t="s">
        <v>2636</v>
      </c>
      <c r="E335" t="s">
        <v>2637</v>
      </c>
      <c r="F335" t="s">
        <v>2638</v>
      </c>
      <c r="G335" t="s">
        <v>2639</v>
      </c>
      <c r="H335" t="s">
        <v>794</v>
      </c>
      <c r="I335">
        <f t="shared" ca="1" si="20"/>
        <v>41</v>
      </c>
      <c r="J335" t="str">
        <f t="shared" ca="1" si="21"/>
        <v>40-49</v>
      </c>
      <c r="K335">
        <v>31355.8</v>
      </c>
      <c r="L335" t="str">
        <f>IF(Workforce[[#This Row],[Salary]]&lt;50000,"30k-49k",IF(Workforce[[#This Row],[Salary]]&lt;70000,"50k-69k",IF(Workforce[[#This Row],[Salary]]&lt;90000,"70k-89k","90k+")))</f>
        <v>30k-49k</v>
      </c>
      <c r="M335" t="s">
        <v>2640</v>
      </c>
      <c r="N335">
        <f t="shared" ca="1" si="22"/>
        <v>8</v>
      </c>
      <c r="O335" t="str">
        <f t="shared" ca="1" si="23"/>
        <v>Senior level</v>
      </c>
    </row>
    <row r="336" spans="1:15" x14ac:dyDescent="0.3">
      <c r="A336" t="s">
        <v>2641</v>
      </c>
      <c r="B336" t="s">
        <v>2642</v>
      </c>
      <c r="C336" t="s">
        <v>995</v>
      </c>
      <c r="D336" t="s">
        <v>2643</v>
      </c>
      <c r="E336" t="s">
        <v>2644</v>
      </c>
      <c r="F336" t="s">
        <v>2645</v>
      </c>
      <c r="G336" t="s">
        <v>2646</v>
      </c>
      <c r="H336" t="s">
        <v>2647</v>
      </c>
      <c r="I336">
        <f t="shared" ca="1" si="20"/>
        <v>50</v>
      </c>
      <c r="J336" t="str">
        <f t="shared" ca="1" si="21"/>
        <v>50-59</v>
      </c>
      <c r="K336">
        <v>38322.559999999998</v>
      </c>
      <c r="L336" t="str">
        <f>IF(Workforce[[#This Row],[Salary]]&lt;50000,"30k-49k",IF(Workforce[[#This Row],[Salary]]&lt;70000,"50k-69k",IF(Workforce[[#This Row],[Salary]]&lt;90000,"70k-89k","90k+")))</f>
        <v>30k-49k</v>
      </c>
      <c r="M336" t="s">
        <v>2648</v>
      </c>
      <c r="N336">
        <f t="shared" ca="1" si="22"/>
        <v>5</v>
      </c>
      <c r="O336" t="str">
        <f t="shared" ca="1" si="23"/>
        <v>Intermediate level</v>
      </c>
    </row>
    <row r="337" spans="1:15" x14ac:dyDescent="0.3">
      <c r="A337" t="s">
        <v>2649</v>
      </c>
      <c r="B337" t="s">
        <v>2650</v>
      </c>
      <c r="C337" t="s">
        <v>79</v>
      </c>
      <c r="D337" t="s">
        <v>2651</v>
      </c>
      <c r="E337" t="s">
        <v>2652</v>
      </c>
      <c r="F337" t="s">
        <v>2653</v>
      </c>
      <c r="G337" t="s">
        <v>2103</v>
      </c>
      <c r="H337" t="s">
        <v>2654</v>
      </c>
      <c r="I337">
        <f t="shared" ca="1" si="20"/>
        <v>19</v>
      </c>
      <c r="J337" t="str">
        <f t="shared" ca="1" si="21"/>
        <v>18-29</v>
      </c>
      <c r="K337">
        <v>94218.61</v>
      </c>
      <c r="L337" t="str">
        <f>IF(Workforce[[#This Row],[Salary]]&lt;50000,"30k-49k",IF(Workforce[[#This Row],[Salary]]&lt;70000,"50k-69k",IF(Workforce[[#This Row],[Salary]]&lt;90000,"70k-89k","90k+")))</f>
        <v>90k+</v>
      </c>
      <c r="M337" t="s">
        <v>1315</v>
      </c>
      <c r="N337">
        <f t="shared" ca="1" si="22"/>
        <v>7</v>
      </c>
      <c r="O337" t="str">
        <f t="shared" ca="1" si="23"/>
        <v>Senior level</v>
      </c>
    </row>
    <row r="338" spans="1:15" x14ac:dyDescent="0.3">
      <c r="A338" t="s">
        <v>2655</v>
      </c>
      <c r="B338" t="s">
        <v>2656</v>
      </c>
      <c r="C338" t="s">
        <v>995</v>
      </c>
      <c r="D338" t="s">
        <v>2657</v>
      </c>
      <c r="E338" t="s">
        <v>2658</v>
      </c>
      <c r="F338" t="s">
        <v>1304</v>
      </c>
      <c r="G338" t="s">
        <v>2659</v>
      </c>
      <c r="H338" t="s">
        <v>1017</v>
      </c>
      <c r="I338">
        <f t="shared" ca="1" si="20"/>
        <v>45</v>
      </c>
      <c r="J338" t="str">
        <f t="shared" ca="1" si="21"/>
        <v>40-49</v>
      </c>
      <c r="K338">
        <v>107164.69</v>
      </c>
      <c r="L338" t="str">
        <f>IF(Workforce[[#This Row],[Salary]]&lt;50000,"30k-49k",IF(Workforce[[#This Row],[Salary]]&lt;70000,"50k-69k",IF(Workforce[[#This Row],[Salary]]&lt;90000,"70k-89k","90k+")))</f>
        <v>90k+</v>
      </c>
      <c r="M338" t="s">
        <v>2660</v>
      </c>
      <c r="N338">
        <f t="shared" ca="1" si="22"/>
        <v>10</v>
      </c>
      <c r="O338" t="str">
        <f t="shared" ca="1" si="23"/>
        <v>Senior level</v>
      </c>
    </row>
    <row r="339" spans="1:15" x14ac:dyDescent="0.3">
      <c r="A339" t="s">
        <v>2661</v>
      </c>
      <c r="B339" t="s">
        <v>2662</v>
      </c>
      <c r="C339" t="s">
        <v>106</v>
      </c>
      <c r="D339" t="s">
        <v>2663</v>
      </c>
      <c r="E339" t="s">
        <v>2664</v>
      </c>
      <c r="F339" t="s">
        <v>2665</v>
      </c>
      <c r="G339" t="s">
        <v>2666</v>
      </c>
      <c r="H339" t="s">
        <v>2667</v>
      </c>
      <c r="I339">
        <f t="shared" ca="1" si="20"/>
        <v>20</v>
      </c>
      <c r="J339" t="str">
        <f t="shared" ca="1" si="21"/>
        <v>18-29</v>
      </c>
      <c r="K339">
        <v>36607.83</v>
      </c>
      <c r="L339" t="str">
        <f>IF(Workforce[[#This Row],[Salary]]&lt;50000,"30k-49k",IF(Workforce[[#This Row],[Salary]]&lt;70000,"50k-69k",IF(Workforce[[#This Row],[Salary]]&lt;90000,"70k-89k","90k+")))</f>
        <v>30k-49k</v>
      </c>
      <c r="M339" t="s">
        <v>2668</v>
      </c>
      <c r="N339">
        <f t="shared" ca="1" si="22"/>
        <v>2</v>
      </c>
      <c r="O339" t="str">
        <f t="shared" ca="1" si="23"/>
        <v>Beginner</v>
      </c>
    </row>
    <row r="340" spans="1:15" x14ac:dyDescent="0.3">
      <c r="A340" t="s">
        <v>2669</v>
      </c>
      <c r="B340" t="s">
        <v>2670</v>
      </c>
      <c r="C340" t="s">
        <v>457</v>
      </c>
      <c r="D340" t="s">
        <v>2671</v>
      </c>
      <c r="E340" t="s">
        <v>2672</v>
      </c>
      <c r="F340" t="s">
        <v>2673</v>
      </c>
      <c r="G340" t="s">
        <v>2674</v>
      </c>
      <c r="H340" t="s">
        <v>2675</v>
      </c>
      <c r="I340">
        <f t="shared" ca="1" si="20"/>
        <v>42</v>
      </c>
      <c r="J340" t="str">
        <f t="shared" ca="1" si="21"/>
        <v>40-49</v>
      </c>
      <c r="K340">
        <v>90653.5</v>
      </c>
      <c r="L340" t="str">
        <f>IF(Workforce[[#This Row],[Salary]]&lt;50000,"30k-49k",IF(Workforce[[#This Row],[Salary]]&lt;70000,"50k-69k",IF(Workforce[[#This Row],[Salary]]&lt;90000,"70k-89k","90k+")))</f>
        <v>90k+</v>
      </c>
      <c r="M340" t="s">
        <v>2676</v>
      </c>
      <c r="N340">
        <f t="shared" ca="1" si="22"/>
        <v>2</v>
      </c>
      <c r="O340" t="str">
        <f t="shared" ca="1" si="23"/>
        <v>Beginner</v>
      </c>
    </row>
    <row r="341" spans="1:15" x14ac:dyDescent="0.3">
      <c r="A341" t="s">
        <v>2677</v>
      </c>
      <c r="B341" t="s">
        <v>2678</v>
      </c>
      <c r="C341" t="s">
        <v>97</v>
      </c>
      <c r="D341" t="s">
        <v>2679</v>
      </c>
      <c r="E341" t="s">
        <v>2680</v>
      </c>
      <c r="F341" t="s">
        <v>1226</v>
      </c>
      <c r="G341" t="s">
        <v>2681</v>
      </c>
      <c r="H341" t="s">
        <v>218</v>
      </c>
      <c r="I341">
        <f t="shared" ca="1" si="20"/>
        <v>32</v>
      </c>
      <c r="J341" t="str">
        <f t="shared" ca="1" si="21"/>
        <v>30-39</v>
      </c>
      <c r="K341">
        <v>103488.56</v>
      </c>
      <c r="L341" t="str">
        <f>IF(Workforce[[#This Row],[Salary]]&lt;50000,"30k-49k",IF(Workforce[[#This Row],[Salary]]&lt;70000,"50k-69k",IF(Workforce[[#This Row],[Salary]]&lt;90000,"70k-89k","90k+")))</f>
        <v>90k+</v>
      </c>
      <c r="M341" t="s">
        <v>2682</v>
      </c>
      <c r="N341">
        <f t="shared" ca="1" si="22"/>
        <v>5</v>
      </c>
      <c r="O341" t="str">
        <f t="shared" ca="1" si="23"/>
        <v>Intermediate level</v>
      </c>
    </row>
    <row r="342" spans="1:15" x14ac:dyDescent="0.3">
      <c r="A342" t="s">
        <v>2683</v>
      </c>
      <c r="B342" t="s">
        <v>2684</v>
      </c>
      <c r="C342" t="s">
        <v>213</v>
      </c>
      <c r="D342" t="s">
        <v>2685</v>
      </c>
      <c r="E342" t="s">
        <v>2686</v>
      </c>
      <c r="F342" t="s">
        <v>2687</v>
      </c>
      <c r="G342" t="s">
        <v>2688</v>
      </c>
      <c r="H342" t="s">
        <v>2689</v>
      </c>
      <c r="I342">
        <f t="shared" ca="1" si="20"/>
        <v>25</v>
      </c>
      <c r="J342" t="str">
        <f t="shared" ca="1" si="21"/>
        <v>18-29</v>
      </c>
      <c r="K342">
        <v>106263.09</v>
      </c>
      <c r="L342" t="str">
        <f>IF(Workforce[[#This Row],[Salary]]&lt;50000,"30k-49k",IF(Workforce[[#This Row],[Salary]]&lt;70000,"50k-69k",IF(Workforce[[#This Row],[Salary]]&lt;90000,"70k-89k","90k+")))</f>
        <v>90k+</v>
      </c>
      <c r="M342" t="s">
        <v>2690</v>
      </c>
      <c r="N342">
        <f t="shared" ca="1" si="22"/>
        <v>5</v>
      </c>
      <c r="O342" t="str">
        <f t="shared" ca="1" si="23"/>
        <v>Intermediate level</v>
      </c>
    </row>
    <row r="343" spans="1:15" x14ac:dyDescent="0.3">
      <c r="A343" t="s">
        <v>2691</v>
      </c>
      <c r="B343" t="s">
        <v>2692</v>
      </c>
      <c r="C343" t="s">
        <v>213</v>
      </c>
      <c r="D343" t="s">
        <v>2693</v>
      </c>
      <c r="E343" t="s">
        <v>2694</v>
      </c>
      <c r="F343" t="s">
        <v>583</v>
      </c>
      <c r="G343" t="s">
        <v>2695</v>
      </c>
      <c r="H343" t="s">
        <v>2696</v>
      </c>
      <c r="I343">
        <f t="shared" ca="1" si="20"/>
        <v>19</v>
      </c>
      <c r="J343" t="str">
        <f t="shared" ca="1" si="21"/>
        <v>18-29</v>
      </c>
      <c r="K343">
        <v>68293.62</v>
      </c>
      <c r="L343" t="str">
        <f>IF(Workforce[[#This Row],[Salary]]&lt;50000,"30k-49k",IF(Workforce[[#This Row],[Salary]]&lt;70000,"50k-69k",IF(Workforce[[#This Row],[Salary]]&lt;90000,"70k-89k","90k+")))</f>
        <v>50k-69k</v>
      </c>
      <c r="M343" t="s">
        <v>2697</v>
      </c>
      <c r="N343">
        <f t="shared" ca="1" si="22"/>
        <v>6</v>
      </c>
      <c r="O343" t="str">
        <f t="shared" ca="1" si="23"/>
        <v>Intermediate level</v>
      </c>
    </row>
    <row r="344" spans="1:15" x14ac:dyDescent="0.3">
      <c r="A344" t="s">
        <v>2698</v>
      </c>
      <c r="B344" t="s">
        <v>2699</v>
      </c>
      <c r="C344" t="s">
        <v>97</v>
      </c>
      <c r="D344" t="s">
        <v>2700</v>
      </c>
      <c r="E344" t="s">
        <v>2701</v>
      </c>
      <c r="F344" t="s">
        <v>91</v>
      </c>
      <c r="G344" t="s">
        <v>2702</v>
      </c>
      <c r="H344" t="s">
        <v>2703</v>
      </c>
      <c r="I344">
        <f t="shared" ca="1" si="20"/>
        <v>59</v>
      </c>
      <c r="J344" t="str">
        <f t="shared" ca="1" si="21"/>
        <v>50-59</v>
      </c>
      <c r="K344">
        <v>65768.44</v>
      </c>
      <c r="L344" t="str">
        <f>IF(Workforce[[#This Row],[Salary]]&lt;50000,"30k-49k",IF(Workforce[[#This Row],[Salary]]&lt;70000,"50k-69k",IF(Workforce[[#This Row],[Salary]]&lt;90000,"70k-89k","90k+")))</f>
        <v>50k-69k</v>
      </c>
      <c r="M344" t="s">
        <v>2704</v>
      </c>
      <c r="N344">
        <f t="shared" ca="1" si="22"/>
        <v>0</v>
      </c>
      <c r="O344" t="str">
        <f t="shared" ca="1" si="23"/>
        <v>Beginner</v>
      </c>
    </row>
    <row r="345" spans="1:15" x14ac:dyDescent="0.3">
      <c r="A345" t="s">
        <v>2705</v>
      </c>
      <c r="B345" t="s">
        <v>2706</v>
      </c>
      <c r="C345" t="s">
        <v>482</v>
      </c>
      <c r="D345" t="s">
        <v>2707</v>
      </c>
      <c r="E345" t="s">
        <v>2708</v>
      </c>
      <c r="F345" t="s">
        <v>2638</v>
      </c>
      <c r="G345" t="s">
        <v>2709</v>
      </c>
      <c r="H345" t="s">
        <v>2710</v>
      </c>
      <c r="I345">
        <f t="shared" ca="1" si="20"/>
        <v>40</v>
      </c>
      <c r="J345" t="str">
        <f t="shared" ca="1" si="21"/>
        <v>40-49</v>
      </c>
      <c r="K345">
        <v>76953.73</v>
      </c>
      <c r="L345" t="str">
        <f>IF(Workforce[[#This Row],[Salary]]&lt;50000,"30k-49k",IF(Workforce[[#This Row],[Salary]]&lt;70000,"50k-69k",IF(Workforce[[#This Row],[Salary]]&lt;90000,"70k-89k","90k+")))</f>
        <v>70k-89k</v>
      </c>
      <c r="M345" t="s">
        <v>2711</v>
      </c>
      <c r="N345">
        <f t="shared" ca="1" si="22"/>
        <v>0</v>
      </c>
      <c r="O345" t="str">
        <f t="shared" ca="1" si="23"/>
        <v>Beginner</v>
      </c>
    </row>
    <row r="346" spans="1:15" x14ac:dyDescent="0.3">
      <c r="A346" t="s">
        <v>2712</v>
      </c>
      <c r="B346" t="s">
        <v>2713</v>
      </c>
      <c r="C346" t="s">
        <v>88</v>
      </c>
      <c r="D346" t="s">
        <v>2714</v>
      </c>
      <c r="E346" t="s">
        <v>2715</v>
      </c>
      <c r="F346" t="s">
        <v>2716</v>
      </c>
      <c r="G346" t="s">
        <v>2717</v>
      </c>
      <c r="H346" t="s">
        <v>2718</v>
      </c>
      <c r="I346">
        <f t="shared" ca="1" si="20"/>
        <v>58</v>
      </c>
      <c r="J346" t="str">
        <f t="shared" ca="1" si="21"/>
        <v>50-59</v>
      </c>
      <c r="K346">
        <v>94251.45</v>
      </c>
      <c r="L346" t="str">
        <f>IF(Workforce[[#This Row],[Salary]]&lt;50000,"30k-49k",IF(Workforce[[#This Row],[Salary]]&lt;70000,"50k-69k",IF(Workforce[[#This Row],[Salary]]&lt;90000,"70k-89k","90k+")))</f>
        <v>90k+</v>
      </c>
      <c r="M346" t="s">
        <v>2719</v>
      </c>
      <c r="N346">
        <f t="shared" ca="1" si="22"/>
        <v>9</v>
      </c>
      <c r="O346" t="str">
        <f t="shared" ca="1" si="23"/>
        <v>Senior level</v>
      </c>
    </row>
    <row r="347" spans="1:15" x14ac:dyDescent="0.3">
      <c r="A347" t="s">
        <v>2720</v>
      </c>
      <c r="B347" t="s">
        <v>2721</v>
      </c>
      <c r="C347" t="s">
        <v>124</v>
      </c>
      <c r="D347" t="s">
        <v>2722</v>
      </c>
      <c r="E347" t="s">
        <v>2723</v>
      </c>
      <c r="F347" t="s">
        <v>181</v>
      </c>
      <c r="G347" t="s">
        <v>2724</v>
      </c>
      <c r="H347" t="s">
        <v>2725</v>
      </c>
      <c r="I347">
        <f t="shared" ca="1" si="20"/>
        <v>22</v>
      </c>
      <c r="J347" t="str">
        <f t="shared" ca="1" si="21"/>
        <v>18-29</v>
      </c>
      <c r="K347">
        <v>91136.78</v>
      </c>
      <c r="L347" t="str">
        <f>IF(Workforce[[#This Row],[Salary]]&lt;50000,"30k-49k",IF(Workforce[[#This Row],[Salary]]&lt;70000,"50k-69k",IF(Workforce[[#This Row],[Salary]]&lt;90000,"70k-89k","90k+")))</f>
        <v>90k+</v>
      </c>
      <c r="M347" t="s">
        <v>2726</v>
      </c>
      <c r="N347">
        <f t="shared" ca="1" si="22"/>
        <v>10</v>
      </c>
      <c r="O347" t="str">
        <f t="shared" ca="1" si="23"/>
        <v>Senior level</v>
      </c>
    </row>
    <row r="348" spans="1:15" x14ac:dyDescent="0.3">
      <c r="A348" t="s">
        <v>2727</v>
      </c>
      <c r="B348" t="s">
        <v>2728</v>
      </c>
      <c r="C348" t="s">
        <v>2086</v>
      </c>
      <c r="D348" t="s">
        <v>2729</v>
      </c>
      <c r="E348" t="s">
        <v>2730</v>
      </c>
      <c r="F348" t="s">
        <v>2731</v>
      </c>
      <c r="G348" t="s">
        <v>2732</v>
      </c>
      <c r="H348" t="s">
        <v>2733</v>
      </c>
      <c r="I348">
        <f t="shared" ca="1" si="20"/>
        <v>29</v>
      </c>
      <c r="J348" t="str">
        <f t="shared" ca="1" si="21"/>
        <v>18-29</v>
      </c>
      <c r="K348">
        <v>113331.41</v>
      </c>
      <c r="L348" t="str">
        <f>IF(Workforce[[#This Row],[Salary]]&lt;50000,"30k-49k",IF(Workforce[[#This Row],[Salary]]&lt;70000,"50k-69k",IF(Workforce[[#This Row],[Salary]]&lt;90000,"70k-89k","90k+")))</f>
        <v>90k+</v>
      </c>
      <c r="M348" t="s">
        <v>2734</v>
      </c>
      <c r="N348">
        <f t="shared" ca="1" si="22"/>
        <v>7</v>
      </c>
      <c r="O348" t="str">
        <f t="shared" ca="1" si="23"/>
        <v>Senior level</v>
      </c>
    </row>
    <row r="349" spans="1:15" x14ac:dyDescent="0.3">
      <c r="A349" t="s">
        <v>2735</v>
      </c>
      <c r="B349" t="s">
        <v>2736</v>
      </c>
      <c r="C349" t="s">
        <v>142</v>
      </c>
      <c r="D349" t="s">
        <v>2737</v>
      </c>
      <c r="E349" t="s">
        <v>2738</v>
      </c>
      <c r="F349" t="s">
        <v>2716</v>
      </c>
      <c r="G349" t="s">
        <v>2739</v>
      </c>
      <c r="H349" t="s">
        <v>2740</v>
      </c>
      <c r="I349">
        <f t="shared" ca="1" si="20"/>
        <v>36</v>
      </c>
      <c r="J349" t="str">
        <f t="shared" ca="1" si="21"/>
        <v>30-39</v>
      </c>
      <c r="K349">
        <v>71151.429999999993</v>
      </c>
      <c r="L349" t="str">
        <f>IF(Workforce[[#This Row],[Salary]]&lt;50000,"30k-49k",IF(Workforce[[#This Row],[Salary]]&lt;70000,"50k-69k",IF(Workforce[[#This Row],[Salary]]&lt;90000,"70k-89k","90k+")))</f>
        <v>70k-89k</v>
      </c>
      <c r="M349" t="s">
        <v>2741</v>
      </c>
      <c r="N349">
        <f t="shared" ca="1" si="22"/>
        <v>1</v>
      </c>
      <c r="O349" t="str">
        <f t="shared" ca="1" si="23"/>
        <v>Beginner</v>
      </c>
    </row>
    <row r="350" spans="1:15" x14ac:dyDescent="0.3">
      <c r="A350" t="s">
        <v>2742</v>
      </c>
      <c r="B350" t="s">
        <v>2743</v>
      </c>
      <c r="C350" t="s">
        <v>160</v>
      </c>
      <c r="D350" t="s">
        <v>2744</v>
      </c>
      <c r="E350" t="s">
        <v>2745</v>
      </c>
      <c r="F350" t="s">
        <v>950</v>
      </c>
      <c r="G350" t="s">
        <v>2746</v>
      </c>
      <c r="H350" t="s">
        <v>2747</v>
      </c>
      <c r="I350">
        <f t="shared" ca="1" si="20"/>
        <v>19</v>
      </c>
      <c r="J350" t="str">
        <f t="shared" ca="1" si="21"/>
        <v>18-29</v>
      </c>
      <c r="K350">
        <v>60772.49</v>
      </c>
      <c r="L350" t="str">
        <f>IF(Workforce[[#This Row],[Salary]]&lt;50000,"30k-49k",IF(Workforce[[#This Row],[Salary]]&lt;70000,"50k-69k",IF(Workforce[[#This Row],[Salary]]&lt;90000,"70k-89k","90k+")))</f>
        <v>50k-69k</v>
      </c>
      <c r="M350" t="s">
        <v>2748</v>
      </c>
      <c r="N350">
        <f t="shared" ca="1" si="22"/>
        <v>7</v>
      </c>
      <c r="O350" t="str">
        <f t="shared" ca="1" si="23"/>
        <v>Senior level</v>
      </c>
    </row>
    <row r="351" spans="1:15" x14ac:dyDescent="0.3">
      <c r="A351" t="s">
        <v>2749</v>
      </c>
      <c r="B351" t="s">
        <v>2750</v>
      </c>
      <c r="C351" t="s">
        <v>2086</v>
      </c>
      <c r="D351" t="s">
        <v>2751</v>
      </c>
      <c r="E351" t="s">
        <v>2752</v>
      </c>
      <c r="F351" t="s">
        <v>1273</v>
      </c>
      <c r="G351" t="s">
        <v>2753</v>
      </c>
      <c r="H351" t="s">
        <v>2754</v>
      </c>
      <c r="I351">
        <f t="shared" ca="1" si="20"/>
        <v>19</v>
      </c>
      <c r="J351" t="str">
        <f t="shared" ca="1" si="21"/>
        <v>18-29</v>
      </c>
      <c r="K351">
        <v>47901.2</v>
      </c>
      <c r="L351" t="str">
        <f>IF(Workforce[[#This Row],[Salary]]&lt;50000,"30k-49k",IF(Workforce[[#This Row],[Salary]]&lt;70000,"50k-69k",IF(Workforce[[#This Row],[Salary]]&lt;90000,"70k-89k","90k+")))</f>
        <v>30k-49k</v>
      </c>
      <c r="M351" t="s">
        <v>2755</v>
      </c>
      <c r="N351">
        <f t="shared" ca="1" si="22"/>
        <v>7</v>
      </c>
      <c r="O351" t="str">
        <f t="shared" ca="1" si="23"/>
        <v>Senior level</v>
      </c>
    </row>
    <row r="352" spans="1:15" x14ac:dyDescent="0.3">
      <c r="A352" t="s">
        <v>2756</v>
      </c>
      <c r="B352" t="s">
        <v>2757</v>
      </c>
      <c r="C352" t="s">
        <v>275</v>
      </c>
      <c r="D352" t="s">
        <v>2758</v>
      </c>
      <c r="E352" t="s">
        <v>2759</v>
      </c>
      <c r="F352" t="s">
        <v>2760</v>
      </c>
      <c r="G352" t="s">
        <v>2761</v>
      </c>
      <c r="H352" t="s">
        <v>2762</v>
      </c>
      <c r="I352">
        <f t="shared" ca="1" si="20"/>
        <v>55</v>
      </c>
      <c r="J352" t="str">
        <f t="shared" ca="1" si="21"/>
        <v>50-59</v>
      </c>
      <c r="K352">
        <v>97225.98</v>
      </c>
      <c r="L352" t="str">
        <f>IF(Workforce[[#This Row],[Salary]]&lt;50000,"30k-49k",IF(Workforce[[#This Row],[Salary]]&lt;70000,"50k-69k",IF(Workforce[[#This Row],[Salary]]&lt;90000,"70k-89k","90k+")))</f>
        <v>90k+</v>
      </c>
      <c r="M352" t="s">
        <v>2763</v>
      </c>
      <c r="N352">
        <f t="shared" ca="1" si="22"/>
        <v>7</v>
      </c>
      <c r="O352" t="str">
        <f t="shared" ca="1" si="23"/>
        <v>Senior level</v>
      </c>
    </row>
    <row r="353" spans="1:15" x14ac:dyDescent="0.3">
      <c r="A353" t="s">
        <v>2764</v>
      </c>
      <c r="B353" t="s">
        <v>2765</v>
      </c>
      <c r="C353" t="s">
        <v>351</v>
      </c>
      <c r="D353" t="s">
        <v>2766</v>
      </c>
      <c r="E353" t="s">
        <v>2767</v>
      </c>
      <c r="F353" t="s">
        <v>2768</v>
      </c>
      <c r="G353" t="s">
        <v>2769</v>
      </c>
      <c r="H353" t="s">
        <v>2770</v>
      </c>
      <c r="I353">
        <f t="shared" ca="1" si="20"/>
        <v>41</v>
      </c>
      <c r="J353" t="str">
        <f t="shared" ca="1" si="21"/>
        <v>40-49</v>
      </c>
      <c r="K353">
        <v>47807.29</v>
      </c>
      <c r="L353" t="str">
        <f>IF(Workforce[[#This Row],[Salary]]&lt;50000,"30k-49k",IF(Workforce[[#This Row],[Salary]]&lt;70000,"50k-69k",IF(Workforce[[#This Row],[Salary]]&lt;90000,"70k-89k","90k+")))</f>
        <v>30k-49k</v>
      </c>
      <c r="M353" t="s">
        <v>2771</v>
      </c>
      <c r="N353">
        <f t="shared" ca="1" si="22"/>
        <v>6</v>
      </c>
      <c r="O353" t="str">
        <f t="shared" ca="1" si="23"/>
        <v>Intermediate level</v>
      </c>
    </row>
    <row r="354" spans="1:15" x14ac:dyDescent="0.3">
      <c r="A354" t="s">
        <v>2772</v>
      </c>
      <c r="B354" t="s">
        <v>2773</v>
      </c>
      <c r="C354" t="s">
        <v>61</v>
      </c>
      <c r="D354" t="s">
        <v>2774</v>
      </c>
      <c r="E354" t="s">
        <v>2775</v>
      </c>
      <c r="F354" t="s">
        <v>1757</v>
      </c>
      <c r="G354" t="s">
        <v>2776</v>
      </c>
      <c r="H354" t="s">
        <v>2777</v>
      </c>
      <c r="I354">
        <f t="shared" ca="1" si="20"/>
        <v>30</v>
      </c>
      <c r="J354" t="str">
        <f t="shared" ca="1" si="21"/>
        <v>30-39</v>
      </c>
      <c r="K354">
        <v>114514.25</v>
      </c>
      <c r="L354" t="str">
        <f>IF(Workforce[[#This Row],[Salary]]&lt;50000,"30k-49k",IF(Workforce[[#This Row],[Salary]]&lt;70000,"50k-69k",IF(Workforce[[#This Row],[Salary]]&lt;90000,"70k-89k","90k+")))</f>
        <v>90k+</v>
      </c>
      <c r="M354" t="s">
        <v>2778</v>
      </c>
      <c r="N354">
        <f t="shared" ca="1" si="22"/>
        <v>7</v>
      </c>
      <c r="O354" t="str">
        <f t="shared" ca="1" si="23"/>
        <v>Senior level</v>
      </c>
    </row>
    <row r="355" spans="1:15" x14ac:dyDescent="0.3">
      <c r="A355" t="s">
        <v>2779</v>
      </c>
      <c r="B355" t="s">
        <v>2780</v>
      </c>
      <c r="C355" t="s">
        <v>106</v>
      </c>
      <c r="D355" t="s">
        <v>2781</v>
      </c>
      <c r="E355" t="s">
        <v>2782</v>
      </c>
      <c r="F355" t="s">
        <v>1973</v>
      </c>
      <c r="G355" t="s">
        <v>2783</v>
      </c>
      <c r="H355" t="s">
        <v>2784</v>
      </c>
      <c r="I355">
        <f t="shared" ca="1" si="20"/>
        <v>66</v>
      </c>
      <c r="J355" t="str">
        <f t="shared" ca="1" si="21"/>
        <v>60+</v>
      </c>
      <c r="K355">
        <v>106221.75999999999</v>
      </c>
      <c r="L355" t="str">
        <f>IF(Workforce[[#This Row],[Salary]]&lt;50000,"30k-49k",IF(Workforce[[#This Row],[Salary]]&lt;70000,"50k-69k",IF(Workforce[[#This Row],[Salary]]&lt;90000,"70k-89k","90k+")))</f>
        <v>90k+</v>
      </c>
      <c r="M355" t="s">
        <v>2785</v>
      </c>
      <c r="N355">
        <f t="shared" ca="1" si="22"/>
        <v>3</v>
      </c>
      <c r="O355" t="str">
        <f t="shared" ca="1" si="23"/>
        <v>Intermediate level</v>
      </c>
    </row>
    <row r="356" spans="1:15" x14ac:dyDescent="0.3">
      <c r="A356" t="s">
        <v>2786</v>
      </c>
      <c r="B356" t="s">
        <v>2787</v>
      </c>
      <c r="C356" t="s">
        <v>326</v>
      </c>
      <c r="D356" t="s">
        <v>2788</v>
      </c>
      <c r="E356" t="s">
        <v>2789</v>
      </c>
      <c r="F356" t="s">
        <v>2282</v>
      </c>
      <c r="G356" t="s">
        <v>2790</v>
      </c>
      <c r="H356" t="s">
        <v>2791</v>
      </c>
      <c r="I356">
        <f t="shared" ca="1" si="20"/>
        <v>40</v>
      </c>
      <c r="J356" t="str">
        <f t="shared" ca="1" si="21"/>
        <v>40-49</v>
      </c>
      <c r="K356">
        <v>85609.96</v>
      </c>
      <c r="L356" t="str">
        <f>IF(Workforce[[#This Row],[Salary]]&lt;50000,"30k-49k",IF(Workforce[[#This Row],[Salary]]&lt;70000,"50k-69k",IF(Workforce[[#This Row],[Salary]]&lt;90000,"70k-89k","90k+")))</f>
        <v>70k-89k</v>
      </c>
      <c r="M356" t="s">
        <v>2792</v>
      </c>
      <c r="N356">
        <f t="shared" ca="1" si="22"/>
        <v>4</v>
      </c>
      <c r="O356" t="str">
        <f t="shared" ca="1" si="23"/>
        <v>Intermediate level</v>
      </c>
    </row>
    <row r="357" spans="1:15" x14ac:dyDescent="0.3">
      <c r="A357" t="s">
        <v>2793</v>
      </c>
      <c r="B357" t="s">
        <v>2794</v>
      </c>
      <c r="C357" t="s">
        <v>757</v>
      </c>
      <c r="D357" t="s">
        <v>2795</v>
      </c>
      <c r="E357" t="s">
        <v>2796</v>
      </c>
      <c r="F357" t="s">
        <v>1226</v>
      </c>
      <c r="G357" t="s">
        <v>2797</v>
      </c>
      <c r="H357" t="s">
        <v>2798</v>
      </c>
      <c r="I357">
        <f t="shared" ca="1" si="20"/>
        <v>46</v>
      </c>
      <c r="J357" t="str">
        <f t="shared" ca="1" si="21"/>
        <v>40-49</v>
      </c>
      <c r="K357">
        <v>63594.05</v>
      </c>
      <c r="L357" t="str">
        <f>IF(Workforce[[#This Row],[Salary]]&lt;50000,"30k-49k",IF(Workforce[[#This Row],[Salary]]&lt;70000,"50k-69k",IF(Workforce[[#This Row],[Salary]]&lt;90000,"70k-89k","90k+")))</f>
        <v>50k-69k</v>
      </c>
      <c r="M357" t="s">
        <v>2799</v>
      </c>
      <c r="N357">
        <f t="shared" ca="1" si="22"/>
        <v>4</v>
      </c>
      <c r="O357" t="str">
        <f t="shared" ca="1" si="23"/>
        <v>Intermediate level</v>
      </c>
    </row>
    <row r="358" spans="1:15" x14ac:dyDescent="0.3">
      <c r="A358" t="s">
        <v>2800</v>
      </c>
      <c r="B358" t="s">
        <v>2801</v>
      </c>
      <c r="C358" t="s">
        <v>653</v>
      </c>
      <c r="D358" t="s">
        <v>2802</v>
      </c>
      <c r="E358" t="s">
        <v>2803</v>
      </c>
      <c r="F358" t="s">
        <v>1426</v>
      </c>
      <c r="G358" t="s">
        <v>2804</v>
      </c>
      <c r="H358" t="s">
        <v>2805</v>
      </c>
      <c r="I358">
        <f t="shared" ca="1" si="20"/>
        <v>40</v>
      </c>
      <c r="J358" t="str">
        <f t="shared" ca="1" si="21"/>
        <v>40-49</v>
      </c>
      <c r="K358">
        <v>43960.51</v>
      </c>
      <c r="L358" t="str">
        <f>IF(Workforce[[#This Row],[Salary]]&lt;50000,"30k-49k",IF(Workforce[[#This Row],[Salary]]&lt;70000,"50k-69k",IF(Workforce[[#This Row],[Salary]]&lt;90000,"70k-89k","90k+")))</f>
        <v>30k-49k</v>
      </c>
      <c r="M358" t="s">
        <v>2806</v>
      </c>
      <c r="N358">
        <f t="shared" ca="1" si="22"/>
        <v>10</v>
      </c>
      <c r="O358" t="str">
        <f t="shared" ca="1" si="23"/>
        <v>Senior level</v>
      </c>
    </row>
    <row r="359" spans="1:15" x14ac:dyDescent="0.3">
      <c r="A359" t="s">
        <v>2807</v>
      </c>
      <c r="B359" t="s">
        <v>2808</v>
      </c>
      <c r="C359" t="s">
        <v>35</v>
      </c>
      <c r="D359" t="s">
        <v>2809</v>
      </c>
      <c r="E359" t="s">
        <v>2810</v>
      </c>
      <c r="F359" t="s">
        <v>1665</v>
      </c>
      <c r="G359" t="s">
        <v>2811</v>
      </c>
      <c r="H359" t="s">
        <v>2812</v>
      </c>
      <c r="I359">
        <f t="shared" ca="1" si="20"/>
        <v>28</v>
      </c>
      <c r="J359" t="str">
        <f t="shared" ca="1" si="21"/>
        <v>18-29</v>
      </c>
      <c r="K359">
        <v>105386.18</v>
      </c>
      <c r="L359" t="str">
        <f>IF(Workforce[[#This Row],[Salary]]&lt;50000,"30k-49k",IF(Workforce[[#This Row],[Salary]]&lt;70000,"50k-69k",IF(Workforce[[#This Row],[Salary]]&lt;90000,"70k-89k","90k+")))</f>
        <v>90k+</v>
      </c>
      <c r="M359" t="s">
        <v>2270</v>
      </c>
      <c r="N359">
        <f t="shared" ca="1" si="22"/>
        <v>2</v>
      </c>
      <c r="O359" t="str">
        <f t="shared" ca="1" si="23"/>
        <v>Beginner</v>
      </c>
    </row>
    <row r="360" spans="1:15" x14ac:dyDescent="0.3">
      <c r="A360" t="s">
        <v>2813</v>
      </c>
      <c r="B360" t="s">
        <v>2814</v>
      </c>
      <c r="C360" t="s">
        <v>1159</v>
      </c>
      <c r="D360" t="s">
        <v>2815</v>
      </c>
      <c r="E360" t="s">
        <v>2816</v>
      </c>
      <c r="F360" t="s">
        <v>1320</v>
      </c>
      <c r="G360" t="s">
        <v>2817</v>
      </c>
      <c r="H360" t="s">
        <v>2818</v>
      </c>
      <c r="I360">
        <f t="shared" ca="1" si="20"/>
        <v>55</v>
      </c>
      <c r="J360" t="str">
        <f t="shared" ca="1" si="21"/>
        <v>50-59</v>
      </c>
      <c r="K360">
        <v>103240.11</v>
      </c>
      <c r="L360" t="str">
        <f>IF(Workforce[[#This Row],[Salary]]&lt;50000,"30k-49k",IF(Workforce[[#This Row],[Salary]]&lt;70000,"50k-69k",IF(Workforce[[#This Row],[Salary]]&lt;90000,"70k-89k","90k+")))</f>
        <v>90k+</v>
      </c>
      <c r="M360" t="s">
        <v>2819</v>
      </c>
      <c r="N360">
        <f t="shared" ca="1" si="22"/>
        <v>8</v>
      </c>
      <c r="O360" t="str">
        <f t="shared" ca="1" si="23"/>
        <v>Senior level</v>
      </c>
    </row>
    <row r="361" spans="1:15" x14ac:dyDescent="0.3">
      <c r="A361" t="s">
        <v>2820</v>
      </c>
      <c r="B361" t="s">
        <v>2821</v>
      </c>
      <c r="C361" t="s">
        <v>26</v>
      </c>
      <c r="D361" t="s">
        <v>2822</v>
      </c>
      <c r="E361" t="s">
        <v>2823</v>
      </c>
      <c r="F361" t="s">
        <v>2824</v>
      </c>
      <c r="G361" t="s">
        <v>2825</v>
      </c>
      <c r="H361" t="s">
        <v>2826</v>
      </c>
      <c r="I361">
        <f t="shared" ca="1" si="20"/>
        <v>19</v>
      </c>
      <c r="J361" t="str">
        <f t="shared" ca="1" si="21"/>
        <v>18-29</v>
      </c>
      <c r="K361">
        <v>119445.37</v>
      </c>
      <c r="L361" t="str">
        <f>IF(Workforce[[#This Row],[Salary]]&lt;50000,"30k-49k",IF(Workforce[[#This Row],[Salary]]&lt;70000,"50k-69k",IF(Workforce[[#This Row],[Salary]]&lt;90000,"70k-89k","90k+")))</f>
        <v>90k+</v>
      </c>
      <c r="M361" t="s">
        <v>2827</v>
      </c>
      <c r="N361">
        <f t="shared" ca="1" si="22"/>
        <v>7</v>
      </c>
      <c r="O361" t="str">
        <f t="shared" ca="1" si="23"/>
        <v>Senior level</v>
      </c>
    </row>
    <row r="362" spans="1:15" x14ac:dyDescent="0.3">
      <c r="A362" t="s">
        <v>2828</v>
      </c>
      <c r="B362" t="s">
        <v>2829</v>
      </c>
      <c r="C362" t="s">
        <v>35</v>
      </c>
      <c r="D362" t="s">
        <v>2830</v>
      </c>
      <c r="E362" t="s">
        <v>2831</v>
      </c>
      <c r="F362" t="s">
        <v>2832</v>
      </c>
      <c r="G362" t="s">
        <v>2833</v>
      </c>
      <c r="H362" t="s">
        <v>2834</v>
      </c>
      <c r="I362">
        <f t="shared" ca="1" si="20"/>
        <v>50</v>
      </c>
      <c r="J362" t="str">
        <f t="shared" ca="1" si="21"/>
        <v>50-59</v>
      </c>
      <c r="K362">
        <v>118881.46</v>
      </c>
      <c r="L362" t="str">
        <f>IF(Workforce[[#This Row],[Salary]]&lt;50000,"30k-49k",IF(Workforce[[#This Row],[Salary]]&lt;70000,"50k-69k",IF(Workforce[[#This Row],[Salary]]&lt;90000,"70k-89k","90k+")))</f>
        <v>90k+</v>
      </c>
      <c r="M362" t="s">
        <v>2835</v>
      </c>
      <c r="N362">
        <f t="shared" ca="1" si="22"/>
        <v>6</v>
      </c>
      <c r="O362" t="str">
        <f t="shared" ca="1" si="23"/>
        <v>Intermediate level</v>
      </c>
    </row>
    <row r="363" spans="1:15" x14ac:dyDescent="0.3">
      <c r="A363" t="s">
        <v>2836</v>
      </c>
      <c r="B363" t="s">
        <v>2837</v>
      </c>
      <c r="C363" t="s">
        <v>222</v>
      </c>
      <c r="D363" t="s">
        <v>2838</v>
      </c>
      <c r="E363" t="s">
        <v>2839</v>
      </c>
      <c r="F363" t="s">
        <v>2840</v>
      </c>
      <c r="G363" t="s">
        <v>2841</v>
      </c>
      <c r="H363" t="s">
        <v>2842</v>
      </c>
      <c r="I363">
        <f t="shared" ca="1" si="20"/>
        <v>58</v>
      </c>
      <c r="J363" t="str">
        <f t="shared" ca="1" si="21"/>
        <v>50-59</v>
      </c>
      <c r="K363">
        <v>52831.07</v>
      </c>
      <c r="L363" t="str">
        <f>IF(Workforce[[#This Row],[Salary]]&lt;50000,"30k-49k",IF(Workforce[[#This Row],[Salary]]&lt;70000,"50k-69k",IF(Workforce[[#This Row],[Salary]]&lt;90000,"70k-89k","90k+")))</f>
        <v>50k-69k</v>
      </c>
      <c r="M363" t="s">
        <v>2843</v>
      </c>
      <c r="N363">
        <f t="shared" ca="1" si="22"/>
        <v>2</v>
      </c>
      <c r="O363" t="str">
        <f t="shared" ca="1" si="23"/>
        <v>Beginner</v>
      </c>
    </row>
    <row r="364" spans="1:15" x14ac:dyDescent="0.3">
      <c r="A364" t="s">
        <v>2844</v>
      </c>
      <c r="B364" t="s">
        <v>2845</v>
      </c>
      <c r="C364" t="s">
        <v>580</v>
      </c>
      <c r="D364" t="s">
        <v>2846</v>
      </c>
      <c r="E364" t="s">
        <v>2847</v>
      </c>
      <c r="F364" t="s">
        <v>2848</v>
      </c>
      <c r="G364" t="s">
        <v>2849</v>
      </c>
      <c r="H364" t="s">
        <v>2850</v>
      </c>
      <c r="I364">
        <f t="shared" ca="1" si="20"/>
        <v>62</v>
      </c>
      <c r="J364" t="str">
        <f t="shared" ca="1" si="21"/>
        <v>60+</v>
      </c>
      <c r="K364">
        <v>33349</v>
      </c>
      <c r="L364" t="str">
        <f>IF(Workforce[[#This Row],[Salary]]&lt;50000,"30k-49k",IF(Workforce[[#This Row],[Salary]]&lt;70000,"50k-69k",IF(Workforce[[#This Row],[Salary]]&lt;90000,"70k-89k","90k+")))</f>
        <v>30k-49k</v>
      </c>
      <c r="M364" t="s">
        <v>2851</v>
      </c>
      <c r="N364">
        <f t="shared" ca="1" si="22"/>
        <v>9</v>
      </c>
      <c r="O364" t="str">
        <f t="shared" ca="1" si="23"/>
        <v>Senior level</v>
      </c>
    </row>
    <row r="365" spans="1:15" x14ac:dyDescent="0.3">
      <c r="A365" t="s">
        <v>2852</v>
      </c>
      <c r="B365" t="s">
        <v>2853</v>
      </c>
      <c r="C365" t="s">
        <v>106</v>
      </c>
      <c r="D365" t="s">
        <v>2854</v>
      </c>
      <c r="E365" t="s">
        <v>2855</v>
      </c>
      <c r="F365" t="s">
        <v>2856</v>
      </c>
      <c r="G365" t="s">
        <v>2857</v>
      </c>
      <c r="H365" t="s">
        <v>2858</v>
      </c>
      <c r="I365">
        <f t="shared" ca="1" si="20"/>
        <v>40</v>
      </c>
      <c r="J365" t="str">
        <f t="shared" ca="1" si="21"/>
        <v>40-49</v>
      </c>
      <c r="K365">
        <v>46156.99</v>
      </c>
      <c r="L365" t="str">
        <f>IF(Workforce[[#This Row],[Salary]]&lt;50000,"30k-49k",IF(Workforce[[#This Row],[Salary]]&lt;70000,"50k-69k",IF(Workforce[[#This Row],[Salary]]&lt;90000,"70k-89k","90k+")))</f>
        <v>30k-49k</v>
      </c>
      <c r="M365" t="s">
        <v>2859</v>
      </c>
      <c r="N365">
        <f t="shared" ca="1" si="22"/>
        <v>2</v>
      </c>
      <c r="O365" t="str">
        <f t="shared" ca="1" si="23"/>
        <v>Beginner</v>
      </c>
    </row>
    <row r="366" spans="1:15" x14ac:dyDescent="0.3">
      <c r="A366" t="s">
        <v>2860</v>
      </c>
      <c r="B366" t="s">
        <v>2861</v>
      </c>
      <c r="C366" t="s">
        <v>61</v>
      </c>
      <c r="D366" t="s">
        <v>2862</v>
      </c>
      <c r="E366" t="s">
        <v>2863</v>
      </c>
      <c r="F366" t="s">
        <v>2864</v>
      </c>
      <c r="G366" t="s">
        <v>2865</v>
      </c>
      <c r="H366" t="s">
        <v>2866</v>
      </c>
      <c r="I366">
        <f t="shared" ca="1" si="20"/>
        <v>37</v>
      </c>
      <c r="J366" t="str">
        <f t="shared" ca="1" si="21"/>
        <v>30-39</v>
      </c>
      <c r="K366">
        <v>36783.9</v>
      </c>
      <c r="L366" t="str">
        <f>IF(Workforce[[#This Row],[Salary]]&lt;50000,"30k-49k",IF(Workforce[[#This Row],[Salary]]&lt;70000,"50k-69k",IF(Workforce[[#This Row],[Salary]]&lt;90000,"70k-89k","90k+")))</f>
        <v>30k-49k</v>
      </c>
      <c r="M366" t="s">
        <v>2867</v>
      </c>
      <c r="N366">
        <f t="shared" ca="1" si="22"/>
        <v>10</v>
      </c>
      <c r="O366" t="str">
        <f t="shared" ca="1" si="23"/>
        <v>Senior level</v>
      </c>
    </row>
    <row r="367" spans="1:15" x14ac:dyDescent="0.3">
      <c r="A367" t="s">
        <v>2868</v>
      </c>
      <c r="B367" t="s">
        <v>2869</v>
      </c>
      <c r="C367" t="s">
        <v>17</v>
      </c>
      <c r="D367" t="s">
        <v>2870</v>
      </c>
      <c r="E367" t="s">
        <v>2871</v>
      </c>
      <c r="F367" t="s">
        <v>2872</v>
      </c>
      <c r="G367" t="s">
        <v>2873</v>
      </c>
      <c r="H367" t="s">
        <v>2874</v>
      </c>
      <c r="I367">
        <f t="shared" ca="1" si="20"/>
        <v>41</v>
      </c>
      <c r="J367" t="str">
        <f t="shared" ca="1" si="21"/>
        <v>40-49</v>
      </c>
      <c r="K367">
        <v>60937.33</v>
      </c>
      <c r="L367" t="str">
        <f>IF(Workforce[[#This Row],[Salary]]&lt;50000,"30k-49k",IF(Workforce[[#This Row],[Salary]]&lt;70000,"50k-69k",IF(Workforce[[#This Row],[Salary]]&lt;90000,"70k-89k","90k+")))</f>
        <v>50k-69k</v>
      </c>
      <c r="M367" t="s">
        <v>2875</v>
      </c>
      <c r="N367">
        <f t="shared" ca="1" si="22"/>
        <v>1</v>
      </c>
      <c r="O367" t="str">
        <f t="shared" ca="1" si="23"/>
        <v>Beginner</v>
      </c>
    </row>
    <row r="368" spans="1:15" x14ac:dyDescent="0.3">
      <c r="A368" t="s">
        <v>2876</v>
      </c>
      <c r="B368" t="s">
        <v>2877</v>
      </c>
      <c r="C368" t="s">
        <v>995</v>
      </c>
      <c r="D368" t="s">
        <v>2878</v>
      </c>
      <c r="E368" t="s">
        <v>2879</v>
      </c>
      <c r="F368" t="s">
        <v>726</v>
      </c>
      <c r="G368" t="s">
        <v>2880</v>
      </c>
      <c r="H368" t="s">
        <v>2881</v>
      </c>
      <c r="I368">
        <f t="shared" ca="1" si="20"/>
        <v>48</v>
      </c>
      <c r="J368" t="str">
        <f t="shared" ca="1" si="21"/>
        <v>40-49</v>
      </c>
      <c r="K368">
        <v>65124.94</v>
      </c>
      <c r="L368" t="str">
        <f>IF(Workforce[[#This Row],[Salary]]&lt;50000,"30k-49k",IF(Workforce[[#This Row],[Salary]]&lt;70000,"50k-69k",IF(Workforce[[#This Row],[Salary]]&lt;90000,"70k-89k","90k+")))</f>
        <v>50k-69k</v>
      </c>
      <c r="M368" t="s">
        <v>2882</v>
      </c>
      <c r="N368">
        <f t="shared" ca="1" si="22"/>
        <v>7</v>
      </c>
      <c r="O368" t="str">
        <f t="shared" ca="1" si="23"/>
        <v>Senior level</v>
      </c>
    </row>
    <row r="369" spans="1:15" x14ac:dyDescent="0.3">
      <c r="A369" t="s">
        <v>2883</v>
      </c>
      <c r="B369" t="s">
        <v>2884</v>
      </c>
      <c r="C369" t="s">
        <v>748</v>
      </c>
      <c r="D369" t="s">
        <v>2885</v>
      </c>
      <c r="E369" t="s">
        <v>2886</v>
      </c>
      <c r="F369" t="s">
        <v>574</v>
      </c>
      <c r="G369" t="s">
        <v>2887</v>
      </c>
      <c r="H369" t="s">
        <v>2888</v>
      </c>
      <c r="I369">
        <f t="shared" ca="1" si="20"/>
        <v>28</v>
      </c>
      <c r="J369" t="str">
        <f t="shared" ca="1" si="21"/>
        <v>18-29</v>
      </c>
      <c r="K369">
        <v>87380.78</v>
      </c>
      <c r="L369" t="str">
        <f>IF(Workforce[[#This Row],[Salary]]&lt;50000,"30k-49k",IF(Workforce[[#This Row],[Salary]]&lt;70000,"50k-69k",IF(Workforce[[#This Row],[Salary]]&lt;90000,"70k-89k","90k+")))</f>
        <v>70k-89k</v>
      </c>
      <c r="M369" t="s">
        <v>2889</v>
      </c>
      <c r="N369">
        <f t="shared" ca="1" si="22"/>
        <v>3</v>
      </c>
      <c r="O369" t="str">
        <f t="shared" ca="1" si="23"/>
        <v>Intermediate level</v>
      </c>
    </row>
    <row r="370" spans="1:15" x14ac:dyDescent="0.3">
      <c r="A370" t="s">
        <v>2890</v>
      </c>
      <c r="B370" t="s">
        <v>2891</v>
      </c>
      <c r="C370" t="s">
        <v>335</v>
      </c>
      <c r="D370" t="s">
        <v>2892</v>
      </c>
      <c r="E370" t="s">
        <v>2893</v>
      </c>
      <c r="F370" t="s">
        <v>2673</v>
      </c>
      <c r="G370" t="s">
        <v>2894</v>
      </c>
      <c r="H370" t="s">
        <v>2895</v>
      </c>
      <c r="I370">
        <f t="shared" ca="1" si="20"/>
        <v>61</v>
      </c>
      <c r="J370" t="str">
        <f t="shared" ca="1" si="21"/>
        <v>60+</v>
      </c>
      <c r="K370">
        <v>57434.04</v>
      </c>
      <c r="L370" t="str">
        <f>IF(Workforce[[#This Row],[Salary]]&lt;50000,"30k-49k",IF(Workforce[[#This Row],[Salary]]&lt;70000,"50k-69k",IF(Workforce[[#This Row],[Salary]]&lt;90000,"70k-89k","90k+")))</f>
        <v>50k-69k</v>
      </c>
      <c r="M370" t="s">
        <v>2896</v>
      </c>
      <c r="N370">
        <f t="shared" ca="1" si="22"/>
        <v>2</v>
      </c>
      <c r="O370" t="str">
        <f t="shared" ca="1" si="23"/>
        <v>Beginner</v>
      </c>
    </row>
    <row r="371" spans="1:15" x14ac:dyDescent="0.3">
      <c r="A371" t="s">
        <v>2897</v>
      </c>
      <c r="B371" t="s">
        <v>2898</v>
      </c>
      <c r="C371" t="s">
        <v>97</v>
      </c>
      <c r="D371" t="s">
        <v>2899</v>
      </c>
      <c r="E371" t="s">
        <v>2900</v>
      </c>
      <c r="F371" t="s">
        <v>2901</v>
      </c>
      <c r="G371" t="s">
        <v>2902</v>
      </c>
      <c r="H371" t="s">
        <v>2903</v>
      </c>
      <c r="I371">
        <f t="shared" ca="1" si="20"/>
        <v>30</v>
      </c>
      <c r="J371" t="str">
        <f t="shared" ca="1" si="21"/>
        <v>30-39</v>
      </c>
      <c r="K371">
        <v>96743.360000000001</v>
      </c>
      <c r="L371" t="str">
        <f>IF(Workforce[[#This Row],[Salary]]&lt;50000,"30k-49k",IF(Workforce[[#This Row],[Salary]]&lt;70000,"50k-69k",IF(Workforce[[#This Row],[Salary]]&lt;90000,"70k-89k","90k+")))</f>
        <v>90k+</v>
      </c>
      <c r="M371" t="s">
        <v>2904</v>
      </c>
      <c r="N371">
        <f t="shared" ca="1" si="22"/>
        <v>4</v>
      </c>
      <c r="O371" t="str">
        <f t="shared" ca="1" si="23"/>
        <v>Intermediate level</v>
      </c>
    </row>
    <row r="372" spans="1:15" x14ac:dyDescent="0.3">
      <c r="A372" t="s">
        <v>2905</v>
      </c>
      <c r="B372" t="s">
        <v>2906</v>
      </c>
      <c r="C372" t="s">
        <v>79</v>
      </c>
      <c r="D372" t="s">
        <v>2907</v>
      </c>
      <c r="E372" t="s">
        <v>2908</v>
      </c>
      <c r="F372" t="s">
        <v>2313</v>
      </c>
      <c r="G372" t="s">
        <v>2909</v>
      </c>
      <c r="H372" t="s">
        <v>2910</v>
      </c>
      <c r="I372">
        <f t="shared" ca="1" si="20"/>
        <v>47</v>
      </c>
      <c r="J372" t="str">
        <f t="shared" ca="1" si="21"/>
        <v>40-49</v>
      </c>
      <c r="K372">
        <v>54276.54</v>
      </c>
      <c r="L372" t="str">
        <f>IF(Workforce[[#This Row],[Salary]]&lt;50000,"30k-49k",IF(Workforce[[#This Row],[Salary]]&lt;70000,"50k-69k",IF(Workforce[[#This Row],[Salary]]&lt;90000,"70k-89k","90k+")))</f>
        <v>50k-69k</v>
      </c>
      <c r="M372" t="s">
        <v>2911</v>
      </c>
      <c r="N372">
        <f t="shared" ca="1" si="22"/>
        <v>5</v>
      </c>
      <c r="O372" t="str">
        <f t="shared" ca="1" si="23"/>
        <v>Intermediate level</v>
      </c>
    </row>
    <row r="373" spans="1:15" x14ac:dyDescent="0.3">
      <c r="A373" t="s">
        <v>2912</v>
      </c>
      <c r="B373" t="s">
        <v>2913</v>
      </c>
      <c r="C373" t="s">
        <v>17</v>
      </c>
      <c r="D373" t="s">
        <v>2914</v>
      </c>
      <c r="E373" t="s">
        <v>2915</v>
      </c>
      <c r="F373" t="s">
        <v>2297</v>
      </c>
      <c r="G373" t="s">
        <v>2916</v>
      </c>
      <c r="H373" t="s">
        <v>2917</v>
      </c>
      <c r="I373">
        <f t="shared" ca="1" si="20"/>
        <v>57</v>
      </c>
      <c r="J373" t="str">
        <f t="shared" ca="1" si="21"/>
        <v>50-59</v>
      </c>
      <c r="K373">
        <v>46225.91</v>
      </c>
      <c r="L373" t="str">
        <f>IF(Workforce[[#This Row],[Salary]]&lt;50000,"30k-49k",IF(Workforce[[#This Row],[Salary]]&lt;70000,"50k-69k",IF(Workforce[[#This Row],[Salary]]&lt;90000,"70k-89k","90k+")))</f>
        <v>30k-49k</v>
      </c>
      <c r="M373" t="s">
        <v>2918</v>
      </c>
      <c r="N373">
        <f t="shared" ca="1" si="22"/>
        <v>5</v>
      </c>
      <c r="O373" t="str">
        <f t="shared" ca="1" si="23"/>
        <v>Intermediate level</v>
      </c>
    </row>
    <row r="374" spans="1:15" x14ac:dyDescent="0.3">
      <c r="A374" t="s">
        <v>2919</v>
      </c>
      <c r="B374" t="s">
        <v>2920</v>
      </c>
      <c r="C374" t="s">
        <v>774</v>
      </c>
      <c r="D374" t="s">
        <v>2921</v>
      </c>
      <c r="E374" t="s">
        <v>2922</v>
      </c>
      <c r="F374" t="s">
        <v>2923</v>
      </c>
      <c r="G374" t="s">
        <v>2924</v>
      </c>
      <c r="H374" t="s">
        <v>2925</v>
      </c>
      <c r="I374">
        <f t="shared" ca="1" si="20"/>
        <v>58</v>
      </c>
      <c r="J374" t="str">
        <f t="shared" ca="1" si="21"/>
        <v>50-59</v>
      </c>
      <c r="K374">
        <v>76423.56</v>
      </c>
      <c r="L374" t="str">
        <f>IF(Workforce[[#This Row],[Salary]]&lt;50000,"30k-49k",IF(Workforce[[#This Row],[Salary]]&lt;70000,"50k-69k",IF(Workforce[[#This Row],[Salary]]&lt;90000,"70k-89k","90k+")))</f>
        <v>70k-89k</v>
      </c>
      <c r="M374" t="s">
        <v>2926</v>
      </c>
      <c r="N374">
        <f t="shared" ca="1" si="22"/>
        <v>10</v>
      </c>
      <c r="O374" t="str">
        <f t="shared" ca="1" si="23"/>
        <v>Senior level</v>
      </c>
    </row>
    <row r="375" spans="1:15" x14ac:dyDescent="0.3">
      <c r="A375" t="s">
        <v>2927</v>
      </c>
      <c r="B375" t="s">
        <v>2928</v>
      </c>
      <c r="C375" t="s">
        <v>160</v>
      </c>
      <c r="D375" t="s">
        <v>2929</v>
      </c>
      <c r="E375" t="s">
        <v>2930</v>
      </c>
      <c r="F375" t="s">
        <v>1673</v>
      </c>
      <c r="G375" t="s">
        <v>2931</v>
      </c>
      <c r="H375" t="s">
        <v>2932</v>
      </c>
      <c r="I375">
        <f t="shared" ca="1" si="20"/>
        <v>66</v>
      </c>
      <c r="J375" t="str">
        <f t="shared" ca="1" si="21"/>
        <v>60+</v>
      </c>
      <c r="K375">
        <v>40592.79</v>
      </c>
      <c r="L375" t="str">
        <f>IF(Workforce[[#This Row],[Salary]]&lt;50000,"30k-49k",IF(Workforce[[#This Row],[Salary]]&lt;70000,"50k-69k",IF(Workforce[[#This Row],[Salary]]&lt;90000,"70k-89k","90k+")))</f>
        <v>30k-49k</v>
      </c>
      <c r="M375" t="s">
        <v>2933</v>
      </c>
      <c r="N375">
        <f t="shared" ca="1" si="22"/>
        <v>8</v>
      </c>
      <c r="O375" t="str">
        <f t="shared" ca="1" si="23"/>
        <v>Senior level</v>
      </c>
    </row>
    <row r="376" spans="1:15" x14ac:dyDescent="0.3">
      <c r="A376" t="s">
        <v>2934</v>
      </c>
      <c r="B376" t="s">
        <v>2935</v>
      </c>
      <c r="C376" t="s">
        <v>995</v>
      </c>
      <c r="D376" t="s">
        <v>2936</v>
      </c>
      <c r="E376" t="s">
        <v>2937</v>
      </c>
      <c r="F376" t="s">
        <v>2938</v>
      </c>
      <c r="G376" t="s">
        <v>2939</v>
      </c>
      <c r="H376" t="s">
        <v>1952</v>
      </c>
      <c r="I376">
        <f t="shared" ca="1" si="20"/>
        <v>58</v>
      </c>
      <c r="J376" t="str">
        <f t="shared" ca="1" si="21"/>
        <v>50-59</v>
      </c>
      <c r="K376">
        <v>105022.9</v>
      </c>
      <c r="L376" t="str">
        <f>IF(Workforce[[#This Row],[Salary]]&lt;50000,"30k-49k",IF(Workforce[[#This Row],[Salary]]&lt;70000,"50k-69k",IF(Workforce[[#This Row],[Salary]]&lt;90000,"70k-89k","90k+")))</f>
        <v>90k+</v>
      </c>
      <c r="M376" t="s">
        <v>2940</v>
      </c>
      <c r="N376">
        <f t="shared" ca="1" si="22"/>
        <v>0</v>
      </c>
      <c r="O376" t="str">
        <f t="shared" ca="1" si="23"/>
        <v>Beginner</v>
      </c>
    </row>
    <row r="377" spans="1:15" x14ac:dyDescent="0.3">
      <c r="A377" t="s">
        <v>2941</v>
      </c>
      <c r="B377" t="s">
        <v>2942</v>
      </c>
      <c r="C377" t="s">
        <v>482</v>
      </c>
      <c r="D377" t="s">
        <v>2943</v>
      </c>
      <c r="E377" t="s">
        <v>2944</v>
      </c>
      <c r="F377" t="s">
        <v>2945</v>
      </c>
      <c r="G377" t="s">
        <v>2946</v>
      </c>
      <c r="H377" t="s">
        <v>2947</v>
      </c>
      <c r="I377">
        <f t="shared" ca="1" si="20"/>
        <v>59</v>
      </c>
      <c r="J377" t="str">
        <f t="shared" ca="1" si="21"/>
        <v>50-59</v>
      </c>
      <c r="K377">
        <v>69785.279999999999</v>
      </c>
      <c r="L377" t="str">
        <f>IF(Workforce[[#This Row],[Salary]]&lt;50000,"30k-49k",IF(Workforce[[#This Row],[Salary]]&lt;70000,"50k-69k",IF(Workforce[[#This Row],[Salary]]&lt;90000,"70k-89k","90k+")))</f>
        <v>50k-69k</v>
      </c>
      <c r="M377" t="s">
        <v>2948</v>
      </c>
      <c r="N377">
        <f t="shared" ca="1" si="22"/>
        <v>5</v>
      </c>
      <c r="O377" t="str">
        <f t="shared" ca="1" si="23"/>
        <v>Intermediate level</v>
      </c>
    </row>
    <row r="378" spans="1:15" x14ac:dyDescent="0.3">
      <c r="A378" t="s">
        <v>2949</v>
      </c>
      <c r="B378" t="s">
        <v>2950</v>
      </c>
      <c r="C378" t="s">
        <v>2086</v>
      </c>
      <c r="D378" t="s">
        <v>2951</v>
      </c>
      <c r="E378" t="s">
        <v>2952</v>
      </c>
      <c r="F378" t="s">
        <v>2953</v>
      </c>
      <c r="G378" t="s">
        <v>2954</v>
      </c>
      <c r="H378" t="s">
        <v>2834</v>
      </c>
      <c r="I378">
        <f t="shared" ca="1" si="20"/>
        <v>50</v>
      </c>
      <c r="J378" t="str">
        <f t="shared" ca="1" si="21"/>
        <v>50-59</v>
      </c>
      <c r="K378">
        <v>68279.14</v>
      </c>
      <c r="L378" t="str">
        <f>IF(Workforce[[#This Row],[Salary]]&lt;50000,"30k-49k",IF(Workforce[[#This Row],[Salary]]&lt;70000,"50k-69k",IF(Workforce[[#This Row],[Salary]]&lt;90000,"70k-89k","90k+")))</f>
        <v>50k-69k</v>
      </c>
      <c r="M378" t="s">
        <v>2955</v>
      </c>
      <c r="N378">
        <f t="shared" ca="1" si="22"/>
        <v>2</v>
      </c>
      <c r="O378" t="str">
        <f t="shared" ca="1" si="23"/>
        <v>Beginner</v>
      </c>
    </row>
    <row r="379" spans="1:15" x14ac:dyDescent="0.3">
      <c r="A379" t="s">
        <v>2956</v>
      </c>
      <c r="B379" t="s">
        <v>2957</v>
      </c>
      <c r="C379" t="s">
        <v>151</v>
      </c>
      <c r="D379" t="s">
        <v>2958</v>
      </c>
      <c r="E379" t="s">
        <v>2959</v>
      </c>
      <c r="F379" t="s">
        <v>2960</v>
      </c>
      <c r="G379" t="s">
        <v>2961</v>
      </c>
      <c r="H379" t="s">
        <v>2962</v>
      </c>
      <c r="I379">
        <f t="shared" ca="1" si="20"/>
        <v>21</v>
      </c>
      <c r="J379" t="str">
        <f t="shared" ca="1" si="21"/>
        <v>18-29</v>
      </c>
      <c r="K379">
        <v>91551.32</v>
      </c>
      <c r="L379" t="str">
        <f>IF(Workforce[[#This Row],[Salary]]&lt;50000,"30k-49k",IF(Workforce[[#This Row],[Salary]]&lt;70000,"50k-69k",IF(Workforce[[#This Row],[Salary]]&lt;90000,"70k-89k","90k+")))</f>
        <v>90k+</v>
      </c>
      <c r="M379" t="s">
        <v>2963</v>
      </c>
      <c r="N379">
        <f t="shared" ca="1" si="22"/>
        <v>5</v>
      </c>
      <c r="O379" t="str">
        <f t="shared" ca="1" si="23"/>
        <v>Intermediate level</v>
      </c>
    </row>
    <row r="380" spans="1:15" x14ac:dyDescent="0.3">
      <c r="A380" t="s">
        <v>2964</v>
      </c>
      <c r="B380" t="s">
        <v>2965</v>
      </c>
      <c r="C380" t="s">
        <v>284</v>
      </c>
      <c r="D380" t="s">
        <v>2966</v>
      </c>
      <c r="E380" t="s">
        <v>2967</v>
      </c>
      <c r="F380" t="s">
        <v>2080</v>
      </c>
      <c r="G380" t="s">
        <v>2968</v>
      </c>
      <c r="H380" t="s">
        <v>2969</v>
      </c>
      <c r="I380">
        <f t="shared" ca="1" si="20"/>
        <v>38</v>
      </c>
      <c r="J380" t="str">
        <f t="shared" ca="1" si="21"/>
        <v>30-39</v>
      </c>
      <c r="K380">
        <v>110248.62</v>
      </c>
      <c r="L380" t="str">
        <f>IF(Workforce[[#This Row],[Salary]]&lt;50000,"30k-49k",IF(Workforce[[#This Row],[Salary]]&lt;70000,"50k-69k",IF(Workforce[[#This Row],[Salary]]&lt;90000,"70k-89k","90k+")))</f>
        <v>90k+</v>
      </c>
      <c r="M380" t="s">
        <v>2970</v>
      </c>
      <c r="N380">
        <f t="shared" ca="1" si="22"/>
        <v>2</v>
      </c>
      <c r="O380" t="str">
        <f t="shared" ca="1" si="23"/>
        <v>Beginner</v>
      </c>
    </row>
    <row r="381" spans="1:15" x14ac:dyDescent="0.3">
      <c r="A381" t="s">
        <v>2971</v>
      </c>
      <c r="B381" t="s">
        <v>2972</v>
      </c>
      <c r="C381" t="s">
        <v>151</v>
      </c>
      <c r="D381" t="s">
        <v>2973</v>
      </c>
      <c r="E381" t="s">
        <v>2974</v>
      </c>
      <c r="F381" t="s">
        <v>2975</v>
      </c>
      <c r="G381" t="s">
        <v>2976</v>
      </c>
      <c r="H381" t="s">
        <v>2977</v>
      </c>
      <c r="I381">
        <f t="shared" ca="1" si="20"/>
        <v>53</v>
      </c>
      <c r="J381" t="str">
        <f t="shared" ca="1" si="21"/>
        <v>50-59</v>
      </c>
      <c r="K381">
        <v>118945.86</v>
      </c>
      <c r="L381" t="str">
        <f>IF(Workforce[[#This Row],[Salary]]&lt;50000,"30k-49k",IF(Workforce[[#This Row],[Salary]]&lt;70000,"50k-69k",IF(Workforce[[#This Row],[Salary]]&lt;90000,"70k-89k","90k+")))</f>
        <v>90k+</v>
      </c>
      <c r="M381" t="s">
        <v>2978</v>
      </c>
      <c r="N381">
        <f t="shared" ca="1" si="22"/>
        <v>2</v>
      </c>
      <c r="O381" t="str">
        <f t="shared" ca="1" si="23"/>
        <v>Beginner</v>
      </c>
    </row>
    <row r="382" spans="1:15" x14ac:dyDescent="0.3">
      <c r="A382" t="s">
        <v>2979</v>
      </c>
      <c r="B382" t="s">
        <v>2980</v>
      </c>
      <c r="C382" t="s">
        <v>106</v>
      </c>
      <c r="D382" t="s">
        <v>2981</v>
      </c>
      <c r="E382" t="s">
        <v>2982</v>
      </c>
      <c r="F382" t="s">
        <v>2983</v>
      </c>
      <c r="G382" t="s">
        <v>2984</v>
      </c>
      <c r="H382" t="s">
        <v>2985</v>
      </c>
      <c r="I382">
        <f t="shared" ca="1" si="20"/>
        <v>65</v>
      </c>
      <c r="J382" t="str">
        <f t="shared" ca="1" si="21"/>
        <v>60+</v>
      </c>
      <c r="K382">
        <v>46759.4</v>
      </c>
      <c r="L382" t="str">
        <f>IF(Workforce[[#This Row],[Salary]]&lt;50000,"30k-49k",IF(Workforce[[#This Row],[Salary]]&lt;70000,"50k-69k",IF(Workforce[[#This Row],[Salary]]&lt;90000,"70k-89k","90k+")))</f>
        <v>30k-49k</v>
      </c>
      <c r="M382" t="s">
        <v>2986</v>
      </c>
      <c r="N382">
        <f t="shared" ca="1" si="22"/>
        <v>9</v>
      </c>
      <c r="O382" t="str">
        <f t="shared" ca="1" si="23"/>
        <v>Senior level</v>
      </c>
    </row>
    <row r="383" spans="1:15" x14ac:dyDescent="0.3">
      <c r="A383" t="s">
        <v>2987</v>
      </c>
      <c r="B383" t="s">
        <v>2988</v>
      </c>
      <c r="C383" t="s">
        <v>1159</v>
      </c>
      <c r="D383" t="s">
        <v>2989</v>
      </c>
      <c r="E383" t="s">
        <v>2990</v>
      </c>
      <c r="F383" t="s">
        <v>2186</v>
      </c>
      <c r="G383" t="s">
        <v>2991</v>
      </c>
      <c r="H383" t="s">
        <v>2992</v>
      </c>
      <c r="I383">
        <f t="shared" ca="1" si="20"/>
        <v>52</v>
      </c>
      <c r="J383" t="str">
        <f t="shared" ca="1" si="21"/>
        <v>50-59</v>
      </c>
      <c r="K383">
        <v>71107.17</v>
      </c>
      <c r="L383" t="str">
        <f>IF(Workforce[[#This Row],[Salary]]&lt;50000,"30k-49k",IF(Workforce[[#This Row],[Salary]]&lt;70000,"50k-69k",IF(Workforce[[#This Row],[Salary]]&lt;90000,"70k-89k","90k+")))</f>
        <v>70k-89k</v>
      </c>
      <c r="M383" t="s">
        <v>754</v>
      </c>
      <c r="N383">
        <f t="shared" ca="1" si="22"/>
        <v>2</v>
      </c>
      <c r="O383" t="str">
        <f t="shared" ca="1" si="23"/>
        <v>Beginner</v>
      </c>
    </row>
    <row r="384" spans="1:15" x14ac:dyDescent="0.3">
      <c r="A384" t="s">
        <v>2993</v>
      </c>
      <c r="B384" t="s">
        <v>2994</v>
      </c>
      <c r="C384" t="s">
        <v>257</v>
      </c>
      <c r="D384" t="s">
        <v>2995</v>
      </c>
      <c r="E384" t="s">
        <v>2996</v>
      </c>
      <c r="F384" t="s">
        <v>2997</v>
      </c>
      <c r="G384" t="s">
        <v>2998</v>
      </c>
      <c r="H384" t="s">
        <v>2999</v>
      </c>
      <c r="I384">
        <f t="shared" ca="1" si="20"/>
        <v>51</v>
      </c>
      <c r="J384" t="str">
        <f t="shared" ca="1" si="21"/>
        <v>50-59</v>
      </c>
      <c r="K384">
        <v>39347.78</v>
      </c>
      <c r="L384" t="str">
        <f>IF(Workforce[[#This Row],[Salary]]&lt;50000,"30k-49k",IF(Workforce[[#This Row],[Salary]]&lt;70000,"50k-69k",IF(Workforce[[#This Row],[Salary]]&lt;90000,"70k-89k","90k+")))</f>
        <v>30k-49k</v>
      </c>
      <c r="M384" t="s">
        <v>3000</v>
      </c>
      <c r="N384">
        <f t="shared" ca="1" si="22"/>
        <v>6</v>
      </c>
      <c r="O384" t="str">
        <f t="shared" ca="1" si="23"/>
        <v>Intermediate level</v>
      </c>
    </row>
    <row r="385" spans="1:15" x14ac:dyDescent="0.3">
      <c r="A385" t="s">
        <v>3001</v>
      </c>
      <c r="B385" t="s">
        <v>3002</v>
      </c>
      <c r="C385" t="s">
        <v>2086</v>
      </c>
      <c r="D385" t="s">
        <v>3003</v>
      </c>
      <c r="E385" t="s">
        <v>3004</v>
      </c>
      <c r="F385" t="s">
        <v>1076</v>
      </c>
      <c r="G385" t="s">
        <v>3005</v>
      </c>
      <c r="H385" t="s">
        <v>3006</v>
      </c>
      <c r="I385">
        <f t="shared" ca="1" si="20"/>
        <v>53</v>
      </c>
      <c r="J385" t="str">
        <f t="shared" ca="1" si="21"/>
        <v>50-59</v>
      </c>
      <c r="K385">
        <v>56296.24</v>
      </c>
      <c r="L385" t="str">
        <f>IF(Workforce[[#This Row],[Salary]]&lt;50000,"30k-49k",IF(Workforce[[#This Row],[Salary]]&lt;70000,"50k-69k",IF(Workforce[[#This Row],[Salary]]&lt;90000,"70k-89k","90k+")))</f>
        <v>50k-69k</v>
      </c>
      <c r="M385" t="s">
        <v>3007</v>
      </c>
      <c r="N385">
        <f t="shared" ca="1" si="22"/>
        <v>8</v>
      </c>
      <c r="O385" t="str">
        <f t="shared" ca="1" si="23"/>
        <v>Senior level</v>
      </c>
    </row>
    <row r="386" spans="1:15" x14ac:dyDescent="0.3">
      <c r="A386" t="s">
        <v>3008</v>
      </c>
      <c r="B386" t="s">
        <v>3009</v>
      </c>
      <c r="C386" t="s">
        <v>44</v>
      </c>
      <c r="D386" t="s">
        <v>3010</v>
      </c>
      <c r="E386" t="s">
        <v>3011</v>
      </c>
      <c r="F386" t="s">
        <v>3012</v>
      </c>
      <c r="G386" t="s">
        <v>3013</v>
      </c>
      <c r="H386" t="s">
        <v>3014</v>
      </c>
      <c r="I386">
        <f t="shared" ref="I386:I449" ca="1" si="24">DATEDIF(H386,TODAY(),"y")</f>
        <v>44</v>
      </c>
      <c r="J386" t="str">
        <f t="shared" ref="J386:J449" ca="1" si="25">IF(I386&lt;30,"18-29",IF(I386&lt;40,"30-39",IF(I386&lt;50,"40-49",IF(I386&lt;60,"50-59","60+"))))</f>
        <v>40-49</v>
      </c>
      <c r="K386">
        <v>94797.35</v>
      </c>
      <c r="L386" t="str">
        <f>IF(Workforce[[#This Row],[Salary]]&lt;50000,"30k-49k",IF(Workforce[[#This Row],[Salary]]&lt;70000,"50k-69k",IF(Workforce[[#This Row],[Salary]]&lt;90000,"70k-89k","90k+")))</f>
        <v>90k+</v>
      </c>
      <c r="M386" t="s">
        <v>3015</v>
      </c>
      <c r="N386">
        <f t="shared" ref="N386:N449" ca="1" si="26">DATEDIF(M386,TODAY(),"y")</f>
        <v>2</v>
      </c>
      <c r="O386" t="str">
        <f t="shared" ref="O386:O449" ca="1" si="27">IF(N386&lt;=2,"Beginner",IF(N386&lt;=6,"Intermediate level","Senior level"))</f>
        <v>Beginner</v>
      </c>
    </row>
    <row r="387" spans="1:15" x14ac:dyDescent="0.3">
      <c r="A387" t="s">
        <v>3016</v>
      </c>
      <c r="B387" t="s">
        <v>3017</v>
      </c>
      <c r="C387" t="s">
        <v>17</v>
      </c>
      <c r="D387" t="s">
        <v>3018</v>
      </c>
      <c r="E387" t="s">
        <v>3019</v>
      </c>
      <c r="F387" t="s">
        <v>3020</v>
      </c>
      <c r="G387" t="s">
        <v>3021</v>
      </c>
      <c r="H387" t="s">
        <v>3022</v>
      </c>
      <c r="I387">
        <f t="shared" ca="1" si="24"/>
        <v>39</v>
      </c>
      <c r="J387" t="str">
        <f t="shared" ca="1" si="25"/>
        <v>30-39</v>
      </c>
      <c r="K387">
        <v>40778.54</v>
      </c>
      <c r="L387" t="str">
        <f>IF(Workforce[[#This Row],[Salary]]&lt;50000,"30k-49k",IF(Workforce[[#This Row],[Salary]]&lt;70000,"50k-69k",IF(Workforce[[#This Row],[Salary]]&lt;90000,"70k-89k","90k+")))</f>
        <v>30k-49k</v>
      </c>
      <c r="M387" t="s">
        <v>3023</v>
      </c>
      <c r="N387">
        <f t="shared" ca="1" si="26"/>
        <v>3</v>
      </c>
      <c r="O387" t="str">
        <f t="shared" ca="1" si="27"/>
        <v>Intermediate level</v>
      </c>
    </row>
    <row r="388" spans="1:15" x14ac:dyDescent="0.3">
      <c r="A388" t="s">
        <v>3024</v>
      </c>
      <c r="B388" t="s">
        <v>3025</v>
      </c>
      <c r="C388" t="s">
        <v>178</v>
      </c>
      <c r="D388" t="s">
        <v>3026</v>
      </c>
      <c r="E388" t="s">
        <v>3027</v>
      </c>
      <c r="F388" t="s">
        <v>3028</v>
      </c>
      <c r="G388" t="s">
        <v>3029</v>
      </c>
      <c r="H388" t="s">
        <v>3030</v>
      </c>
      <c r="I388">
        <f t="shared" ca="1" si="24"/>
        <v>42</v>
      </c>
      <c r="J388" t="str">
        <f t="shared" ca="1" si="25"/>
        <v>40-49</v>
      </c>
      <c r="K388">
        <v>66950.06</v>
      </c>
      <c r="L388" t="str">
        <f>IF(Workforce[[#This Row],[Salary]]&lt;50000,"30k-49k",IF(Workforce[[#This Row],[Salary]]&lt;70000,"50k-69k",IF(Workforce[[#This Row],[Salary]]&lt;90000,"70k-89k","90k+")))</f>
        <v>50k-69k</v>
      </c>
      <c r="M388" t="s">
        <v>1606</v>
      </c>
      <c r="N388">
        <f t="shared" ca="1" si="26"/>
        <v>10</v>
      </c>
      <c r="O388" t="str">
        <f t="shared" ca="1" si="27"/>
        <v>Senior level</v>
      </c>
    </row>
    <row r="389" spans="1:15" x14ac:dyDescent="0.3">
      <c r="A389" t="s">
        <v>3031</v>
      </c>
      <c r="B389" t="s">
        <v>3032</v>
      </c>
      <c r="C389" t="s">
        <v>1223</v>
      </c>
      <c r="D389" t="s">
        <v>3033</v>
      </c>
      <c r="E389" t="s">
        <v>3034</v>
      </c>
      <c r="F389" t="s">
        <v>1689</v>
      </c>
      <c r="G389" t="s">
        <v>3035</v>
      </c>
      <c r="H389" t="s">
        <v>3036</v>
      </c>
      <c r="I389">
        <f t="shared" ca="1" si="24"/>
        <v>65</v>
      </c>
      <c r="J389" t="str">
        <f t="shared" ca="1" si="25"/>
        <v>60+</v>
      </c>
      <c r="K389">
        <v>94843.42</v>
      </c>
      <c r="L389" t="str">
        <f>IF(Workforce[[#This Row],[Salary]]&lt;50000,"30k-49k",IF(Workforce[[#This Row],[Salary]]&lt;70000,"50k-69k",IF(Workforce[[#This Row],[Salary]]&lt;90000,"70k-89k","90k+")))</f>
        <v>90k+</v>
      </c>
      <c r="M389" t="s">
        <v>3037</v>
      </c>
      <c r="N389">
        <f t="shared" ca="1" si="26"/>
        <v>7</v>
      </c>
      <c r="O389" t="str">
        <f t="shared" ca="1" si="27"/>
        <v>Senior level</v>
      </c>
    </row>
    <row r="390" spans="1:15" x14ac:dyDescent="0.3">
      <c r="A390" t="s">
        <v>3038</v>
      </c>
      <c r="B390" t="s">
        <v>3039</v>
      </c>
      <c r="C390" t="s">
        <v>580</v>
      </c>
      <c r="D390" t="s">
        <v>3040</v>
      </c>
      <c r="E390" t="s">
        <v>3041</v>
      </c>
      <c r="F390" t="s">
        <v>742</v>
      </c>
      <c r="G390" t="s">
        <v>3042</v>
      </c>
      <c r="H390" t="s">
        <v>3043</v>
      </c>
      <c r="I390">
        <f t="shared" ca="1" si="24"/>
        <v>32</v>
      </c>
      <c r="J390" t="str">
        <f t="shared" ca="1" si="25"/>
        <v>30-39</v>
      </c>
      <c r="K390">
        <v>62551.49</v>
      </c>
      <c r="L390" t="str">
        <f>IF(Workforce[[#This Row],[Salary]]&lt;50000,"30k-49k",IF(Workforce[[#This Row],[Salary]]&lt;70000,"50k-69k",IF(Workforce[[#This Row],[Salary]]&lt;90000,"70k-89k","90k+")))</f>
        <v>50k-69k</v>
      </c>
      <c r="M390" t="s">
        <v>3044</v>
      </c>
      <c r="N390">
        <f t="shared" ca="1" si="26"/>
        <v>10</v>
      </c>
      <c r="O390" t="str">
        <f t="shared" ca="1" si="27"/>
        <v>Senior level</v>
      </c>
    </row>
    <row r="391" spans="1:15" x14ac:dyDescent="0.3">
      <c r="A391" t="s">
        <v>3045</v>
      </c>
      <c r="B391" t="s">
        <v>3046</v>
      </c>
      <c r="C391" t="s">
        <v>257</v>
      </c>
      <c r="D391" t="s">
        <v>3047</v>
      </c>
      <c r="E391" t="s">
        <v>3048</v>
      </c>
      <c r="F391" t="s">
        <v>1015</v>
      </c>
      <c r="G391" t="s">
        <v>3049</v>
      </c>
      <c r="H391" t="s">
        <v>3050</v>
      </c>
      <c r="I391">
        <f t="shared" ca="1" si="24"/>
        <v>60</v>
      </c>
      <c r="J391" t="str">
        <f t="shared" ca="1" si="25"/>
        <v>60+</v>
      </c>
      <c r="K391">
        <v>75530.649999999994</v>
      </c>
      <c r="L391" t="str">
        <f>IF(Workforce[[#This Row],[Salary]]&lt;50000,"30k-49k",IF(Workforce[[#This Row],[Salary]]&lt;70000,"50k-69k",IF(Workforce[[#This Row],[Salary]]&lt;90000,"70k-89k","90k+")))</f>
        <v>70k-89k</v>
      </c>
      <c r="M391" t="s">
        <v>3051</v>
      </c>
      <c r="N391">
        <f t="shared" ca="1" si="26"/>
        <v>9</v>
      </c>
      <c r="O391" t="str">
        <f t="shared" ca="1" si="27"/>
        <v>Senior level</v>
      </c>
    </row>
    <row r="392" spans="1:15" x14ac:dyDescent="0.3">
      <c r="A392" t="s">
        <v>3052</v>
      </c>
      <c r="B392" t="s">
        <v>3053</v>
      </c>
      <c r="C392" t="s">
        <v>97</v>
      </c>
      <c r="D392" t="s">
        <v>3054</v>
      </c>
      <c r="E392" t="s">
        <v>3055</v>
      </c>
      <c r="F392" t="s">
        <v>3056</v>
      </c>
      <c r="G392" t="s">
        <v>3057</v>
      </c>
      <c r="H392" t="s">
        <v>3058</v>
      </c>
      <c r="I392">
        <f t="shared" ca="1" si="24"/>
        <v>62</v>
      </c>
      <c r="J392" t="str">
        <f t="shared" ca="1" si="25"/>
        <v>60+</v>
      </c>
      <c r="K392">
        <v>52348.95</v>
      </c>
      <c r="L392" t="str">
        <f>IF(Workforce[[#This Row],[Salary]]&lt;50000,"30k-49k",IF(Workforce[[#This Row],[Salary]]&lt;70000,"50k-69k",IF(Workforce[[#This Row],[Salary]]&lt;90000,"70k-89k","90k+")))</f>
        <v>50k-69k</v>
      </c>
      <c r="M392" t="s">
        <v>3059</v>
      </c>
      <c r="N392">
        <f t="shared" ca="1" si="26"/>
        <v>2</v>
      </c>
      <c r="O392" t="str">
        <f t="shared" ca="1" si="27"/>
        <v>Beginner</v>
      </c>
    </row>
    <row r="393" spans="1:15" x14ac:dyDescent="0.3">
      <c r="A393" t="s">
        <v>3060</v>
      </c>
      <c r="B393" t="s">
        <v>3061</v>
      </c>
      <c r="C393" t="s">
        <v>133</v>
      </c>
      <c r="D393" t="s">
        <v>3062</v>
      </c>
      <c r="E393" t="s">
        <v>3063</v>
      </c>
      <c r="F393" t="s">
        <v>3064</v>
      </c>
      <c r="G393" t="s">
        <v>3065</v>
      </c>
      <c r="H393" t="s">
        <v>3066</v>
      </c>
      <c r="I393">
        <f t="shared" ca="1" si="24"/>
        <v>55</v>
      </c>
      <c r="J393" t="str">
        <f t="shared" ca="1" si="25"/>
        <v>50-59</v>
      </c>
      <c r="K393">
        <v>35979.410000000003</v>
      </c>
      <c r="L393" t="str">
        <f>IF(Workforce[[#This Row],[Salary]]&lt;50000,"30k-49k",IF(Workforce[[#This Row],[Salary]]&lt;70000,"50k-69k",IF(Workforce[[#This Row],[Salary]]&lt;90000,"70k-89k","90k+")))</f>
        <v>30k-49k</v>
      </c>
      <c r="M393" t="s">
        <v>1899</v>
      </c>
      <c r="N393">
        <f t="shared" ca="1" si="26"/>
        <v>4</v>
      </c>
      <c r="O393" t="str">
        <f t="shared" ca="1" si="27"/>
        <v>Intermediate level</v>
      </c>
    </row>
    <row r="394" spans="1:15" x14ac:dyDescent="0.3">
      <c r="A394" t="s">
        <v>3067</v>
      </c>
      <c r="B394" t="s">
        <v>3068</v>
      </c>
      <c r="C394" t="s">
        <v>26</v>
      </c>
      <c r="D394" t="s">
        <v>3069</v>
      </c>
      <c r="E394" t="s">
        <v>3070</v>
      </c>
      <c r="F394" t="s">
        <v>3071</v>
      </c>
      <c r="G394" t="s">
        <v>3072</v>
      </c>
      <c r="H394" t="s">
        <v>3073</v>
      </c>
      <c r="I394">
        <f t="shared" ca="1" si="24"/>
        <v>64</v>
      </c>
      <c r="J394" t="str">
        <f t="shared" ca="1" si="25"/>
        <v>60+</v>
      </c>
      <c r="K394">
        <v>67559.58</v>
      </c>
      <c r="L394" t="str">
        <f>IF(Workforce[[#This Row],[Salary]]&lt;50000,"30k-49k",IF(Workforce[[#This Row],[Salary]]&lt;70000,"50k-69k",IF(Workforce[[#This Row],[Salary]]&lt;90000,"70k-89k","90k+")))</f>
        <v>50k-69k</v>
      </c>
      <c r="M394" t="s">
        <v>3074</v>
      </c>
      <c r="N394">
        <f t="shared" ca="1" si="26"/>
        <v>3</v>
      </c>
      <c r="O394" t="str">
        <f t="shared" ca="1" si="27"/>
        <v>Intermediate level</v>
      </c>
    </row>
    <row r="395" spans="1:15" x14ac:dyDescent="0.3">
      <c r="A395" t="s">
        <v>3075</v>
      </c>
      <c r="B395" t="s">
        <v>3076</v>
      </c>
      <c r="C395" t="s">
        <v>2086</v>
      </c>
      <c r="D395" t="s">
        <v>3077</v>
      </c>
      <c r="E395" t="s">
        <v>3078</v>
      </c>
      <c r="F395" t="s">
        <v>3079</v>
      </c>
      <c r="G395" t="s">
        <v>3080</v>
      </c>
      <c r="H395" t="s">
        <v>3081</v>
      </c>
      <c r="I395">
        <f t="shared" ca="1" si="24"/>
        <v>29</v>
      </c>
      <c r="J395" t="str">
        <f t="shared" ca="1" si="25"/>
        <v>18-29</v>
      </c>
      <c r="K395">
        <v>79115.100000000006</v>
      </c>
      <c r="L395" t="str">
        <f>IF(Workforce[[#This Row],[Salary]]&lt;50000,"30k-49k",IF(Workforce[[#This Row],[Salary]]&lt;70000,"50k-69k",IF(Workforce[[#This Row],[Salary]]&lt;90000,"70k-89k","90k+")))</f>
        <v>70k-89k</v>
      </c>
      <c r="M395" t="s">
        <v>3082</v>
      </c>
      <c r="N395">
        <f t="shared" ca="1" si="26"/>
        <v>7</v>
      </c>
      <c r="O395" t="str">
        <f t="shared" ca="1" si="27"/>
        <v>Senior level</v>
      </c>
    </row>
    <row r="396" spans="1:15" x14ac:dyDescent="0.3">
      <c r="A396" t="s">
        <v>3083</v>
      </c>
      <c r="B396" t="s">
        <v>3084</v>
      </c>
      <c r="C396" t="s">
        <v>35</v>
      </c>
      <c r="D396" t="s">
        <v>3085</v>
      </c>
      <c r="E396" t="s">
        <v>3086</v>
      </c>
      <c r="F396" t="s">
        <v>3087</v>
      </c>
      <c r="G396" t="s">
        <v>3088</v>
      </c>
      <c r="H396" t="s">
        <v>3089</v>
      </c>
      <c r="I396">
        <f t="shared" ca="1" si="24"/>
        <v>29</v>
      </c>
      <c r="J396" t="str">
        <f t="shared" ca="1" si="25"/>
        <v>18-29</v>
      </c>
      <c r="K396">
        <v>115563.75</v>
      </c>
      <c r="L396" t="str">
        <f>IF(Workforce[[#This Row],[Salary]]&lt;50000,"30k-49k",IF(Workforce[[#This Row],[Salary]]&lt;70000,"50k-69k",IF(Workforce[[#This Row],[Salary]]&lt;90000,"70k-89k","90k+")))</f>
        <v>90k+</v>
      </c>
      <c r="M396" t="s">
        <v>3090</v>
      </c>
      <c r="N396">
        <f t="shared" ca="1" si="26"/>
        <v>5</v>
      </c>
      <c r="O396" t="str">
        <f t="shared" ca="1" si="27"/>
        <v>Intermediate level</v>
      </c>
    </row>
    <row r="397" spans="1:15" x14ac:dyDescent="0.3">
      <c r="A397" t="s">
        <v>3091</v>
      </c>
      <c r="B397" t="s">
        <v>3092</v>
      </c>
      <c r="C397" t="s">
        <v>1159</v>
      </c>
      <c r="D397" t="s">
        <v>3093</v>
      </c>
      <c r="E397" t="s">
        <v>3094</v>
      </c>
      <c r="F397" t="s">
        <v>3095</v>
      </c>
      <c r="G397" t="s">
        <v>3096</v>
      </c>
      <c r="H397" t="s">
        <v>3097</v>
      </c>
      <c r="I397">
        <f t="shared" ca="1" si="24"/>
        <v>51</v>
      </c>
      <c r="J397" t="str">
        <f t="shared" ca="1" si="25"/>
        <v>50-59</v>
      </c>
      <c r="K397">
        <v>67664.03</v>
      </c>
      <c r="L397" t="str">
        <f>IF(Workforce[[#This Row],[Salary]]&lt;50000,"30k-49k",IF(Workforce[[#This Row],[Salary]]&lt;70000,"50k-69k",IF(Workforce[[#This Row],[Salary]]&lt;90000,"70k-89k","90k+")))</f>
        <v>50k-69k</v>
      </c>
      <c r="M397" t="s">
        <v>3098</v>
      </c>
      <c r="N397">
        <f t="shared" ca="1" si="26"/>
        <v>2</v>
      </c>
      <c r="O397" t="str">
        <f t="shared" ca="1" si="27"/>
        <v>Beginner</v>
      </c>
    </row>
    <row r="398" spans="1:15" x14ac:dyDescent="0.3">
      <c r="A398" t="s">
        <v>3099</v>
      </c>
      <c r="B398" t="s">
        <v>3100</v>
      </c>
      <c r="C398" t="s">
        <v>539</v>
      </c>
      <c r="D398" t="s">
        <v>3101</v>
      </c>
      <c r="E398" t="s">
        <v>3102</v>
      </c>
      <c r="F398" t="s">
        <v>3103</v>
      </c>
      <c r="G398" t="s">
        <v>3104</v>
      </c>
      <c r="H398" t="s">
        <v>3105</v>
      </c>
      <c r="I398">
        <f t="shared" ca="1" si="24"/>
        <v>40</v>
      </c>
      <c r="J398" t="str">
        <f t="shared" ca="1" si="25"/>
        <v>40-49</v>
      </c>
      <c r="K398">
        <v>114120.85</v>
      </c>
      <c r="L398" t="str">
        <f>IF(Workforce[[#This Row],[Salary]]&lt;50000,"30k-49k",IF(Workforce[[#This Row],[Salary]]&lt;70000,"50k-69k",IF(Workforce[[#This Row],[Salary]]&lt;90000,"70k-89k","90k+")))</f>
        <v>90k+</v>
      </c>
      <c r="M398" t="s">
        <v>3106</v>
      </c>
      <c r="N398">
        <f t="shared" ca="1" si="26"/>
        <v>6</v>
      </c>
      <c r="O398" t="str">
        <f t="shared" ca="1" si="27"/>
        <v>Intermediate level</v>
      </c>
    </row>
    <row r="399" spans="1:15" x14ac:dyDescent="0.3">
      <c r="A399" t="s">
        <v>3107</v>
      </c>
      <c r="B399" t="s">
        <v>3108</v>
      </c>
      <c r="C399" t="s">
        <v>266</v>
      </c>
      <c r="D399" t="s">
        <v>3109</v>
      </c>
      <c r="E399" t="s">
        <v>3110</v>
      </c>
      <c r="F399" t="s">
        <v>3111</v>
      </c>
      <c r="G399" t="s">
        <v>3112</v>
      </c>
      <c r="H399" t="s">
        <v>3113</v>
      </c>
      <c r="I399">
        <f t="shared" ca="1" si="24"/>
        <v>22</v>
      </c>
      <c r="J399" t="str">
        <f t="shared" ca="1" si="25"/>
        <v>18-29</v>
      </c>
      <c r="K399">
        <v>79293.039999999994</v>
      </c>
      <c r="L399" t="str">
        <f>IF(Workforce[[#This Row],[Salary]]&lt;50000,"30k-49k",IF(Workforce[[#This Row],[Salary]]&lt;70000,"50k-69k",IF(Workforce[[#This Row],[Salary]]&lt;90000,"70k-89k","90k+")))</f>
        <v>70k-89k</v>
      </c>
      <c r="M399" t="s">
        <v>3114</v>
      </c>
      <c r="N399">
        <f t="shared" ca="1" si="26"/>
        <v>1</v>
      </c>
      <c r="O399" t="str">
        <f t="shared" ca="1" si="27"/>
        <v>Beginner</v>
      </c>
    </row>
    <row r="400" spans="1:15" x14ac:dyDescent="0.3">
      <c r="A400" t="s">
        <v>3115</v>
      </c>
      <c r="B400" t="s">
        <v>3116</v>
      </c>
      <c r="C400" t="s">
        <v>142</v>
      </c>
      <c r="D400" t="s">
        <v>3117</v>
      </c>
      <c r="E400" t="s">
        <v>3118</v>
      </c>
      <c r="F400" t="s">
        <v>2997</v>
      </c>
      <c r="G400" t="s">
        <v>3119</v>
      </c>
      <c r="H400" t="s">
        <v>3120</v>
      </c>
      <c r="I400">
        <f t="shared" ca="1" si="24"/>
        <v>52</v>
      </c>
      <c r="J400" t="str">
        <f t="shared" ca="1" si="25"/>
        <v>50-59</v>
      </c>
      <c r="K400">
        <v>47169.36</v>
      </c>
      <c r="L400" t="str">
        <f>IF(Workforce[[#This Row],[Salary]]&lt;50000,"30k-49k",IF(Workforce[[#This Row],[Salary]]&lt;70000,"50k-69k",IF(Workforce[[#This Row],[Salary]]&lt;90000,"70k-89k","90k+")))</f>
        <v>30k-49k</v>
      </c>
      <c r="M400" t="s">
        <v>3121</v>
      </c>
      <c r="N400">
        <f t="shared" ca="1" si="26"/>
        <v>3</v>
      </c>
      <c r="O400" t="str">
        <f t="shared" ca="1" si="27"/>
        <v>Intermediate level</v>
      </c>
    </row>
    <row r="401" spans="1:15" x14ac:dyDescent="0.3">
      <c r="A401" t="s">
        <v>3122</v>
      </c>
      <c r="B401" t="s">
        <v>3123</v>
      </c>
      <c r="C401" t="s">
        <v>17</v>
      </c>
      <c r="D401" t="s">
        <v>3124</v>
      </c>
      <c r="E401" t="s">
        <v>3125</v>
      </c>
      <c r="F401" t="s">
        <v>3126</v>
      </c>
      <c r="G401" t="s">
        <v>3127</v>
      </c>
      <c r="H401" t="s">
        <v>3128</v>
      </c>
      <c r="I401">
        <f t="shared" ca="1" si="24"/>
        <v>39</v>
      </c>
      <c r="J401" t="str">
        <f t="shared" ca="1" si="25"/>
        <v>30-39</v>
      </c>
      <c r="K401">
        <v>61345.35</v>
      </c>
      <c r="L401" t="str">
        <f>IF(Workforce[[#This Row],[Salary]]&lt;50000,"30k-49k",IF(Workforce[[#This Row],[Salary]]&lt;70000,"50k-69k",IF(Workforce[[#This Row],[Salary]]&lt;90000,"70k-89k","90k+")))</f>
        <v>50k-69k</v>
      </c>
      <c r="M401" t="s">
        <v>3129</v>
      </c>
      <c r="N401">
        <f t="shared" ca="1" si="26"/>
        <v>9</v>
      </c>
      <c r="O401" t="str">
        <f t="shared" ca="1" si="27"/>
        <v>Senior level</v>
      </c>
    </row>
    <row r="402" spans="1:15" x14ac:dyDescent="0.3">
      <c r="A402" t="s">
        <v>3130</v>
      </c>
      <c r="B402" t="s">
        <v>3131</v>
      </c>
      <c r="C402" t="s">
        <v>35</v>
      </c>
      <c r="D402" t="s">
        <v>3132</v>
      </c>
      <c r="E402" t="s">
        <v>3133</v>
      </c>
      <c r="F402" t="s">
        <v>1153</v>
      </c>
      <c r="G402" t="s">
        <v>3134</v>
      </c>
      <c r="H402" t="s">
        <v>3135</v>
      </c>
      <c r="I402">
        <f t="shared" ca="1" si="24"/>
        <v>32</v>
      </c>
      <c r="J402" t="str">
        <f t="shared" ca="1" si="25"/>
        <v>30-39</v>
      </c>
      <c r="K402">
        <v>114673.62</v>
      </c>
      <c r="L402" t="str">
        <f>IF(Workforce[[#This Row],[Salary]]&lt;50000,"30k-49k",IF(Workforce[[#This Row],[Salary]]&lt;70000,"50k-69k",IF(Workforce[[#This Row],[Salary]]&lt;90000,"70k-89k","90k+")))</f>
        <v>90k+</v>
      </c>
      <c r="M402" t="s">
        <v>3136</v>
      </c>
      <c r="N402">
        <f t="shared" ca="1" si="26"/>
        <v>9</v>
      </c>
      <c r="O402" t="str">
        <f t="shared" ca="1" si="27"/>
        <v>Senior level</v>
      </c>
    </row>
    <row r="403" spans="1:15" x14ac:dyDescent="0.3">
      <c r="A403" t="s">
        <v>3137</v>
      </c>
      <c r="B403" t="s">
        <v>3138</v>
      </c>
      <c r="C403" t="s">
        <v>1159</v>
      </c>
      <c r="D403" t="s">
        <v>3139</v>
      </c>
      <c r="E403" t="s">
        <v>3140</v>
      </c>
      <c r="F403" t="s">
        <v>3141</v>
      </c>
      <c r="G403" t="s">
        <v>3142</v>
      </c>
      <c r="H403" t="s">
        <v>3143</v>
      </c>
      <c r="I403">
        <f t="shared" ca="1" si="24"/>
        <v>21</v>
      </c>
      <c r="J403" t="str">
        <f t="shared" ca="1" si="25"/>
        <v>18-29</v>
      </c>
      <c r="K403">
        <v>36687.519999999997</v>
      </c>
      <c r="L403" t="str">
        <f>IF(Workforce[[#This Row],[Salary]]&lt;50000,"30k-49k",IF(Workforce[[#This Row],[Salary]]&lt;70000,"50k-69k",IF(Workforce[[#This Row],[Salary]]&lt;90000,"70k-89k","90k+")))</f>
        <v>30k-49k</v>
      </c>
      <c r="M403" t="s">
        <v>3144</v>
      </c>
      <c r="N403">
        <f t="shared" ca="1" si="26"/>
        <v>1</v>
      </c>
      <c r="O403" t="str">
        <f t="shared" ca="1" si="27"/>
        <v>Beginner</v>
      </c>
    </row>
    <row r="404" spans="1:15" x14ac:dyDescent="0.3">
      <c r="A404" t="s">
        <v>3145</v>
      </c>
      <c r="B404" t="s">
        <v>3146</v>
      </c>
      <c r="C404" t="s">
        <v>257</v>
      </c>
      <c r="D404" t="s">
        <v>3147</v>
      </c>
      <c r="E404" t="s">
        <v>3148</v>
      </c>
      <c r="F404" t="s">
        <v>615</v>
      </c>
      <c r="G404" t="s">
        <v>3149</v>
      </c>
      <c r="H404" t="s">
        <v>3150</v>
      </c>
      <c r="I404">
        <f t="shared" ca="1" si="24"/>
        <v>42</v>
      </c>
      <c r="J404" t="str">
        <f t="shared" ca="1" si="25"/>
        <v>40-49</v>
      </c>
      <c r="K404">
        <v>91837.16</v>
      </c>
      <c r="L404" t="str">
        <f>IF(Workforce[[#This Row],[Salary]]&lt;50000,"30k-49k",IF(Workforce[[#This Row],[Salary]]&lt;70000,"50k-69k",IF(Workforce[[#This Row],[Salary]]&lt;90000,"70k-89k","90k+")))</f>
        <v>90k+</v>
      </c>
      <c r="M404" t="s">
        <v>76</v>
      </c>
      <c r="N404">
        <f t="shared" ca="1" si="26"/>
        <v>10</v>
      </c>
      <c r="O404" t="str">
        <f t="shared" ca="1" si="27"/>
        <v>Senior level</v>
      </c>
    </row>
    <row r="405" spans="1:15" x14ac:dyDescent="0.3">
      <c r="A405" t="s">
        <v>3151</v>
      </c>
      <c r="B405" t="s">
        <v>3152</v>
      </c>
      <c r="C405" t="s">
        <v>240</v>
      </c>
      <c r="D405" t="s">
        <v>3153</v>
      </c>
      <c r="E405" t="s">
        <v>3154</v>
      </c>
      <c r="F405" t="s">
        <v>109</v>
      </c>
      <c r="G405" t="s">
        <v>3155</v>
      </c>
      <c r="H405" t="s">
        <v>3156</v>
      </c>
      <c r="I405">
        <f t="shared" ca="1" si="24"/>
        <v>53</v>
      </c>
      <c r="J405" t="str">
        <f t="shared" ca="1" si="25"/>
        <v>50-59</v>
      </c>
      <c r="K405">
        <v>61107.23</v>
      </c>
      <c r="L405" t="str">
        <f>IF(Workforce[[#This Row],[Salary]]&lt;50000,"30k-49k",IF(Workforce[[#This Row],[Salary]]&lt;70000,"50k-69k",IF(Workforce[[#This Row],[Salary]]&lt;90000,"70k-89k","90k+")))</f>
        <v>50k-69k</v>
      </c>
      <c r="M405" t="s">
        <v>3157</v>
      </c>
      <c r="N405">
        <f t="shared" ca="1" si="26"/>
        <v>7</v>
      </c>
      <c r="O405" t="str">
        <f t="shared" ca="1" si="27"/>
        <v>Senior level</v>
      </c>
    </row>
    <row r="406" spans="1:15" x14ac:dyDescent="0.3">
      <c r="A406" t="s">
        <v>3158</v>
      </c>
      <c r="B406" t="s">
        <v>3159</v>
      </c>
      <c r="C406" t="s">
        <v>35</v>
      </c>
      <c r="D406" t="s">
        <v>3160</v>
      </c>
      <c r="E406" t="s">
        <v>3161</v>
      </c>
      <c r="F406" t="s">
        <v>2117</v>
      </c>
      <c r="G406" t="s">
        <v>3162</v>
      </c>
      <c r="H406" t="s">
        <v>3163</v>
      </c>
      <c r="I406">
        <f t="shared" ca="1" si="24"/>
        <v>62</v>
      </c>
      <c r="J406" t="str">
        <f t="shared" ca="1" si="25"/>
        <v>60+</v>
      </c>
      <c r="K406">
        <v>89991.82</v>
      </c>
      <c r="L406" t="str">
        <f>IF(Workforce[[#This Row],[Salary]]&lt;50000,"30k-49k",IF(Workforce[[#This Row],[Salary]]&lt;70000,"50k-69k",IF(Workforce[[#This Row],[Salary]]&lt;90000,"70k-89k","90k+")))</f>
        <v>70k-89k</v>
      </c>
      <c r="M406" t="s">
        <v>3164</v>
      </c>
      <c r="N406">
        <f t="shared" ca="1" si="26"/>
        <v>7</v>
      </c>
      <c r="O406" t="str">
        <f t="shared" ca="1" si="27"/>
        <v>Senior level</v>
      </c>
    </row>
    <row r="407" spans="1:15" x14ac:dyDescent="0.3">
      <c r="A407" t="s">
        <v>3165</v>
      </c>
      <c r="B407" t="s">
        <v>3166</v>
      </c>
      <c r="C407" t="s">
        <v>124</v>
      </c>
      <c r="D407" t="s">
        <v>3167</v>
      </c>
      <c r="E407" t="s">
        <v>3168</v>
      </c>
      <c r="F407" t="s">
        <v>100</v>
      </c>
      <c r="G407" t="s">
        <v>3169</v>
      </c>
      <c r="H407" t="s">
        <v>3170</v>
      </c>
      <c r="I407">
        <f t="shared" ca="1" si="24"/>
        <v>51</v>
      </c>
      <c r="J407" t="str">
        <f t="shared" ca="1" si="25"/>
        <v>50-59</v>
      </c>
      <c r="K407">
        <v>47618.59</v>
      </c>
      <c r="L407" t="str">
        <f>IF(Workforce[[#This Row],[Salary]]&lt;50000,"30k-49k",IF(Workforce[[#This Row],[Salary]]&lt;70000,"50k-69k",IF(Workforce[[#This Row],[Salary]]&lt;90000,"70k-89k","90k+")))</f>
        <v>30k-49k</v>
      </c>
      <c r="M407" t="s">
        <v>3171</v>
      </c>
      <c r="N407">
        <f t="shared" ca="1" si="26"/>
        <v>2</v>
      </c>
      <c r="O407" t="str">
        <f t="shared" ca="1" si="27"/>
        <v>Beginner</v>
      </c>
    </row>
    <row r="408" spans="1:15" x14ac:dyDescent="0.3">
      <c r="A408" t="s">
        <v>3172</v>
      </c>
      <c r="B408" t="s">
        <v>3173</v>
      </c>
      <c r="C408" t="s">
        <v>440</v>
      </c>
      <c r="D408" t="s">
        <v>3174</v>
      </c>
      <c r="E408" t="s">
        <v>3175</v>
      </c>
      <c r="F408" t="s">
        <v>3012</v>
      </c>
      <c r="G408" t="s">
        <v>3176</v>
      </c>
      <c r="H408" t="s">
        <v>3177</v>
      </c>
      <c r="I408">
        <f t="shared" ca="1" si="24"/>
        <v>31</v>
      </c>
      <c r="J408" t="str">
        <f t="shared" ca="1" si="25"/>
        <v>30-39</v>
      </c>
      <c r="K408">
        <v>74686.91</v>
      </c>
      <c r="L408" t="str">
        <f>IF(Workforce[[#This Row],[Salary]]&lt;50000,"30k-49k",IF(Workforce[[#This Row],[Salary]]&lt;70000,"50k-69k",IF(Workforce[[#This Row],[Salary]]&lt;90000,"70k-89k","90k+")))</f>
        <v>70k-89k</v>
      </c>
      <c r="M408" t="s">
        <v>3178</v>
      </c>
      <c r="N408">
        <f t="shared" ca="1" si="26"/>
        <v>9</v>
      </c>
      <c r="O408" t="str">
        <f t="shared" ca="1" si="27"/>
        <v>Senior level</v>
      </c>
    </row>
    <row r="409" spans="1:15" x14ac:dyDescent="0.3">
      <c r="A409" t="s">
        <v>3179</v>
      </c>
      <c r="B409" t="s">
        <v>3180</v>
      </c>
      <c r="C409" t="s">
        <v>26</v>
      </c>
      <c r="D409" t="s">
        <v>3181</v>
      </c>
      <c r="E409" t="s">
        <v>3182</v>
      </c>
      <c r="F409" t="s">
        <v>3183</v>
      </c>
      <c r="G409" t="s">
        <v>3184</v>
      </c>
      <c r="H409" t="s">
        <v>3185</v>
      </c>
      <c r="I409">
        <f t="shared" ca="1" si="24"/>
        <v>30</v>
      </c>
      <c r="J409" t="str">
        <f t="shared" ca="1" si="25"/>
        <v>30-39</v>
      </c>
      <c r="K409">
        <v>45928.2</v>
      </c>
      <c r="L409" t="str">
        <f>IF(Workforce[[#This Row],[Salary]]&lt;50000,"30k-49k",IF(Workforce[[#This Row],[Salary]]&lt;70000,"50k-69k",IF(Workforce[[#This Row],[Salary]]&lt;90000,"70k-89k","90k+")))</f>
        <v>30k-49k</v>
      </c>
      <c r="M409" t="s">
        <v>3186</v>
      </c>
      <c r="N409">
        <f t="shared" ca="1" si="26"/>
        <v>5</v>
      </c>
      <c r="O409" t="str">
        <f t="shared" ca="1" si="27"/>
        <v>Intermediate level</v>
      </c>
    </row>
    <row r="410" spans="1:15" x14ac:dyDescent="0.3">
      <c r="A410" t="s">
        <v>3187</v>
      </c>
      <c r="B410" t="s">
        <v>3188</v>
      </c>
      <c r="C410" t="s">
        <v>70</v>
      </c>
      <c r="D410" t="s">
        <v>3189</v>
      </c>
      <c r="E410" t="s">
        <v>3190</v>
      </c>
      <c r="F410" t="s">
        <v>3191</v>
      </c>
      <c r="G410" t="s">
        <v>3192</v>
      </c>
      <c r="H410" t="s">
        <v>3193</v>
      </c>
      <c r="I410">
        <f t="shared" ca="1" si="24"/>
        <v>50</v>
      </c>
      <c r="J410" t="str">
        <f t="shared" ca="1" si="25"/>
        <v>50-59</v>
      </c>
      <c r="K410">
        <v>60812.77</v>
      </c>
      <c r="L410" t="str">
        <f>IF(Workforce[[#This Row],[Salary]]&lt;50000,"30k-49k",IF(Workforce[[#This Row],[Salary]]&lt;70000,"50k-69k",IF(Workforce[[#This Row],[Salary]]&lt;90000,"70k-89k","90k+")))</f>
        <v>50k-69k</v>
      </c>
      <c r="M410" t="s">
        <v>3194</v>
      </c>
      <c r="N410">
        <f t="shared" ca="1" si="26"/>
        <v>0</v>
      </c>
      <c r="O410" t="str">
        <f t="shared" ca="1" si="27"/>
        <v>Beginner</v>
      </c>
    </row>
    <row r="411" spans="1:15" x14ac:dyDescent="0.3">
      <c r="A411" t="s">
        <v>3195</v>
      </c>
      <c r="B411" t="s">
        <v>3196</v>
      </c>
      <c r="C411" t="s">
        <v>160</v>
      </c>
      <c r="D411" t="s">
        <v>3197</v>
      </c>
      <c r="E411" t="s">
        <v>3198</v>
      </c>
      <c r="F411" t="s">
        <v>3199</v>
      </c>
      <c r="G411" t="s">
        <v>3200</v>
      </c>
      <c r="H411" t="s">
        <v>3201</v>
      </c>
      <c r="I411">
        <f t="shared" ca="1" si="24"/>
        <v>23</v>
      </c>
      <c r="J411" t="str">
        <f t="shared" ca="1" si="25"/>
        <v>18-29</v>
      </c>
      <c r="K411">
        <v>114120.79</v>
      </c>
      <c r="L411" t="str">
        <f>IF(Workforce[[#This Row],[Salary]]&lt;50000,"30k-49k",IF(Workforce[[#This Row],[Salary]]&lt;70000,"50k-69k",IF(Workforce[[#This Row],[Salary]]&lt;90000,"70k-89k","90k+")))</f>
        <v>90k+</v>
      </c>
      <c r="M411" t="s">
        <v>3202</v>
      </c>
      <c r="N411">
        <f t="shared" ca="1" si="26"/>
        <v>6</v>
      </c>
      <c r="O411" t="str">
        <f t="shared" ca="1" si="27"/>
        <v>Intermediate level</v>
      </c>
    </row>
    <row r="412" spans="1:15" x14ac:dyDescent="0.3">
      <c r="A412" t="s">
        <v>3203</v>
      </c>
      <c r="B412" t="s">
        <v>3204</v>
      </c>
      <c r="C412" t="s">
        <v>326</v>
      </c>
      <c r="D412" t="s">
        <v>3205</v>
      </c>
      <c r="E412" t="s">
        <v>3206</v>
      </c>
      <c r="F412" t="s">
        <v>958</v>
      </c>
      <c r="G412" t="s">
        <v>3207</v>
      </c>
      <c r="H412" t="s">
        <v>3208</v>
      </c>
      <c r="I412">
        <f t="shared" ca="1" si="24"/>
        <v>21</v>
      </c>
      <c r="J412" t="str">
        <f t="shared" ca="1" si="25"/>
        <v>18-29</v>
      </c>
      <c r="K412">
        <v>65338.16</v>
      </c>
      <c r="L412" t="str">
        <f>IF(Workforce[[#This Row],[Salary]]&lt;50000,"30k-49k",IF(Workforce[[#This Row],[Salary]]&lt;70000,"50k-69k",IF(Workforce[[#This Row],[Salary]]&lt;90000,"70k-89k","90k+")))</f>
        <v>50k-69k</v>
      </c>
      <c r="M412" t="s">
        <v>3209</v>
      </c>
      <c r="N412">
        <f t="shared" ca="1" si="26"/>
        <v>3</v>
      </c>
      <c r="O412" t="str">
        <f t="shared" ca="1" si="27"/>
        <v>Intermediate level</v>
      </c>
    </row>
    <row r="413" spans="1:15" x14ac:dyDescent="0.3">
      <c r="A413" t="s">
        <v>3210</v>
      </c>
      <c r="B413" t="s">
        <v>3211</v>
      </c>
      <c r="C413" t="s">
        <v>275</v>
      </c>
      <c r="D413" t="s">
        <v>3212</v>
      </c>
      <c r="E413" t="s">
        <v>3213</v>
      </c>
      <c r="F413" t="s">
        <v>1665</v>
      </c>
      <c r="G413" t="s">
        <v>3214</v>
      </c>
      <c r="H413" t="s">
        <v>3215</v>
      </c>
      <c r="I413">
        <f t="shared" ca="1" si="24"/>
        <v>37</v>
      </c>
      <c r="J413" t="str">
        <f t="shared" ca="1" si="25"/>
        <v>30-39</v>
      </c>
      <c r="K413">
        <v>42953.97</v>
      </c>
      <c r="L413" t="str">
        <f>IF(Workforce[[#This Row],[Salary]]&lt;50000,"30k-49k",IF(Workforce[[#This Row],[Salary]]&lt;70000,"50k-69k",IF(Workforce[[#This Row],[Salary]]&lt;90000,"70k-89k","90k+")))</f>
        <v>30k-49k</v>
      </c>
      <c r="M413" t="s">
        <v>3216</v>
      </c>
      <c r="N413">
        <f t="shared" ca="1" si="26"/>
        <v>2</v>
      </c>
      <c r="O413" t="str">
        <f t="shared" ca="1" si="27"/>
        <v>Beginner</v>
      </c>
    </row>
    <row r="414" spans="1:15" x14ac:dyDescent="0.3">
      <c r="A414" t="s">
        <v>3217</v>
      </c>
      <c r="B414" t="s">
        <v>3218</v>
      </c>
      <c r="C414" t="s">
        <v>124</v>
      </c>
      <c r="D414" t="s">
        <v>3219</v>
      </c>
      <c r="E414" t="s">
        <v>3220</v>
      </c>
      <c r="F414" t="s">
        <v>320</v>
      </c>
      <c r="G414" t="s">
        <v>3221</v>
      </c>
      <c r="H414" t="s">
        <v>3222</v>
      </c>
      <c r="I414">
        <f t="shared" ca="1" si="24"/>
        <v>41</v>
      </c>
      <c r="J414" t="str">
        <f t="shared" ca="1" si="25"/>
        <v>40-49</v>
      </c>
      <c r="K414">
        <v>34587.1</v>
      </c>
      <c r="L414" t="str">
        <f>IF(Workforce[[#This Row],[Salary]]&lt;50000,"30k-49k",IF(Workforce[[#This Row],[Salary]]&lt;70000,"50k-69k",IF(Workforce[[#This Row],[Salary]]&lt;90000,"70k-89k","90k+")))</f>
        <v>30k-49k</v>
      </c>
      <c r="M414" t="s">
        <v>3223</v>
      </c>
      <c r="N414">
        <f t="shared" ca="1" si="26"/>
        <v>9</v>
      </c>
      <c r="O414" t="str">
        <f t="shared" ca="1" si="27"/>
        <v>Senior level</v>
      </c>
    </row>
    <row r="415" spans="1:15" x14ac:dyDescent="0.3">
      <c r="A415" t="s">
        <v>3224</v>
      </c>
      <c r="B415" t="s">
        <v>3225</v>
      </c>
      <c r="C415" t="s">
        <v>142</v>
      </c>
      <c r="D415" t="s">
        <v>3226</v>
      </c>
      <c r="E415" t="s">
        <v>3227</v>
      </c>
      <c r="F415" t="s">
        <v>2840</v>
      </c>
      <c r="G415" t="s">
        <v>3228</v>
      </c>
      <c r="H415" t="s">
        <v>3229</v>
      </c>
      <c r="I415">
        <f t="shared" ca="1" si="24"/>
        <v>25</v>
      </c>
      <c r="J415" t="str">
        <f t="shared" ca="1" si="25"/>
        <v>18-29</v>
      </c>
      <c r="K415">
        <v>50849.37</v>
      </c>
      <c r="L415" t="str">
        <f>IF(Workforce[[#This Row],[Salary]]&lt;50000,"30k-49k",IF(Workforce[[#This Row],[Salary]]&lt;70000,"50k-69k",IF(Workforce[[#This Row],[Salary]]&lt;90000,"70k-89k","90k+")))</f>
        <v>50k-69k</v>
      </c>
      <c r="M415" t="s">
        <v>3230</v>
      </c>
      <c r="N415">
        <f t="shared" ca="1" si="26"/>
        <v>10</v>
      </c>
      <c r="O415" t="str">
        <f t="shared" ca="1" si="27"/>
        <v>Senior level</v>
      </c>
    </row>
    <row r="416" spans="1:15" x14ac:dyDescent="0.3">
      <c r="A416" t="s">
        <v>3231</v>
      </c>
      <c r="B416" t="s">
        <v>3232</v>
      </c>
      <c r="C416" t="s">
        <v>231</v>
      </c>
      <c r="D416" t="s">
        <v>3233</v>
      </c>
      <c r="E416" t="s">
        <v>3234</v>
      </c>
      <c r="F416" t="s">
        <v>3235</v>
      </c>
      <c r="G416" t="s">
        <v>3236</v>
      </c>
      <c r="H416" t="s">
        <v>3237</v>
      </c>
      <c r="I416">
        <f t="shared" ca="1" si="24"/>
        <v>58</v>
      </c>
      <c r="J416" t="str">
        <f t="shared" ca="1" si="25"/>
        <v>50-59</v>
      </c>
      <c r="K416">
        <v>112813.41</v>
      </c>
      <c r="L416" t="str">
        <f>IF(Workforce[[#This Row],[Salary]]&lt;50000,"30k-49k",IF(Workforce[[#This Row],[Salary]]&lt;70000,"50k-69k",IF(Workforce[[#This Row],[Salary]]&lt;90000,"70k-89k","90k+")))</f>
        <v>90k+</v>
      </c>
      <c r="M416" t="s">
        <v>3238</v>
      </c>
      <c r="N416">
        <f t="shared" ca="1" si="26"/>
        <v>7</v>
      </c>
      <c r="O416" t="str">
        <f t="shared" ca="1" si="27"/>
        <v>Senior level</v>
      </c>
    </row>
    <row r="417" spans="1:15" x14ac:dyDescent="0.3">
      <c r="A417" t="s">
        <v>3239</v>
      </c>
      <c r="B417" t="s">
        <v>3240</v>
      </c>
      <c r="C417" t="s">
        <v>133</v>
      </c>
      <c r="D417" t="s">
        <v>3241</v>
      </c>
      <c r="E417" t="s">
        <v>3242</v>
      </c>
      <c r="F417" t="s">
        <v>823</v>
      </c>
      <c r="G417" t="s">
        <v>3243</v>
      </c>
      <c r="H417" t="s">
        <v>3244</v>
      </c>
      <c r="I417">
        <f t="shared" ca="1" si="24"/>
        <v>21</v>
      </c>
      <c r="J417" t="str">
        <f t="shared" ca="1" si="25"/>
        <v>18-29</v>
      </c>
      <c r="K417">
        <v>49305.78</v>
      </c>
      <c r="L417" t="str">
        <f>IF(Workforce[[#This Row],[Salary]]&lt;50000,"30k-49k",IF(Workforce[[#This Row],[Salary]]&lt;70000,"50k-69k",IF(Workforce[[#This Row],[Salary]]&lt;90000,"70k-89k","90k+")))</f>
        <v>30k-49k</v>
      </c>
      <c r="M417" t="s">
        <v>3245</v>
      </c>
      <c r="N417">
        <f t="shared" ca="1" si="26"/>
        <v>5</v>
      </c>
      <c r="O417" t="str">
        <f t="shared" ca="1" si="27"/>
        <v>Intermediate level</v>
      </c>
    </row>
    <row r="418" spans="1:15" x14ac:dyDescent="0.3">
      <c r="A418" t="s">
        <v>3246</v>
      </c>
      <c r="B418" t="s">
        <v>3247</v>
      </c>
      <c r="C418" t="s">
        <v>440</v>
      </c>
      <c r="D418" t="s">
        <v>3248</v>
      </c>
      <c r="E418" t="s">
        <v>3249</v>
      </c>
      <c r="F418" t="s">
        <v>251</v>
      </c>
      <c r="G418" t="s">
        <v>3250</v>
      </c>
      <c r="H418" t="s">
        <v>3251</v>
      </c>
      <c r="I418">
        <f t="shared" ca="1" si="24"/>
        <v>27</v>
      </c>
      <c r="J418" t="str">
        <f t="shared" ca="1" si="25"/>
        <v>18-29</v>
      </c>
      <c r="K418">
        <v>62030.85</v>
      </c>
      <c r="L418" t="str">
        <f>IF(Workforce[[#This Row],[Salary]]&lt;50000,"30k-49k",IF(Workforce[[#This Row],[Salary]]&lt;70000,"50k-69k",IF(Workforce[[#This Row],[Salary]]&lt;90000,"70k-89k","90k+")))</f>
        <v>50k-69k</v>
      </c>
      <c r="M418" t="s">
        <v>3252</v>
      </c>
      <c r="N418">
        <f t="shared" ca="1" si="26"/>
        <v>9</v>
      </c>
      <c r="O418" t="str">
        <f t="shared" ca="1" si="27"/>
        <v>Senior level</v>
      </c>
    </row>
    <row r="419" spans="1:15" x14ac:dyDescent="0.3">
      <c r="A419" t="s">
        <v>3253</v>
      </c>
      <c r="B419" t="s">
        <v>3254</v>
      </c>
      <c r="C419" t="s">
        <v>1159</v>
      </c>
      <c r="D419" t="s">
        <v>3255</v>
      </c>
      <c r="E419" t="s">
        <v>3256</v>
      </c>
      <c r="F419" t="s">
        <v>615</v>
      </c>
      <c r="G419" t="s">
        <v>3257</v>
      </c>
      <c r="H419" t="s">
        <v>3258</v>
      </c>
      <c r="I419">
        <f t="shared" ca="1" si="24"/>
        <v>64</v>
      </c>
      <c r="J419" t="str">
        <f t="shared" ca="1" si="25"/>
        <v>60+</v>
      </c>
      <c r="K419">
        <v>38371.94</v>
      </c>
      <c r="L419" t="str">
        <f>IF(Workforce[[#This Row],[Salary]]&lt;50000,"30k-49k",IF(Workforce[[#This Row],[Salary]]&lt;70000,"50k-69k",IF(Workforce[[#This Row],[Salary]]&lt;90000,"70k-89k","90k+")))</f>
        <v>30k-49k</v>
      </c>
      <c r="M419" t="s">
        <v>3259</v>
      </c>
      <c r="N419">
        <f t="shared" ca="1" si="26"/>
        <v>5</v>
      </c>
      <c r="O419" t="str">
        <f t="shared" ca="1" si="27"/>
        <v>Intermediate level</v>
      </c>
    </row>
    <row r="420" spans="1:15" x14ac:dyDescent="0.3">
      <c r="A420" t="s">
        <v>3260</v>
      </c>
      <c r="B420" t="s">
        <v>3261</v>
      </c>
      <c r="C420" t="s">
        <v>169</v>
      </c>
      <c r="D420" t="s">
        <v>3262</v>
      </c>
      <c r="E420" t="s">
        <v>3263</v>
      </c>
      <c r="F420" t="s">
        <v>3264</v>
      </c>
      <c r="G420" t="s">
        <v>3265</v>
      </c>
      <c r="H420" t="s">
        <v>3266</v>
      </c>
      <c r="I420">
        <f t="shared" ca="1" si="24"/>
        <v>53</v>
      </c>
      <c r="J420" t="str">
        <f t="shared" ca="1" si="25"/>
        <v>50-59</v>
      </c>
      <c r="K420">
        <v>86452.49</v>
      </c>
      <c r="L420" t="str">
        <f>IF(Workforce[[#This Row],[Salary]]&lt;50000,"30k-49k",IF(Workforce[[#This Row],[Salary]]&lt;70000,"50k-69k",IF(Workforce[[#This Row],[Salary]]&lt;90000,"70k-89k","90k+")))</f>
        <v>70k-89k</v>
      </c>
      <c r="M420" t="s">
        <v>3267</v>
      </c>
      <c r="N420">
        <f t="shared" ca="1" si="26"/>
        <v>3</v>
      </c>
      <c r="O420" t="str">
        <f t="shared" ca="1" si="27"/>
        <v>Intermediate level</v>
      </c>
    </row>
    <row r="421" spans="1:15" x14ac:dyDescent="0.3">
      <c r="A421" t="s">
        <v>3268</v>
      </c>
      <c r="B421" t="s">
        <v>3269</v>
      </c>
      <c r="C421" t="s">
        <v>17</v>
      </c>
      <c r="D421" t="s">
        <v>3270</v>
      </c>
      <c r="E421" t="s">
        <v>3271</v>
      </c>
      <c r="F421" t="s">
        <v>3272</v>
      </c>
      <c r="G421" t="s">
        <v>3273</v>
      </c>
      <c r="H421" t="s">
        <v>3274</v>
      </c>
      <c r="I421">
        <f t="shared" ca="1" si="24"/>
        <v>44</v>
      </c>
      <c r="J421" t="str">
        <f t="shared" ca="1" si="25"/>
        <v>40-49</v>
      </c>
      <c r="K421">
        <v>76216.14</v>
      </c>
      <c r="L421" t="str">
        <f>IF(Workforce[[#This Row],[Salary]]&lt;50000,"30k-49k",IF(Workforce[[#This Row],[Salary]]&lt;70000,"50k-69k",IF(Workforce[[#This Row],[Salary]]&lt;90000,"70k-89k","90k+")))</f>
        <v>70k-89k</v>
      </c>
      <c r="M421" t="s">
        <v>1520</v>
      </c>
      <c r="N421">
        <f t="shared" ca="1" si="26"/>
        <v>7</v>
      </c>
      <c r="O421" t="str">
        <f t="shared" ca="1" si="27"/>
        <v>Senior level</v>
      </c>
    </row>
    <row r="422" spans="1:15" x14ac:dyDescent="0.3">
      <c r="A422" t="s">
        <v>3275</v>
      </c>
      <c r="B422" t="s">
        <v>3276</v>
      </c>
      <c r="C422" t="s">
        <v>213</v>
      </c>
      <c r="D422" t="s">
        <v>3277</v>
      </c>
      <c r="E422" t="s">
        <v>3278</v>
      </c>
      <c r="F422" t="s">
        <v>2687</v>
      </c>
      <c r="G422" t="s">
        <v>3279</v>
      </c>
      <c r="H422" t="s">
        <v>3280</v>
      </c>
      <c r="I422">
        <f t="shared" ca="1" si="24"/>
        <v>30</v>
      </c>
      <c r="J422" t="str">
        <f t="shared" ca="1" si="25"/>
        <v>30-39</v>
      </c>
      <c r="K422">
        <v>35779.89</v>
      </c>
      <c r="L422" t="str">
        <f>IF(Workforce[[#This Row],[Salary]]&lt;50000,"30k-49k",IF(Workforce[[#This Row],[Salary]]&lt;70000,"50k-69k",IF(Workforce[[#This Row],[Salary]]&lt;90000,"70k-89k","90k+")))</f>
        <v>30k-49k</v>
      </c>
      <c r="M422" t="s">
        <v>3281</v>
      </c>
      <c r="N422">
        <f t="shared" ca="1" si="26"/>
        <v>3</v>
      </c>
      <c r="O422" t="str">
        <f t="shared" ca="1" si="27"/>
        <v>Intermediate level</v>
      </c>
    </row>
    <row r="423" spans="1:15" x14ac:dyDescent="0.3">
      <c r="A423" t="s">
        <v>3282</v>
      </c>
      <c r="B423" t="s">
        <v>3283</v>
      </c>
      <c r="C423" t="s">
        <v>160</v>
      </c>
      <c r="D423" t="s">
        <v>3284</v>
      </c>
      <c r="E423" t="s">
        <v>3285</v>
      </c>
      <c r="F423" t="s">
        <v>3071</v>
      </c>
      <c r="G423" t="s">
        <v>3286</v>
      </c>
      <c r="H423" t="s">
        <v>3287</v>
      </c>
      <c r="I423">
        <f t="shared" ca="1" si="24"/>
        <v>37</v>
      </c>
      <c r="J423" t="str">
        <f t="shared" ca="1" si="25"/>
        <v>30-39</v>
      </c>
      <c r="K423">
        <v>103188.06</v>
      </c>
      <c r="L423" t="str">
        <f>IF(Workforce[[#This Row],[Salary]]&lt;50000,"30k-49k",IF(Workforce[[#This Row],[Salary]]&lt;70000,"50k-69k",IF(Workforce[[#This Row],[Salary]]&lt;90000,"70k-89k","90k+")))</f>
        <v>90k+</v>
      </c>
      <c r="M423" t="s">
        <v>3288</v>
      </c>
      <c r="N423">
        <f t="shared" ca="1" si="26"/>
        <v>3</v>
      </c>
      <c r="O423" t="str">
        <f t="shared" ca="1" si="27"/>
        <v>Intermediate level</v>
      </c>
    </row>
    <row r="424" spans="1:15" x14ac:dyDescent="0.3">
      <c r="A424" t="s">
        <v>3289</v>
      </c>
      <c r="B424" t="s">
        <v>3290</v>
      </c>
      <c r="C424" t="s">
        <v>26</v>
      </c>
      <c r="D424" t="s">
        <v>3291</v>
      </c>
      <c r="E424" t="s">
        <v>3292</v>
      </c>
      <c r="F424" t="s">
        <v>3293</v>
      </c>
      <c r="G424" t="s">
        <v>3294</v>
      </c>
      <c r="H424" t="s">
        <v>3295</v>
      </c>
      <c r="I424">
        <f t="shared" ca="1" si="24"/>
        <v>32</v>
      </c>
      <c r="J424" t="str">
        <f t="shared" ca="1" si="25"/>
        <v>30-39</v>
      </c>
      <c r="K424">
        <v>42940.54</v>
      </c>
      <c r="L424" t="str">
        <f>IF(Workforce[[#This Row],[Salary]]&lt;50000,"30k-49k",IF(Workforce[[#This Row],[Salary]]&lt;70000,"50k-69k",IF(Workforce[[#This Row],[Salary]]&lt;90000,"70k-89k","90k+")))</f>
        <v>30k-49k</v>
      </c>
      <c r="M424" t="s">
        <v>3296</v>
      </c>
      <c r="N424">
        <f t="shared" ca="1" si="26"/>
        <v>8</v>
      </c>
      <c r="O424" t="str">
        <f t="shared" ca="1" si="27"/>
        <v>Senior level</v>
      </c>
    </row>
    <row r="425" spans="1:15" x14ac:dyDescent="0.3">
      <c r="A425" t="s">
        <v>3297</v>
      </c>
      <c r="B425" t="s">
        <v>3298</v>
      </c>
      <c r="C425" t="s">
        <v>1223</v>
      </c>
      <c r="D425" t="s">
        <v>3299</v>
      </c>
      <c r="E425" t="s">
        <v>3300</v>
      </c>
      <c r="F425" t="s">
        <v>2305</v>
      </c>
      <c r="G425" t="s">
        <v>3301</v>
      </c>
      <c r="H425" t="s">
        <v>3302</v>
      </c>
      <c r="I425">
        <f t="shared" ca="1" si="24"/>
        <v>29</v>
      </c>
      <c r="J425" t="str">
        <f t="shared" ca="1" si="25"/>
        <v>18-29</v>
      </c>
      <c r="K425">
        <v>119794.72</v>
      </c>
      <c r="L425" t="str">
        <f>IF(Workforce[[#This Row],[Salary]]&lt;50000,"30k-49k",IF(Workforce[[#This Row],[Salary]]&lt;70000,"50k-69k",IF(Workforce[[#This Row],[Salary]]&lt;90000,"70k-89k","90k+")))</f>
        <v>90k+</v>
      </c>
      <c r="M425" t="s">
        <v>3303</v>
      </c>
      <c r="N425">
        <f t="shared" ca="1" si="26"/>
        <v>3</v>
      </c>
      <c r="O425" t="str">
        <f t="shared" ca="1" si="27"/>
        <v>Intermediate level</v>
      </c>
    </row>
    <row r="426" spans="1:15" x14ac:dyDescent="0.3">
      <c r="A426" t="s">
        <v>3304</v>
      </c>
      <c r="B426" t="s">
        <v>3305</v>
      </c>
      <c r="C426" t="s">
        <v>213</v>
      </c>
      <c r="D426" t="s">
        <v>3306</v>
      </c>
      <c r="E426" t="s">
        <v>3307</v>
      </c>
      <c r="F426" t="s">
        <v>3308</v>
      </c>
      <c r="G426" t="s">
        <v>3309</v>
      </c>
      <c r="H426" t="s">
        <v>3310</v>
      </c>
      <c r="I426">
        <f t="shared" ca="1" si="24"/>
        <v>50</v>
      </c>
      <c r="J426" t="str">
        <f t="shared" ca="1" si="25"/>
        <v>50-59</v>
      </c>
      <c r="K426">
        <v>99101.26</v>
      </c>
      <c r="L426" t="str">
        <f>IF(Workforce[[#This Row],[Salary]]&lt;50000,"30k-49k",IF(Workforce[[#This Row],[Salary]]&lt;70000,"50k-69k",IF(Workforce[[#This Row],[Salary]]&lt;90000,"70k-89k","90k+")))</f>
        <v>90k+</v>
      </c>
      <c r="M426" t="s">
        <v>3311</v>
      </c>
      <c r="N426">
        <f t="shared" ca="1" si="26"/>
        <v>3</v>
      </c>
      <c r="O426" t="str">
        <f t="shared" ca="1" si="27"/>
        <v>Intermediate level</v>
      </c>
    </row>
    <row r="427" spans="1:15" x14ac:dyDescent="0.3">
      <c r="A427" t="s">
        <v>3312</v>
      </c>
      <c r="B427" t="s">
        <v>3313</v>
      </c>
      <c r="C427" t="s">
        <v>844</v>
      </c>
      <c r="D427" t="s">
        <v>3314</v>
      </c>
      <c r="E427" t="s">
        <v>3315</v>
      </c>
      <c r="F427" t="s">
        <v>100</v>
      </c>
      <c r="G427" t="s">
        <v>3316</v>
      </c>
      <c r="H427" t="s">
        <v>3317</v>
      </c>
      <c r="I427">
        <f t="shared" ca="1" si="24"/>
        <v>62</v>
      </c>
      <c r="J427" t="str">
        <f t="shared" ca="1" si="25"/>
        <v>60+</v>
      </c>
      <c r="K427">
        <v>107807.6</v>
      </c>
      <c r="L427" t="str">
        <f>IF(Workforce[[#This Row],[Salary]]&lt;50000,"30k-49k",IF(Workforce[[#This Row],[Salary]]&lt;70000,"50k-69k",IF(Workforce[[#This Row],[Salary]]&lt;90000,"70k-89k","90k+")))</f>
        <v>90k+</v>
      </c>
      <c r="M427" t="s">
        <v>3318</v>
      </c>
      <c r="N427">
        <f t="shared" ca="1" si="26"/>
        <v>3</v>
      </c>
      <c r="O427" t="str">
        <f t="shared" ca="1" si="27"/>
        <v>Intermediate level</v>
      </c>
    </row>
    <row r="428" spans="1:15" x14ac:dyDescent="0.3">
      <c r="A428" t="s">
        <v>3319</v>
      </c>
      <c r="B428" t="s">
        <v>3320</v>
      </c>
      <c r="C428" t="s">
        <v>539</v>
      </c>
      <c r="D428" t="s">
        <v>3321</v>
      </c>
      <c r="E428" t="s">
        <v>3322</v>
      </c>
      <c r="F428" t="s">
        <v>1153</v>
      </c>
      <c r="G428" t="s">
        <v>3323</v>
      </c>
      <c r="H428" t="s">
        <v>3324</v>
      </c>
      <c r="I428">
        <f t="shared" ca="1" si="24"/>
        <v>30</v>
      </c>
      <c r="J428" t="str">
        <f t="shared" ca="1" si="25"/>
        <v>30-39</v>
      </c>
      <c r="K428">
        <v>64384.6</v>
      </c>
      <c r="L428" t="str">
        <f>IF(Workforce[[#This Row],[Salary]]&lt;50000,"30k-49k",IF(Workforce[[#This Row],[Salary]]&lt;70000,"50k-69k",IF(Workforce[[#This Row],[Salary]]&lt;90000,"70k-89k","90k+")))</f>
        <v>50k-69k</v>
      </c>
      <c r="M428" t="s">
        <v>1213</v>
      </c>
      <c r="N428">
        <f t="shared" ca="1" si="26"/>
        <v>3</v>
      </c>
      <c r="O428" t="str">
        <f t="shared" ca="1" si="27"/>
        <v>Intermediate level</v>
      </c>
    </row>
    <row r="429" spans="1:15" x14ac:dyDescent="0.3">
      <c r="A429" t="s">
        <v>3325</v>
      </c>
      <c r="B429" t="s">
        <v>3326</v>
      </c>
      <c r="C429" t="s">
        <v>266</v>
      </c>
      <c r="D429" t="s">
        <v>3327</v>
      </c>
      <c r="E429" t="s">
        <v>3328</v>
      </c>
      <c r="F429" t="s">
        <v>3329</v>
      </c>
      <c r="G429" t="s">
        <v>3330</v>
      </c>
      <c r="H429" t="s">
        <v>3331</v>
      </c>
      <c r="I429">
        <f t="shared" ca="1" si="24"/>
        <v>50</v>
      </c>
      <c r="J429" t="str">
        <f t="shared" ca="1" si="25"/>
        <v>50-59</v>
      </c>
      <c r="K429">
        <v>103858.36</v>
      </c>
      <c r="L429" t="str">
        <f>IF(Workforce[[#This Row],[Salary]]&lt;50000,"30k-49k",IF(Workforce[[#This Row],[Salary]]&lt;70000,"50k-69k",IF(Workforce[[#This Row],[Salary]]&lt;90000,"70k-89k","90k+")))</f>
        <v>90k+</v>
      </c>
      <c r="M429" t="s">
        <v>3332</v>
      </c>
      <c r="N429">
        <f t="shared" ca="1" si="26"/>
        <v>9</v>
      </c>
      <c r="O429" t="str">
        <f t="shared" ca="1" si="27"/>
        <v>Senior level</v>
      </c>
    </row>
    <row r="430" spans="1:15" x14ac:dyDescent="0.3">
      <c r="A430" t="s">
        <v>3333</v>
      </c>
      <c r="B430" t="s">
        <v>3334</v>
      </c>
      <c r="C430" t="s">
        <v>160</v>
      </c>
      <c r="D430" t="s">
        <v>3335</v>
      </c>
      <c r="E430" t="s">
        <v>3336</v>
      </c>
      <c r="F430" t="s">
        <v>3337</v>
      </c>
      <c r="G430" t="s">
        <v>3338</v>
      </c>
      <c r="H430" t="s">
        <v>3339</v>
      </c>
      <c r="I430">
        <f t="shared" ca="1" si="24"/>
        <v>41</v>
      </c>
      <c r="J430" t="str">
        <f t="shared" ca="1" si="25"/>
        <v>40-49</v>
      </c>
      <c r="K430">
        <v>58397.78</v>
      </c>
      <c r="L430" t="str">
        <f>IF(Workforce[[#This Row],[Salary]]&lt;50000,"30k-49k",IF(Workforce[[#This Row],[Salary]]&lt;70000,"50k-69k",IF(Workforce[[#This Row],[Salary]]&lt;90000,"70k-89k","90k+")))</f>
        <v>50k-69k</v>
      </c>
      <c r="M430" t="s">
        <v>3340</v>
      </c>
      <c r="N430">
        <f t="shared" ca="1" si="26"/>
        <v>7</v>
      </c>
      <c r="O430" t="str">
        <f t="shared" ca="1" si="27"/>
        <v>Senior level</v>
      </c>
    </row>
    <row r="431" spans="1:15" x14ac:dyDescent="0.3">
      <c r="A431" t="s">
        <v>3341</v>
      </c>
      <c r="B431" t="s">
        <v>3342</v>
      </c>
      <c r="C431" t="s">
        <v>151</v>
      </c>
      <c r="D431" t="s">
        <v>3343</v>
      </c>
      <c r="E431" t="s">
        <v>3344</v>
      </c>
      <c r="F431" t="s">
        <v>3345</v>
      </c>
      <c r="G431" t="s">
        <v>3346</v>
      </c>
      <c r="H431" t="s">
        <v>3347</v>
      </c>
      <c r="I431">
        <f t="shared" ca="1" si="24"/>
        <v>50</v>
      </c>
      <c r="J431" t="str">
        <f t="shared" ca="1" si="25"/>
        <v>50-59</v>
      </c>
      <c r="K431">
        <v>43064.58</v>
      </c>
      <c r="L431" t="str">
        <f>IF(Workforce[[#This Row],[Salary]]&lt;50000,"30k-49k",IF(Workforce[[#This Row],[Salary]]&lt;70000,"50k-69k",IF(Workforce[[#This Row],[Salary]]&lt;90000,"70k-89k","90k+")))</f>
        <v>30k-49k</v>
      </c>
      <c r="M431" t="s">
        <v>3348</v>
      </c>
      <c r="N431">
        <f t="shared" ca="1" si="26"/>
        <v>6</v>
      </c>
      <c r="O431" t="str">
        <f t="shared" ca="1" si="27"/>
        <v>Intermediate level</v>
      </c>
    </row>
    <row r="432" spans="1:15" x14ac:dyDescent="0.3">
      <c r="A432" t="s">
        <v>3349</v>
      </c>
      <c r="B432" t="s">
        <v>3350</v>
      </c>
      <c r="C432" t="s">
        <v>160</v>
      </c>
      <c r="D432" t="s">
        <v>3351</v>
      </c>
      <c r="E432" t="s">
        <v>3352</v>
      </c>
      <c r="F432" t="s">
        <v>1442</v>
      </c>
      <c r="G432" t="s">
        <v>3353</v>
      </c>
      <c r="H432" t="s">
        <v>3354</v>
      </c>
      <c r="I432">
        <f t="shared" ca="1" si="24"/>
        <v>38</v>
      </c>
      <c r="J432" t="str">
        <f t="shared" ca="1" si="25"/>
        <v>30-39</v>
      </c>
      <c r="K432">
        <v>63763.97</v>
      </c>
      <c r="L432" t="str">
        <f>IF(Workforce[[#This Row],[Salary]]&lt;50000,"30k-49k",IF(Workforce[[#This Row],[Salary]]&lt;70000,"50k-69k",IF(Workforce[[#This Row],[Salary]]&lt;90000,"70k-89k","90k+")))</f>
        <v>50k-69k</v>
      </c>
      <c r="M432" t="s">
        <v>3355</v>
      </c>
      <c r="N432">
        <f t="shared" ca="1" si="26"/>
        <v>6</v>
      </c>
      <c r="O432" t="str">
        <f t="shared" ca="1" si="27"/>
        <v>Intermediate level</v>
      </c>
    </row>
    <row r="433" spans="1:15" x14ac:dyDescent="0.3">
      <c r="A433" t="s">
        <v>3356</v>
      </c>
      <c r="B433" t="s">
        <v>3357</v>
      </c>
      <c r="C433" t="s">
        <v>257</v>
      </c>
      <c r="D433" t="s">
        <v>3358</v>
      </c>
      <c r="E433" t="s">
        <v>3359</v>
      </c>
      <c r="F433" t="s">
        <v>3360</v>
      </c>
      <c r="G433" t="s">
        <v>3361</v>
      </c>
      <c r="H433" t="s">
        <v>3362</v>
      </c>
      <c r="I433">
        <f t="shared" ca="1" si="24"/>
        <v>21</v>
      </c>
      <c r="J433" t="str">
        <f t="shared" ca="1" si="25"/>
        <v>18-29</v>
      </c>
      <c r="K433">
        <v>70906.47</v>
      </c>
      <c r="L433" t="str">
        <f>IF(Workforce[[#This Row],[Salary]]&lt;50000,"30k-49k",IF(Workforce[[#This Row],[Salary]]&lt;70000,"50k-69k",IF(Workforce[[#This Row],[Salary]]&lt;90000,"70k-89k","90k+")))</f>
        <v>70k-89k</v>
      </c>
      <c r="M433" t="s">
        <v>3363</v>
      </c>
      <c r="N433">
        <f t="shared" ca="1" si="26"/>
        <v>1</v>
      </c>
      <c r="O433" t="str">
        <f t="shared" ca="1" si="27"/>
        <v>Beginner</v>
      </c>
    </row>
    <row r="434" spans="1:15" x14ac:dyDescent="0.3">
      <c r="A434" t="s">
        <v>3364</v>
      </c>
      <c r="B434" t="s">
        <v>3365</v>
      </c>
      <c r="C434" t="s">
        <v>440</v>
      </c>
      <c r="D434" t="s">
        <v>3366</v>
      </c>
      <c r="E434" t="s">
        <v>3367</v>
      </c>
      <c r="F434" t="s">
        <v>1525</v>
      </c>
      <c r="G434" t="s">
        <v>2195</v>
      </c>
      <c r="H434" t="s">
        <v>3368</v>
      </c>
      <c r="I434">
        <f t="shared" ca="1" si="24"/>
        <v>50</v>
      </c>
      <c r="J434" t="str">
        <f t="shared" ca="1" si="25"/>
        <v>50-59</v>
      </c>
      <c r="K434">
        <v>69281.14</v>
      </c>
      <c r="L434" t="str">
        <f>IF(Workforce[[#This Row],[Salary]]&lt;50000,"30k-49k",IF(Workforce[[#This Row],[Salary]]&lt;70000,"50k-69k",IF(Workforce[[#This Row],[Salary]]&lt;90000,"70k-89k","90k+")))</f>
        <v>50k-69k</v>
      </c>
      <c r="M434" t="s">
        <v>3369</v>
      </c>
      <c r="N434">
        <f t="shared" ca="1" si="26"/>
        <v>1</v>
      </c>
      <c r="O434" t="str">
        <f t="shared" ca="1" si="27"/>
        <v>Beginner</v>
      </c>
    </row>
    <row r="435" spans="1:15" x14ac:dyDescent="0.3">
      <c r="A435" t="s">
        <v>3370</v>
      </c>
      <c r="B435" t="s">
        <v>3371</v>
      </c>
      <c r="C435" t="s">
        <v>400</v>
      </c>
      <c r="D435" t="s">
        <v>3372</v>
      </c>
      <c r="E435" t="s">
        <v>3373</v>
      </c>
      <c r="F435" t="s">
        <v>3183</v>
      </c>
      <c r="G435" t="s">
        <v>3374</v>
      </c>
      <c r="H435" t="s">
        <v>3375</v>
      </c>
      <c r="I435">
        <f t="shared" ca="1" si="24"/>
        <v>23</v>
      </c>
      <c r="J435" t="str">
        <f t="shared" ca="1" si="25"/>
        <v>18-29</v>
      </c>
      <c r="K435">
        <v>49855.11</v>
      </c>
      <c r="L435" t="str">
        <f>IF(Workforce[[#This Row],[Salary]]&lt;50000,"30k-49k",IF(Workforce[[#This Row],[Salary]]&lt;70000,"50k-69k",IF(Workforce[[#This Row],[Salary]]&lt;90000,"70k-89k","90k+")))</f>
        <v>30k-49k</v>
      </c>
      <c r="M435" t="s">
        <v>3376</v>
      </c>
      <c r="N435">
        <f t="shared" ca="1" si="26"/>
        <v>0</v>
      </c>
      <c r="O435" t="str">
        <f t="shared" ca="1" si="27"/>
        <v>Beginner</v>
      </c>
    </row>
    <row r="436" spans="1:15" x14ac:dyDescent="0.3">
      <c r="A436" t="s">
        <v>3377</v>
      </c>
      <c r="B436" t="s">
        <v>3378</v>
      </c>
      <c r="C436" t="s">
        <v>1159</v>
      </c>
      <c r="D436" t="s">
        <v>3379</v>
      </c>
      <c r="E436" t="s">
        <v>3380</v>
      </c>
      <c r="F436" t="s">
        <v>3381</v>
      </c>
      <c r="G436" t="s">
        <v>3382</v>
      </c>
      <c r="H436" t="s">
        <v>3383</v>
      </c>
      <c r="I436">
        <f t="shared" ca="1" si="24"/>
        <v>31</v>
      </c>
      <c r="J436" t="str">
        <f t="shared" ca="1" si="25"/>
        <v>30-39</v>
      </c>
      <c r="K436">
        <v>75488.41</v>
      </c>
      <c r="L436" t="str">
        <f>IF(Workforce[[#This Row],[Salary]]&lt;50000,"30k-49k",IF(Workforce[[#This Row],[Salary]]&lt;70000,"50k-69k",IF(Workforce[[#This Row],[Salary]]&lt;90000,"70k-89k","90k+")))</f>
        <v>70k-89k</v>
      </c>
      <c r="M436" t="s">
        <v>3384</v>
      </c>
      <c r="N436">
        <f t="shared" ca="1" si="26"/>
        <v>6</v>
      </c>
      <c r="O436" t="str">
        <f t="shared" ca="1" si="27"/>
        <v>Intermediate level</v>
      </c>
    </row>
    <row r="437" spans="1:15" x14ac:dyDescent="0.3">
      <c r="A437" t="s">
        <v>3385</v>
      </c>
      <c r="B437" t="s">
        <v>3386</v>
      </c>
      <c r="C437" t="s">
        <v>653</v>
      </c>
      <c r="D437" t="s">
        <v>3387</v>
      </c>
      <c r="E437" t="s">
        <v>3388</v>
      </c>
      <c r="F437" t="s">
        <v>3389</v>
      </c>
      <c r="G437" t="s">
        <v>3390</v>
      </c>
      <c r="H437" t="s">
        <v>3391</v>
      </c>
      <c r="I437">
        <f t="shared" ca="1" si="24"/>
        <v>42</v>
      </c>
      <c r="J437" t="str">
        <f t="shared" ca="1" si="25"/>
        <v>40-49</v>
      </c>
      <c r="K437">
        <v>68316.639999999999</v>
      </c>
      <c r="L437" t="str">
        <f>IF(Workforce[[#This Row],[Salary]]&lt;50000,"30k-49k",IF(Workforce[[#This Row],[Salary]]&lt;70000,"50k-69k",IF(Workforce[[#This Row],[Salary]]&lt;90000,"70k-89k","90k+")))</f>
        <v>50k-69k</v>
      </c>
      <c r="M437" t="s">
        <v>3392</v>
      </c>
      <c r="N437">
        <f t="shared" ca="1" si="26"/>
        <v>7</v>
      </c>
      <c r="O437" t="str">
        <f t="shared" ca="1" si="27"/>
        <v>Senior level</v>
      </c>
    </row>
    <row r="438" spans="1:15" x14ac:dyDescent="0.3">
      <c r="A438" t="s">
        <v>3393</v>
      </c>
      <c r="B438" t="s">
        <v>3394</v>
      </c>
      <c r="C438" t="s">
        <v>44</v>
      </c>
      <c r="D438" t="s">
        <v>3395</v>
      </c>
      <c r="E438" t="s">
        <v>3396</v>
      </c>
      <c r="F438" t="s">
        <v>623</v>
      </c>
      <c r="G438" t="s">
        <v>3397</v>
      </c>
      <c r="H438" t="s">
        <v>3398</v>
      </c>
      <c r="I438">
        <f t="shared" ca="1" si="24"/>
        <v>20</v>
      </c>
      <c r="J438" t="str">
        <f t="shared" ca="1" si="25"/>
        <v>18-29</v>
      </c>
      <c r="K438">
        <v>111280.32000000001</v>
      </c>
      <c r="L438" t="str">
        <f>IF(Workforce[[#This Row],[Salary]]&lt;50000,"30k-49k",IF(Workforce[[#This Row],[Salary]]&lt;70000,"50k-69k",IF(Workforce[[#This Row],[Salary]]&lt;90000,"70k-89k","90k+")))</f>
        <v>90k+</v>
      </c>
      <c r="M438" t="s">
        <v>3399</v>
      </c>
      <c r="N438">
        <f t="shared" ca="1" si="26"/>
        <v>5</v>
      </c>
      <c r="O438" t="str">
        <f t="shared" ca="1" si="27"/>
        <v>Intermediate level</v>
      </c>
    </row>
    <row r="439" spans="1:15" x14ac:dyDescent="0.3">
      <c r="A439" t="s">
        <v>3400</v>
      </c>
      <c r="B439" t="s">
        <v>3401</v>
      </c>
      <c r="C439" t="s">
        <v>222</v>
      </c>
      <c r="D439" t="s">
        <v>3402</v>
      </c>
      <c r="E439" t="s">
        <v>3403</v>
      </c>
      <c r="F439" t="s">
        <v>3404</v>
      </c>
      <c r="G439" t="s">
        <v>3405</v>
      </c>
      <c r="H439" t="s">
        <v>3406</v>
      </c>
      <c r="I439">
        <f t="shared" ca="1" si="24"/>
        <v>21</v>
      </c>
      <c r="J439" t="str">
        <f t="shared" ca="1" si="25"/>
        <v>18-29</v>
      </c>
      <c r="K439">
        <v>104727.97</v>
      </c>
      <c r="L439" t="str">
        <f>IF(Workforce[[#This Row],[Salary]]&lt;50000,"30k-49k",IF(Workforce[[#This Row],[Salary]]&lt;70000,"50k-69k",IF(Workforce[[#This Row],[Salary]]&lt;90000,"70k-89k","90k+")))</f>
        <v>90k+</v>
      </c>
      <c r="M439" t="s">
        <v>3407</v>
      </c>
      <c r="N439">
        <f t="shared" ca="1" si="26"/>
        <v>5</v>
      </c>
      <c r="O439" t="str">
        <f t="shared" ca="1" si="27"/>
        <v>Intermediate level</v>
      </c>
    </row>
    <row r="440" spans="1:15" x14ac:dyDescent="0.3">
      <c r="A440" t="s">
        <v>3408</v>
      </c>
      <c r="B440" t="s">
        <v>3409</v>
      </c>
      <c r="C440" t="s">
        <v>653</v>
      </c>
      <c r="D440" t="s">
        <v>3410</v>
      </c>
      <c r="E440" t="s">
        <v>3411</v>
      </c>
      <c r="F440" t="s">
        <v>3412</v>
      </c>
      <c r="G440" t="s">
        <v>3413</v>
      </c>
      <c r="H440" t="s">
        <v>3414</v>
      </c>
      <c r="I440">
        <f t="shared" ca="1" si="24"/>
        <v>29</v>
      </c>
      <c r="J440" t="str">
        <f t="shared" ca="1" si="25"/>
        <v>18-29</v>
      </c>
      <c r="K440">
        <v>33532.31</v>
      </c>
      <c r="L440" t="str">
        <f>IF(Workforce[[#This Row],[Salary]]&lt;50000,"30k-49k",IF(Workforce[[#This Row],[Salary]]&lt;70000,"50k-69k",IF(Workforce[[#This Row],[Salary]]&lt;90000,"70k-89k","90k+")))</f>
        <v>30k-49k</v>
      </c>
      <c r="M440" t="s">
        <v>3415</v>
      </c>
      <c r="N440">
        <f t="shared" ca="1" si="26"/>
        <v>5</v>
      </c>
      <c r="O440" t="str">
        <f t="shared" ca="1" si="27"/>
        <v>Intermediate level</v>
      </c>
    </row>
    <row r="441" spans="1:15" x14ac:dyDescent="0.3">
      <c r="A441" t="s">
        <v>3416</v>
      </c>
      <c r="B441" t="s">
        <v>3417</v>
      </c>
      <c r="C441" t="s">
        <v>400</v>
      </c>
      <c r="D441" t="s">
        <v>3418</v>
      </c>
      <c r="E441" t="s">
        <v>3419</v>
      </c>
      <c r="F441" t="s">
        <v>2217</v>
      </c>
      <c r="G441" t="s">
        <v>3420</v>
      </c>
      <c r="H441" t="s">
        <v>3421</v>
      </c>
      <c r="I441">
        <f t="shared" ca="1" si="24"/>
        <v>54</v>
      </c>
      <c r="J441" t="str">
        <f t="shared" ca="1" si="25"/>
        <v>50-59</v>
      </c>
      <c r="K441">
        <v>94307.53</v>
      </c>
      <c r="L441" t="str">
        <f>IF(Workforce[[#This Row],[Salary]]&lt;50000,"30k-49k",IF(Workforce[[#This Row],[Salary]]&lt;70000,"50k-69k",IF(Workforce[[#This Row],[Salary]]&lt;90000,"70k-89k","90k+")))</f>
        <v>90k+</v>
      </c>
      <c r="M441" t="s">
        <v>3422</v>
      </c>
      <c r="N441">
        <f t="shared" ca="1" si="26"/>
        <v>9</v>
      </c>
      <c r="O441" t="str">
        <f t="shared" ca="1" si="27"/>
        <v>Senior level</v>
      </c>
    </row>
    <row r="442" spans="1:15" x14ac:dyDescent="0.3">
      <c r="A442" t="s">
        <v>3423</v>
      </c>
      <c r="B442" t="s">
        <v>3424</v>
      </c>
      <c r="C442" t="s">
        <v>284</v>
      </c>
      <c r="D442" t="s">
        <v>3425</v>
      </c>
      <c r="E442" t="s">
        <v>3426</v>
      </c>
      <c r="F442" t="s">
        <v>443</v>
      </c>
      <c r="G442" t="s">
        <v>2417</v>
      </c>
      <c r="H442" t="s">
        <v>3427</v>
      </c>
      <c r="I442">
        <f t="shared" ca="1" si="24"/>
        <v>53</v>
      </c>
      <c r="J442" t="str">
        <f t="shared" ca="1" si="25"/>
        <v>50-59</v>
      </c>
      <c r="K442">
        <v>84875.199999999997</v>
      </c>
      <c r="L442" t="str">
        <f>IF(Workforce[[#This Row],[Salary]]&lt;50000,"30k-49k",IF(Workforce[[#This Row],[Salary]]&lt;70000,"50k-69k",IF(Workforce[[#This Row],[Salary]]&lt;90000,"70k-89k","90k+")))</f>
        <v>70k-89k</v>
      </c>
      <c r="M442" t="s">
        <v>3428</v>
      </c>
      <c r="N442">
        <f t="shared" ca="1" si="26"/>
        <v>5</v>
      </c>
      <c r="O442" t="str">
        <f t="shared" ca="1" si="27"/>
        <v>Intermediate level</v>
      </c>
    </row>
    <row r="443" spans="1:15" x14ac:dyDescent="0.3">
      <c r="A443" t="s">
        <v>3429</v>
      </c>
      <c r="B443" t="s">
        <v>3430</v>
      </c>
      <c r="C443" t="s">
        <v>178</v>
      </c>
      <c r="D443" t="s">
        <v>3431</v>
      </c>
      <c r="E443" t="s">
        <v>3432</v>
      </c>
      <c r="F443" t="s">
        <v>3433</v>
      </c>
      <c r="G443" t="s">
        <v>3434</v>
      </c>
      <c r="H443" t="s">
        <v>3435</v>
      </c>
      <c r="I443">
        <f t="shared" ca="1" si="24"/>
        <v>51</v>
      </c>
      <c r="J443" t="str">
        <f t="shared" ca="1" si="25"/>
        <v>50-59</v>
      </c>
      <c r="K443">
        <v>45060.36</v>
      </c>
      <c r="L443" t="str">
        <f>IF(Workforce[[#This Row],[Salary]]&lt;50000,"30k-49k",IF(Workforce[[#This Row],[Salary]]&lt;70000,"50k-69k",IF(Workforce[[#This Row],[Salary]]&lt;90000,"70k-89k","90k+")))</f>
        <v>30k-49k</v>
      </c>
      <c r="M443" t="s">
        <v>3436</v>
      </c>
      <c r="N443">
        <f t="shared" ca="1" si="26"/>
        <v>6</v>
      </c>
      <c r="O443" t="str">
        <f t="shared" ca="1" si="27"/>
        <v>Intermediate level</v>
      </c>
    </row>
    <row r="444" spans="1:15" x14ac:dyDescent="0.3">
      <c r="A444" t="s">
        <v>3437</v>
      </c>
      <c r="B444" t="s">
        <v>3438</v>
      </c>
      <c r="C444" t="s">
        <v>457</v>
      </c>
      <c r="D444" t="s">
        <v>3439</v>
      </c>
      <c r="E444" t="s">
        <v>3440</v>
      </c>
      <c r="F444" t="s">
        <v>3441</v>
      </c>
      <c r="G444" t="s">
        <v>3442</v>
      </c>
      <c r="H444" t="s">
        <v>3443</v>
      </c>
      <c r="I444">
        <f t="shared" ca="1" si="24"/>
        <v>45</v>
      </c>
      <c r="J444" t="str">
        <f t="shared" ca="1" si="25"/>
        <v>40-49</v>
      </c>
      <c r="K444">
        <v>65742.06</v>
      </c>
      <c r="L444" t="str">
        <f>IF(Workforce[[#This Row],[Salary]]&lt;50000,"30k-49k",IF(Workforce[[#This Row],[Salary]]&lt;70000,"50k-69k",IF(Workforce[[#This Row],[Salary]]&lt;90000,"70k-89k","90k+")))</f>
        <v>50k-69k</v>
      </c>
      <c r="M444" t="s">
        <v>3444</v>
      </c>
      <c r="N444">
        <f t="shared" ca="1" si="26"/>
        <v>1</v>
      </c>
      <c r="O444" t="str">
        <f t="shared" ca="1" si="27"/>
        <v>Beginner</v>
      </c>
    </row>
    <row r="445" spans="1:15" x14ac:dyDescent="0.3">
      <c r="A445" t="s">
        <v>3445</v>
      </c>
      <c r="B445" t="s">
        <v>3446</v>
      </c>
      <c r="C445" t="s">
        <v>757</v>
      </c>
      <c r="D445" t="s">
        <v>3447</v>
      </c>
      <c r="E445" t="s">
        <v>3448</v>
      </c>
      <c r="F445" t="s">
        <v>1549</v>
      </c>
      <c r="G445" t="s">
        <v>3449</v>
      </c>
      <c r="H445" t="s">
        <v>3450</v>
      </c>
      <c r="I445">
        <f t="shared" ca="1" si="24"/>
        <v>64</v>
      </c>
      <c r="J445" t="str">
        <f t="shared" ca="1" si="25"/>
        <v>60+</v>
      </c>
      <c r="K445">
        <v>46541.43</v>
      </c>
      <c r="L445" t="str">
        <f>IF(Workforce[[#This Row],[Salary]]&lt;50000,"30k-49k",IF(Workforce[[#This Row],[Salary]]&lt;70000,"50k-69k",IF(Workforce[[#This Row],[Salary]]&lt;90000,"70k-89k","90k+")))</f>
        <v>30k-49k</v>
      </c>
      <c r="M445" t="s">
        <v>3451</v>
      </c>
      <c r="N445">
        <f t="shared" ca="1" si="26"/>
        <v>3</v>
      </c>
      <c r="O445" t="str">
        <f t="shared" ca="1" si="27"/>
        <v>Intermediate level</v>
      </c>
    </row>
    <row r="446" spans="1:15" x14ac:dyDescent="0.3">
      <c r="A446" t="s">
        <v>3452</v>
      </c>
      <c r="B446" t="s">
        <v>3453</v>
      </c>
      <c r="C446" t="s">
        <v>97</v>
      </c>
      <c r="D446" t="s">
        <v>3454</v>
      </c>
      <c r="E446" t="s">
        <v>3455</v>
      </c>
      <c r="F446" t="s">
        <v>3456</v>
      </c>
      <c r="G446" t="s">
        <v>3457</v>
      </c>
      <c r="H446" t="s">
        <v>3458</v>
      </c>
      <c r="I446">
        <f t="shared" ca="1" si="24"/>
        <v>44</v>
      </c>
      <c r="J446" t="str">
        <f t="shared" ca="1" si="25"/>
        <v>40-49</v>
      </c>
      <c r="K446">
        <v>81503.11</v>
      </c>
      <c r="L446" t="str">
        <f>IF(Workforce[[#This Row],[Salary]]&lt;50000,"30k-49k",IF(Workforce[[#This Row],[Salary]]&lt;70000,"50k-69k",IF(Workforce[[#This Row],[Salary]]&lt;90000,"70k-89k","90k+")))</f>
        <v>70k-89k</v>
      </c>
      <c r="M446" t="s">
        <v>3459</v>
      </c>
      <c r="N446">
        <f t="shared" ca="1" si="26"/>
        <v>2</v>
      </c>
      <c r="O446" t="str">
        <f t="shared" ca="1" si="27"/>
        <v>Beginner</v>
      </c>
    </row>
    <row r="447" spans="1:15" x14ac:dyDescent="0.3">
      <c r="A447" t="s">
        <v>3460</v>
      </c>
      <c r="B447" t="s">
        <v>3461</v>
      </c>
      <c r="C447" t="s">
        <v>580</v>
      </c>
      <c r="D447" t="s">
        <v>3462</v>
      </c>
      <c r="E447" t="s">
        <v>3463</v>
      </c>
      <c r="F447" t="s">
        <v>3464</v>
      </c>
      <c r="G447" t="s">
        <v>3465</v>
      </c>
      <c r="H447" t="s">
        <v>3466</v>
      </c>
      <c r="I447">
        <f t="shared" ca="1" si="24"/>
        <v>51</v>
      </c>
      <c r="J447" t="str">
        <f t="shared" ca="1" si="25"/>
        <v>50-59</v>
      </c>
      <c r="K447">
        <v>32018.21</v>
      </c>
      <c r="L447" t="str">
        <f>IF(Workforce[[#This Row],[Salary]]&lt;50000,"30k-49k",IF(Workforce[[#This Row],[Salary]]&lt;70000,"50k-69k",IF(Workforce[[#This Row],[Salary]]&lt;90000,"70k-89k","90k+")))</f>
        <v>30k-49k</v>
      </c>
      <c r="M447" t="s">
        <v>3467</v>
      </c>
      <c r="N447">
        <f t="shared" ca="1" si="26"/>
        <v>6</v>
      </c>
      <c r="O447" t="str">
        <f t="shared" ca="1" si="27"/>
        <v>Intermediate level</v>
      </c>
    </row>
    <row r="448" spans="1:15" x14ac:dyDescent="0.3">
      <c r="A448" t="s">
        <v>3468</v>
      </c>
      <c r="B448" t="s">
        <v>3469</v>
      </c>
      <c r="C448" t="s">
        <v>44</v>
      </c>
      <c r="D448" t="s">
        <v>3470</v>
      </c>
      <c r="E448" t="s">
        <v>3471</v>
      </c>
      <c r="F448" t="s">
        <v>1973</v>
      </c>
      <c r="G448" t="s">
        <v>3472</v>
      </c>
      <c r="H448" t="s">
        <v>3473</v>
      </c>
      <c r="I448">
        <f t="shared" ca="1" si="24"/>
        <v>36</v>
      </c>
      <c r="J448" t="str">
        <f t="shared" ca="1" si="25"/>
        <v>30-39</v>
      </c>
      <c r="K448">
        <v>63081.07</v>
      </c>
      <c r="L448" t="str">
        <f>IF(Workforce[[#This Row],[Salary]]&lt;50000,"30k-49k",IF(Workforce[[#This Row],[Salary]]&lt;70000,"50k-69k",IF(Workforce[[#This Row],[Salary]]&lt;90000,"70k-89k","90k+")))</f>
        <v>50k-69k</v>
      </c>
      <c r="M448" t="s">
        <v>3474</v>
      </c>
      <c r="N448">
        <f t="shared" ca="1" si="26"/>
        <v>9</v>
      </c>
      <c r="O448" t="str">
        <f t="shared" ca="1" si="27"/>
        <v>Senior level</v>
      </c>
    </row>
    <row r="449" spans="1:15" x14ac:dyDescent="0.3">
      <c r="A449" t="s">
        <v>3475</v>
      </c>
      <c r="B449" t="s">
        <v>3476</v>
      </c>
      <c r="C449" t="s">
        <v>284</v>
      </c>
      <c r="D449" t="s">
        <v>3477</v>
      </c>
      <c r="E449" t="s">
        <v>3478</v>
      </c>
      <c r="F449" t="s">
        <v>2232</v>
      </c>
      <c r="G449" t="s">
        <v>3479</v>
      </c>
      <c r="H449" t="s">
        <v>3480</v>
      </c>
      <c r="I449">
        <f t="shared" ca="1" si="24"/>
        <v>25</v>
      </c>
      <c r="J449" t="str">
        <f t="shared" ca="1" si="25"/>
        <v>18-29</v>
      </c>
      <c r="K449">
        <v>85349.25</v>
      </c>
      <c r="L449" t="str">
        <f>IF(Workforce[[#This Row],[Salary]]&lt;50000,"30k-49k",IF(Workforce[[#This Row],[Salary]]&lt;70000,"50k-69k",IF(Workforce[[#This Row],[Salary]]&lt;90000,"70k-89k","90k+")))</f>
        <v>70k-89k</v>
      </c>
      <c r="M449" t="s">
        <v>3481</v>
      </c>
      <c r="N449">
        <f t="shared" ca="1" si="26"/>
        <v>2</v>
      </c>
      <c r="O449" t="str">
        <f t="shared" ca="1" si="27"/>
        <v>Beginner</v>
      </c>
    </row>
    <row r="450" spans="1:15" x14ac:dyDescent="0.3">
      <c r="A450" t="s">
        <v>3482</v>
      </c>
      <c r="B450" t="s">
        <v>3483</v>
      </c>
      <c r="C450" t="s">
        <v>995</v>
      </c>
      <c r="D450" t="s">
        <v>3484</v>
      </c>
      <c r="E450" t="s">
        <v>3485</v>
      </c>
      <c r="F450" t="s">
        <v>3486</v>
      </c>
      <c r="G450" t="s">
        <v>3487</v>
      </c>
      <c r="H450" t="s">
        <v>3488</v>
      </c>
      <c r="I450">
        <f t="shared" ref="I450:I513" ca="1" si="28">DATEDIF(H450,TODAY(),"y")</f>
        <v>61</v>
      </c>
      <c r="J450" t="str">
        <f t="shared" ref="J450:J513" ca="1" si="29">IF(I450&lt;30,"18-29",IF(I450&lt;40,"30-39",IF(I450&lt;50,"40-49",IF(I450&lt;60,"50-59","60+"))))</f>
        <v>60+</v>
      </c>
      <c r="K450">
        <v>52343.01</v>
      </c>
      <c r="L450" t="str">
        <f>IF(Workforce[[#This Row],[Salary]]&lt;50000,"30k-49k",IF(Workforce[[#This Row],[Salary]]&lt;70000,"50k-69k",IF(Workforce[[#This Row],[Salary]]&lt;90000,"70k-89k","90k+")))</f>
        <v>50k-69k</v>
      </c>
      <c r="M450" t="s">
        <v>961</v>
      </c>
      <c r="N450">
        <f t="shared" ref="N450:N513" ca="1" si="30">DATEDIF(M450,TODAY(),"y")</f>
        <v>6</v>
      </c>
      <c r="O450" t="str">
        <f t="shared" ref="O450:O513" ca="1" si="31">IF(N450&lt;=2,"Beginner",IF(N450&lt;=6,"Intermediate level","Senior level"))</f>
        <v>Intermediate level</v>
      </c>
    </row>
    <row r="451" spans="1:15" x14ac:dyDescent="0.3">
      <c r="A451" t="s">
        <v>3489</v>
      </c>
      <c r="B451" t="s">
        <v>3490</v>
      </c>
      <c r="C451" t="s">
        <v>160</v>
      </c>
      <c r="D451" t="s">
        <v>3491</v>
      </c>
      <c r="E451" t="s">
        <v>3492</v>
      </c>
      <c r="F451" t="s">
        <v>172</v>
      </c>
      <c r="G451" t="s">
        <v>3493</v>
      </c>
      <c r="H451" t="s">
        <v>3494</v>
      </c>
      <c r="I451">
        <f t="shared" ca="1" si="28"/>
        <v>63</v>
      </c>
      <c r="J451" t="str">
        <f t="shared" ca="1" si="29"/>
        <v>60+</v>
      </c>
      <c r="K451">
        <v>66258.080000000002</v>
      </c>
      <c r="L451" t="str">
        <f>IF(Workforce[[#This Row],[Salary]]&lt;50000,"30k-49k",IF(Workforce[[#This Row],[Salary]]&lt;70000,"50k-69k",IF(Workforce[[#This Row],[Salary]]&lt;90000,"70k-89k","90k+")))</f>
        <v>50k-69k</v>
      </c>
      <c r="M451" t="s">
        <v>3495</v>
      </c>
      <c r="N451">
        <f t="shared" ca="1" si="30"/>
        <v>8</v>
      </c>
      <c r="O451" t="str">
        <f t="shared" ca="1" si="31"/>
        <v>Senior level</v>
      </c>
    </row>
    <row r="452" spans="1:15" x14ac:dyDescent="0.3">
      <c r="A452" t="s">
        <v>3496</v>
      </c>
      <c r="B452" t="s">
        <v>3497</v>
      </c>
      <c r="C452" t="s">
        <v>275</v>
      </c>
      <c r="D452" t="s">
        <v>3498</v>
      </c>
      <c r="E452" t="s">
        <v>3499</v>
      </c>
      <c r="F452" t="s">
        <v>3500</v>
      </c>
      <c r="G452" t="s">
        <v>3501</v>
      </c>
      <c r="H452" t="s">
        <v>3502</v>
      </c>
      <c r="I452">
        <f t="shared" ca="1" si="28"/>
        <v>51</v>
      </c>
      <c r="J452" t="str">
        <f t="shared" ca="1" si="29"/>
        <v>50-59</v>
      </c>
      <c r="K452">
        <v>83573</v>
      </c>
      <c r="L452" t="str">
        <f>IF(Workforce[[#This Row],[Salary]]&lt;50000,"30k-49k",IF(Workforce[[#This Row],[Salary]]&lt;70000,"50k-69k",IF(Workforce[[#This Row],[Salary]]&lt;90000,"70k-89k","90k+")))</f>
        <v>70k-89k</v>
      </c>
      <c r="M452" t="s">
        <v>3503</v>
      </c>
      <c r="N452">
        <f t="shared" ca="1" si="30"/>
        <v>7</v>
      </c>
      <c r="O452" t="str">
        <f t="shared" ca="1" si="31"/>
        <v>Senior level</v>
      </c>
    </row>
    <row r="453" spans="1:15" x14ac:dyDescent="0.3">
      <c r="A453" t="s">
        <v>3504</v>
      </c>
      <c r="B453" t="s">
        <v>3505</v>
      </c>
      <c r="C453" t="s">
        <v>844</v>
      </c>
      <c r="D453" t="s">
        <v>3506</v>
      </c>
      <c r="E453" t="s">
        <v>3507</v>
      </c>
      <c r="F453" t="s">
        <v>3508</v>
      </c>
      <c r="G453" t="s">
        <v>3509</v>
      </c>
      <c r="H453" t="s">
        <v>3510</v>
      </c>
      <c r="I453">
        <f t="shared" ca="1" si="28"/>
        <v>60</v>
      </c>
      <c r="J453" t="str">
        <f t="shared" ca="1" si="29"/>
        <v>60+</v>
      </c>
      <c r="K453">
        <v>35645.08</v>
      </c>
      <c r="L453" t="str">
        <f>IF(Workforce[[#This Row],[Salary]]&lt;50000,"30k-49k",IF(Workforce[[#This Row],[Salary]]&lt;70000,"50k-69k",IF(Workforce[[#This Row],[Salary]]&lt;90000,"70k-89k","90k+")))</f>
        <v>30k-49k</v>
      </c>
      <c r="M453" t="s">
        <v>3511</v>
      </c>
      <c r="N453">
        <f t="shared" ca="1" si="30"/>
        <v>3</v>
      </c>
      <c r="O453" t="str">
        <f t="shared" ca="1" si="31"/>
        <v>Intermediate level</v>
      </c>
    </row>
    <row r="454" spans="1:15" x14ac:dyDescent="0.3">
      <c r="A454" t="s">
        <v>3512</v>
      </c>
      <c r="B454" t="s">
        <v>3513</v>
      </c>
      <c r="C454" t="s">
        <v>240</v>
      </c>
      <c r="D454" t="s">
        <v>3514</v>
      </c>
      <c r="E454" t="s">
        <v>3515</v>
      </c>
      <c r="F454" t="s">
        <v>2577</v>
      </c>
      <c r="G454" t="s">
        <v>502</v>
      </c>
      <c r="H454" t="s">
        <v>3516</v>
      </c>
      <c r="I454">
        <f t="shared" ca="1" si="28"/>
        <v>65</v>
      </c>
      <c r="J454" t="str">
        <f t="shared" ca="1" si="29"/>
        <v>60+</v>
      </c>
      <c r="K454">
        <v>74127.990000000005</v>
      </c>
      <c r="L454" t="str">
        <f>IF(Workforce[[#This Row],[Salary]]&lt;50000,"30k-49k",IF(Workforce[[#This Row],[Salary]]&lt;70000,"50k-69k",IF(Workforce[[#This Row],[Salary]]&lt;90000,"70k-89k","90k+")))</f>
        <v>70k-89k</v>
      </c>
      <c r="M454" t="s">
        <v>3517</v>
      </c>
      <c r="N454">
        <f t="shared" ca="1" si="30"/>
        <v>6</v>
      </c>
      <c r="O454" t="str">
        <f t="shared" ca="1" si="31"/>
        <v>Intermediate level</v>
      </c>
    </row>
    <row r="455" spans="1:15" x14ac:dyDescent="0.3">
      <c r="A455" t="s">
        <v>3518</v>
      </c>
      <c r="B455" t="s">
        <v>3519</v>
      </c>
      <c r="C455" t="s">
        <v>1004</v>
      </c>
      <c r="D455" t="s">
        <v>3520</v>
      </c>
      <c r="E455" t="s">
        <v>3521</v>
      </c>
      <c r="F455" t="s">
        <v>2953</v>
      </c>
      <c r="G455" t="s">
        <v>3522</v>
      </c>
      <c r="H455" t="s">
        <v>3523</v>
      </c>
      <c r="I455">
        <f t="shared" ca="1" si="28"/>
        <v>38</v>
      </c>
      <c r="J455" t="str">
        <f t="shared" ca="1" si="29"/>
        <v>30-39</v>
      </c>
      <c r="K455">
        <v>115538.96</v>
      </c>
      <c r="L455" t="str">
        <f>IF(Workforce[[#This Row],[Salary]]&lt;50000,"30k-49k",IF(Workforce[[#This Row],[Salary]]&lt;70000,"50k-69k",IF(Workforce[[#This Row],[Salary]]&lt;90000,"70k-89k","90k+")))</f>
        <v>90k+</v>
      </c>
      <c r="M455" t="s">
        <v>3524</v>
      </c>
      <c r="N455">
        <f t="shared" ca="1" si="30"/>
        <v>1</v>
      </c>
      <c r="O455" t="str">
        <f t="shared" ca="1" si="31"/>
        <v>Beginner</v>
      </c>
    </row>
    <row r="456" spans="1:15" x14ac:dyDescent="0.3">
      <c r="A456" t="s">
        <v>3525</v>
      </c>
      <c r="B456" t="s">
        <v>3526</v>
      </c>
      <c r="C456" t="s">
        <v>284</v>
      </c>
      <c r="D456" t="s">
        <v>3527</v>
      </c>
      <c r="E456" t="s">
        <v>3528</v>
      </c>
      <c r="F456" t="s">
        <v>3529</v>
      </c>
      <c r="G456" t="s">
        <v>3530</v>
      </c>
      <c r="H456" t="s">
        <v>3531</v>
      </c>
      <c r="I456">
        <f t="shared" ca="1" si="28"/>
        <v>63</v>
      </c>
      <c r="J456" t="str">
        <f t="shared" ca="1" si="29"/>
        <v>60+</v>
      </c>
      <c r="K456">
        <v>101660.97</v>
      </c>
      <c r="L456" t="str">
        <f>IF(Workforce[[#This Row],[Salary]]&lt;50000,"30k-49k",IF(Workforce[[#This Row],[Salary]]&lt;70000,"50k-69k",IF(Workforce[[#This Row],[Salary]]&lt;90000,"70k-89k","90k+")))</f>
        <v>90k+</v>
      </c>
      <c r="M456" t="s">
        <v>3532</v>
      </c>
      <c r="N456">
        <f t="shared" ca="1" si="30"/>
        <v>8</v>
      </c>
      <c r="O456" t="str">
        <f t="shared" ca="1" si="31"/>
        <v>Senior level</v>
      </c>
    </row>
    <row r="457" spans="1:15" x14ac:dyDescent="0.3">
      <c r="A457" t="s">
        <v>3533</v>
      </c>
      <c r="B457" t="s">
        <v>3534</v>
      </c>
      <c r="C457" t="s">
        <v>351</v>
      </c>
      <c r="D457" t="s">
        <v>3535</v>
      </c>
      <c r="E457" t="s">
        <v>3536</v>
      </c>
      <c r="F457" t="s">
        <v>3537</v>
      </c>
      <c r="G457" t="s">
        <v>3538</v>
      </c>
      <c r="H457" t="s">
        <v>3539</v>
      </c>
      <c r="I457">
        <f t="shared" ca="1" si="28"/>
        <v>59</v>
      </c>
      <c r="J457" t="str">
        <f t="shared" ca="1" si="29"/>
        <v>50-59</v>
      </c>
      <c r="K457">
        <v>30756.15</v>
      </c>
      <c r="L457" t="str">
        <f>IF(Workforce[[#This Row],[Salary]]&lt;50000,"30k-49k",IF(Workforce[[#This Row],[Salary]]&lt;70000,"50k-69k",IF(Workforce[[#This Row],[Salary]]&lt;90000,"70k-89k","90k+")))</f>
        <v>30k-49k</v>
      </c>
      <c r="M457" t="s">
        <v>3540</v>
      </c>
      <c r="N457">
        <f t="shared" ca="1" si="30"/>
        <v>9</v>
      </c>
      <c r="O457" t="str">
        <f t="shared" ca="1" si="31"/>
        <v>Senior level</v>
      </c>
    </row>
    <row r="458" spans="1:15" x14ac:dyDescent="0.3">
      <c r="A458" t="s">
        <v>3541</v>
      </c>
      <c r="B458" t="s">
        <v>3542</v>
      </c>
      <c r="C458" t="s">
        <v>187</v>
      </c>
      <c r="D458" t="s">
        <v>3543</v>
      </c>
      <c r="E458" t="s">
        <v>3544</v>
      </c>
      <c r="F458" t="s">
        <v>3545</v>
      </c>
      <c r="G458" t="s">
        <v>3546</v>
      </c>
      <c r="H458" t="s">
        <v>3547</v>
      </c>
      <c r="I458">
        <f t="shared" ca="1" si="28"/>
        <v>28</v>
      </c>
      <c r="J458" t="str">
        <f t="shared" ca="1" si="29"/>
        <v>18-29</v>
      </c>
      <c r="K458">
        <v>37141.31</v>
      </c>
      <c r="L458" t="str">
        <f>IF(Workforce[[#This Row],[Salary]]&lt;50000,"30k-49k",IF(Workforce[[#This Row],[Salary]]&lt;70000,"50k-69k",IF(Workforce[[#This Row],[Salary]]&lt;90000,"70k-89k","90k+")))</f>
        <v>30k-49k</v>
      </c>
      <c r="M458" t="s">
        <v>3548</v>
      </c>
      <c r="N458">
        <f t="shared" ca="1" si="30"/>
        <v>4</v>
      </c>
      <c r="O458" t="str">
        <f t="shared" ca="1" si="31"/>
        <v>Intermediate level</v>
      </c>
    </row>
    <row r="459" spans="1:15" x14ac:dyDescent="0.3">
      <c r="A459" t="s">
        <v>3549</v>
      </c>
      <c r="B459" t="s">
        <v>3550</v>
      </c>
      <c r="C459" t="s">
        <v>124</v>
      </c>
      <c r="D459" t="s">
        <v>3551</v>
      </c>
      <c r="E459" t="s">
        <v>3552</v>
      </c>
      <c r="F459" t="s">
        <v>3360</v>
      </c>
      <c r="G459" t="s">
        <v>3553</v>
      </c>
      <c r="H459" t="s">
        <v>3554</v>
      </c>
      <c r="I459">
        <f t="shared" ca="1" si="28"/>
        <v>26</v>
      </c>
      <c r="J459" t="str">
        <f t="shared" ca="1" si="29"/>
        <v>18-29</v>
      </c>
      <c r="K459">
        <v>47791.34</v>
      </c>
      <c r="L459" t="str">
        <f>IF(Workforce[[#This Row],[Salary]]&lt;50000,"30k-49k",IF(Workforce[[#This Row],[Salary]]&lt;70000,"50k-69k",IF(Workforce[[#This Row],[Salary]]&lt;90000,"70k-89k","90k+")))</f>
        <v>30k-49k</v>
      </c>
      <c r="M459" t="s">
        <v>3555</v>
      </c>
      <c r="N459">
        <f t="shared" ca="1" si="30"/>
        <v>10</v>
      </c>
      <c r="O459" t="str">
        <f t="shared" ca="1" si="31"/>
        <v>Senior level</v>
      </c>
    </row>
    <row r="460" spans="1:15" x14ac:dyDescent="0.3">
      <c r="A460" t="s">
        <v>3556</v>
      </c>
      <c r="B460" t="s">
        <v>3557</v>
      </c>
      <c r="C460" t="s">
        <v>757</v>
      </c>
      <c r="D460" t="s">
        <v>3558</v>
      </c>
      <c r="E460" t="s">
        <v>3559</v>
      </c>
      <c r="F460" t="s">
        <v>3404</v>
      </c>
      <c r="G460" t="s">
        <v>3560</v>
      </c>
      <c r="H460" t="s">
        <v>3561</v>
      </c>
      <c r="I460">
        <f t="shared" ca="1" si="28"/>
        <v>53</v>
      </c>
      <c r="J460" t="str">
        <f t="shared" ca="1" si="29"/>
        <v>50-59</v>
      </c>
      <c r="K460">
        <v>98059.49</v>
      </c>
      <c r="L460" t="str">
        <f>IF(Workforce[[#This Row],[Salary]]&lt;50000,"30k-49k",IF(Workforce[[#This Row],[Salary]]&lt;70000,"50k-69k",IF(Workforce[[#This Row],[Salary]]&lt;90000,"70k-89k","90k+")))</f>
        <v>90k+</v>
      </c>
      <c r="M460" t="s">
        <v>3562</v>
      </c>
      <c r="N460">
        <f t="shared" ca="1" si="30"/>
        <v>6</v>
      </c>
      <c r="O460" t="str">
        <f t="shared" ca="1" si="31"/>
        <v>Intermediate level</v>
      </c>
    </row>
    <row r="461" spans="1:15" x14ac:dyDescent="0.3">
      <c r="A461" t="s">
        <v>3563</v>
      </c>
      <c r="B461" t="s">
        <v>3564</v>
      </c>
      <c r="C461" t="s">
        <v>440</v>
      </c>
      <c r="D461" t="s">
        <v>3565</v>
      </c>
      <c r="E461" t="s">
        <v>3566</v>
      </c>
      <c r="F461" t="s">
        <v>3567</v>
      </c>
      <c r="G461" t="s">
        <v>3568</v>
      </c>
      <c r="H461" t="s">
        <v>3208</v>
      </c>
      <c r="I461">
        <f t="shared" ca="1" si="28"/>
        <v>21</v>
      </c>
      <c r="J461" t="str">
        <f t="shared" ca="1" si="29"/>
        <v>18-29</v>
      </c>
      <c r="K461">
        <v>63733.91</v>
      </c>
      <c r="L461" t="str">
        <f>IF(Workforce[[#This Row],[Salary]]&lt;50000,"30k-49k",IF(Workforce[[#This Row],[Salary]]&lt;70000,"50k-69k",IF(Workforce[[#This Row],[Salary]]&lt;90000,"70k-89k","90k+")))</f>
        <v>50k-69k</v>
      </c>
      <c r="M461" t="s">
        <v>2389</v>
      </c>
      <c r="N461">
        <f t="shared" ca="1" si="30"/>
        <v>5</v>
      </c>
      <c r="O461" t="str">
        <f t="shared" ca="1" si="31"/>
        <v>Intermediate level</v>
      </c>
    </row>
    <row r="462" spans="1:15" x14ac:dyDescent="0.3">
      <c r="A462" t="s">
        <v>3569</v>
      </c>
      <c r="B462" t="s">
        <v>3570</v>
      </c>
      <c r="C462" t="s">
        <v>275</v>
      </c>
      <c r="D462" t="s">
        <v>3571</v>
      </c>
      <c r="E462" t="s">
        <v>3572</v>
      </c>
      <c r="F462" t="s">
        <v>3456</v>
      </c>
      <c r="G462" t="s">
        <v>3573</v>
      </c>
      <c r="H462" t="s">
        <v>3574</v>
      </c>
      <c r="I462">
        <f t="shared" ca="1" si="28"/>
        <v>20</v>
      </c>
      <c r="J462" t="str">
        <f t="shared" ca="1" si="29"/>
        <v>18-29</v>
      </c>
      <c r="K462">
        <v>46883.12</v>
      </c>
      <c r="L462" t="str">
        <f>IF(Workforce[[#This Row],[Salary]]&lt;50000,"30k-49k",IF(Workforce[[#This Row],[Salary]]&lt;70000,"50k-69k",IF(Workforce[[#This Row],[Salary]]&lt;90000,"70k-89k","90k+")))</f>
        <v>30k-49k</v>
      </c>
      <c r="M462" t="s">
        <v>3575</v>
      </c>
      <c r="N462">
        <f t="shared" ca="1" si="30"/>
        <v>1</v>
      </c>
      <c r="O462" t="str">
        <f t="shared" ca="1" si="31"/>
        <v>Beginner</v>
      </c>
    </row>
    <row r="463" spans="1:15" x14ac:dyDescent="0.3">
      <c r="A463" t="s">
        <v>3576</v>
      </c>
      <c r="B463" t="s">
        <v>3577</v>
      </c>
      <c r="C463" t="s">
        <v>317</v>
      </c>
      <c r="D463" t="s">
        <v>3578</v>
      </c>
      <c r="E463" t="s">
        <v>3579</v>
      </c>
      <c r="F463" t="s">
        <v>2600</v>
      </c>
      <c r="G463" t="s">
        <v>2513</v>
      </c>
      <c r="H463" t="s">
        <v>3580</v>
      </c>
      <c r="I463">
        <f t="shared" ca="1" si="28"/>
        <v>26</v>
      </c>
      <c r="J463" t="str">
        <f t="shared" ca="1" si="29"/>
        <v>18-29</v>
      </c>
      <c r="K463">
        <v>108727.76</v>
      </c>
      <c r="L463" t="str">
        <f>IF(Workforce[[#This Row],[Salary]]&lt;50000,"30k-49k",IF(Workforce[[#This Row],[Salary]]&lt;70000,"50k-69k",IF(Workforce[[#This Row],[Salary]]&lt;90000,"70k-89k","90k+")))</f>
        <v>90k+</v>
      </c>
      <c r="M463" t="s">
        <v>1991</v>
      </c>
      <c r="N463">
        <f t="shared" ca="1" si="30"/>
        <v>2</v>
      </c>
      <c r="O463" t="str">
        <f t="shared" ca="1" si="31"/>
        <v>Beginner</v>
      </c>
    </row>
    <row r="464" spans="1:15" x14ac:dyDescent="0.3">
      <c r="A464" t="s">
        <v>3581</v>
      </c>
      <c r="B464" t="s">
        <v>3582</v>
      </c>
      <c r="C464" t="s">
        <v>115</v>
      </c>
      <c r="D464" t="s">
        <v>3583</v>
      </c>
      <c r="E464" t="s">
        <v>3584</v>
      </c>
      <c r="F464" t="s">
        <v>345</v>
      </c>
      <c r="G464" t="s">
        <v>3585</v>
      </c>
      <c r="H464" t="s">
        <v>3586</v>
      </c>
      <c r="I464">
        <f t="shared" ca="1" si="28"/>
        <v>32</v>
      </c>
      <c r="J464" t="str">
        <f t="shared" ca="1" si="29"/>
        <v>30-39</v>
      </c>
      <c r="K464">
        <v>112984.77</v>
      </c>
      <c r="L464" t="str">
        <f>IF(Workforce[[#This Row],[Salary]]&lt;50000,"30k-49k",IF(Workforce[[#This Row],[Salary]]&lt;70000,"50k-69k",IF(Workforce[[#This Row],[Salary]]&lt;90000,"70k-89k","90k+")))</f>
        <v>90k+</v>
      </c>
      <c r="M464" t="s">
        <v>1745</v>
      </c>
      <c r="N464">
        <f t="shared" ca="1" si="30"/>
        <v>7</v>
      </c>
      <c r="O464" t="str">
        <f t="shared" ca="1" si="31"/>
        <v>Senior level</v>
      </c>
    </row>
    <row r="465" spans="1:15" x14ac:dyDescent="0.3">
      <c r="A465" t="s">
        <v>3587</v>
      </c>
      <c r="B465" t="s">
        <v>3588</v>
      </c>
      <c r="C465" t="s">
        <v>351</v>
      </c>
      <c r="D465" t="s">
        <v>3589</v>
      </c>
      <c r="E465" t="s">
        <v>3590</v>
      </c>
      <c r="F465" t="s">
        <v>2358</v>
      </c>
      <c r="G465" t="s">
        <v>3591</v>
      </c>
      <c r="H465" t="s">
        <v>3592</v>
      </c>
      <c r="I465">
        <f t="shared" ca="1" si="28"/>
        <v>56</v>
      </c>
      <c r="J465" t="str">
        <f t="shared" ca="1" si="29"/>
        <v>50-59</v>
      </c>
      <c r="K465">
        <v>115901.43</v>
      </c>
      <c r="L465" t="str">
        <f>IF(Workforce[[#This Row],[Salary]]&lt;50000,"30k-49k",IF(Workforce[[#This Row],[Salary]]&lt;70000,"50k-69k",IF(Workforce[[#This Row],[Salary]]&lt;90000,"70k-89k","90k+")))</f>
        <v>90k+</v>
      </c>
      <c r="M465" t="s">
        <v>3593</v>
      </c>
      <c r="N465">
        <f t="shared" ca="1" si="30"/>
        <v>7</v>
      </c>
      <c r="O465" t="str">
        <f t="shared" ca="1" si="31"/>
        <v>Senior level</v>
      </c>
    </row>
    <row r="466" spans="1:15" x14ac:dyDescent="0.3">
      <c r="A466" t="s">
        <v>3594</v>
      </c>
      <c r="B466" t="s">
        <v>3595</v>
      </c>
      <c r="C466" t="s">
        <v>26</v>
      </c>
      <c r="D466" t="s">
        <v>3596</v>
      </c>
      <c r="E466" t="s">
        <v>3597</v>
      </c>
      <c r="F466" t="s">
        <v>3598</v>
      </c>
      <c r="G466" t="s">
        <v>3599</v>
      </c>
      <c r="H466" t="s">
        <v>3600</v>
      </c>
      <c r="I466">
        <f t="shared" ca="1" si="28"/>
        <v>45</v>
      </c>
      <c r="J466" t="str">
        <f t="shared" ca="1" si="29"/>
        <v>40-49</v>
      </c>
      <c r="K466">
        <v>72604.69</v>
      </c>
      <c r="L466" t="str">
        <f>IF(Workforce[[#This Row],[Salary]]&lt;50000,"30k-49k",IF(Workforce[[#This Row],[Salary]]&lt;70000,"50k-69k",IF(Workforce[[#This Row],[Salary]]&lt;90000,"70k-89k","90k+")))</f>
        <v>70k-89k</v>
      </c>
      <c r="M466" t="s">
        <v>3601</v>
      </c>
      <c r="N466">
        <f t="shared" ca="1" si="30"/>
        <v>2</v>
      </c>
      <c r="O466" t="str">
        <f t="shared" ca="1" si="31"/>
        <v>Beginner</v>
      </c>
    </row>
    <row r="467" spans="1:15" x14ac:dyDescent="0.3">
      <c r="A467" t="s">
        <v>3602</v>
      </c>
      <c r="B467" t="s">
        <v>3603</v>
      </c>
      <c r="C467" t="s">
        <v>187</v>
      </c>
      <c r="D467" t="s">
        <v>3604</v>
      </c>
      <c r="E467" t="s">
        <v>3605</v>
      </c>
      <c r="F467" t="s">
        <v>3337</v>
      </c>
      <c r="G467" t="s">
        <v>3606</v>
      </c>
      <c r="H467" t="s">
        <v>3607</v>
      </c>
      <c r="I467">
        <f t="shared" ca="1" si="28"/>
        <v>27</v>
      </c>
      <c r="J467" t="str">
        <f t="shared" ca="1" si="29"/>
        <v>18-29</v>
      </c>
      <c r="K467">
        <v>108266.01</v>
      </c>
      <c r="L467" t="str">
        <f>IF(Workforce[[#This Row],[Salary]]&lt;50000,"30k-49k",IF(Workforce[[#This Row],[Salary]]&lt;70000,"50k-69k",IF(Workforce[[#This Row],[Salary]]&lt;90000,"70k-89k","90k+")))</f>
        <v>90k+</v>
      </c>
      <c r="M467" t="s">
        <v>1883</v>
      </c>
      <c r="N467">
        <f t="shared" ca="1" si="30"/>
        <v>3</v>
      </c>
      <c r="O467" t="str">
        <f t="shared" ca="1" si="31"/>
        <v>Intermediate level</v>
      </c>
    </row>
    <row r="468" spans="1:15" x14ac:dyDescent="0.3">
      <c r="A468" t="s">
        <v>3608</v>
      </c>
      <c r="B468" t="s">
        <v>3609</v>
      </c>
      <c r="C468" t="s">
        <v>275</v>
      </c>
      <c r="D468" t="s">
        <v>3610</v>
      </c>
      <c r="E468" t="s">
        <v>3611</v>
      </c>
      <c r="F468" t="s">
        <v>38</v>
      </c>
      <c r="G468" t="s">
        <v>3612</v>
      </c>
      <c r="H468" t="s">
        <v>3613</v>
      </c>
      <c r="I468">
        <f t="shared" ca="1" si="28"/>
        <v>42</v>
      </c>
      <c r="J468" t="str">
        <f t="shared" ca="1" si="29"/>
        <v>40-49</v>
      </c>
      <c r="K468">
        <v>73137.86</v>
      </c>
      <c r="L468" t="str">
        <f>IF(Workforce[[#This Row],[Salary]]&lt;50000,"30k-49k",IF(Workforce[[#This Row],[Salary]]&lt;70000,"50k-69k",IF(Workforce[[#This Row],[Salary]]&lt;90000,"70k-89k","90k+")))</f>
        <v>70k-89k</v>
      </c>
      <c r="M468" t="s">
        <v>3614</v>
      </c>
      <c r="N468">
        <f t="shared" ca="1" si="30"/>
        <v>5</v>
      </c>
      <c r="O468" t="str">
        <f t="shared" ca="1" si="31"/>
        <v>Intermediate level</v>
      </c>
    </row>
    <row r="469" spans="1:15" x14ac:dyDescent="0.3">
      <c r="A469" t="s">
        <v>3615</v>
      </c>
      <c r="B469" t="s">
        <v>3616</v>
      </c>
      <c r="C469" t="s">
        <v>257</v>
      </c>
      <c r="D469" t="s">
        <v>3617</v>
      </c>
      <c r="E469" t="s">
        <v>3618</v>
      </c>
      <c r="F469" t="s">
        <v>989</v>
      </c>
      <c r="G469" t="s">
        <v>3619</v>
      </c>
      <c r="H469" t="s">
        <v>3620</v>
      </c>
      <c r="I469">
        <f t="shared" ca="1" si="28"/>
        <v>40</v>
      </c>
      <c r="J469" t="str">
        <f t="shared" ca="1" si="29"/>
        <v>40-49</v>
      </c>
      <c r="K469">
        <v>112076.64</v>
      </c>
      <c r="L469" t="str">
        <f>IF(Workforce[[#This Row],[Salary]]&lt;50000,"30k-49k",IF(Workforce[[#This Row],[Salary]]&lt;70000,"50k-69k",IF(Workforce[[#This Row],[Salary]]&lt;90000,"70k-89k","90k+")))</f>
        <v>90k+</v>
      </c>
      <c r="M469" t="s">
        <v>3621</v>
      </c>
      <c r="N469">
        <f t="shared" ca="1" si="30"/>
        <v>8</v>
      </c>
      <c r="O469" t="str">
        <f t="shared" ca="1" si="31"/>
        <v>Senior level</v>
      </c>
    </row>
    <row r="470" spans="1:15" x14ac:dyDescent="0.3">
      <c r="A470" t="s">
        <v>3622</v>
      </c>
      <c r="B470" t="s">
        <v>3623</v>
      </c>
      <c r="C470" t="s">
        <v>995</v>
      </c>
      <c r="D470" t="s">
        <v>3624</v>
      </c>
      <c r="E470" t="s">
        <v>3625</v>
      </c>
      <c r="F470" t="s">
        <v>2267</v>
      </c>
      <c r="G470" t="s">
        <v>3626</v>
      </c>
      <c r="H470" t="s">
        <v>3627</v>
      </c>
      <c r="I470">
        <f t="shared" ca="1" si="28"/>
        <v>59</v>
      </c>
      <c r="J470" t="str">
        <f t="shared" ca="1" si="29"/>
        <v>50-59</v>
      </c>
      <c r="K470">
        <v>113044.18</v>
      </c>
      <c r="L470" t="str">
        <f>IF(Workforce[[#This Row],[Salary]]&lt;50000,"30k-49k",IF(Workforce[[#This Row],[Salary]]&lt;70000,"50k-69k",IF(Workforce[[#This Row],[Salary]]&lt;90000,"70k-89k","90k+")))</f>
        <v>90k+</v>
      </c>
      <c r="M470" t="s">
        <v>3628</v>
      </c>
      <c r="N470">
        <f t="shared" ca="1" si="30"/>
        <v>7</v>
      </c>
      <c r="O470" t="str">
        <f t="shared" ca="1" si="31"/>
        <v>Senior level</v>
      </c>
    </row>
    <row r="471" spans="1:15" x14ac:dyDescent="0.3">
      <c r="A471" t="s">
        <v>3629</v>
      </c>
      <c r="B471" t="s">
        <v>3630</v>
      </c>
      <c r="C471" t="s">
        <v>440</v>
      </c>
      <c r="D471" t="s">
        <v>3631</v>
      </c>
      <c r="E471" t="s">
        <v>3632</v>
      </c>
      <c r="F471" t="s">
        <v>2562</v>
      </c>
      <c r="G471" t="s">
        <v>3633</v>
      </c>
      <c r="H471" t="s">
        <v>3634</v>
      </c>
      <c r="I471">
        <f t="shared" ca="1" si="28"/>
        <v>44</v>
      </c>
      <c r="J471" t="str">
        <f t="shared" ca="1" si="29"/>
        <v>40-49</v>
      </c>
      <c r="K471">
        <v>82792.5</v>
      </c>
      <c r="L471" t="str">
        <f>IF(Workforce[[#This Row],[Salary]]&lt;50000,"30k-49k",IF(Workforce[[#This Row],[Salary]]&lt;70000,"50k-69k",IF(Workforce[[#This Row],[Salary]]&lt;90000,"70k-89k","90k+")))</f>
        <v>70k-89k</v>
      </c>
      <c r="M471" t="s">
        <v>3635</v>
      </c>
      <c r="N471">
        <f t="shared" ca="1" si="30"/>
        <v>8</v>
      </c>
      <c r="O471" t="str">
        <f t="shared" ca="1" si="31"/>
        <v>Senior level</v>
      </c>
    </row>
    <row r="472" spans="1:15" x14ac:dyDescent="0.3">
      <c r="A472" t="s">
        <v>3636</v>
      </c>
      <c r="B472" t="s">
        <v>3637</v>
      </c>
      <c r="C472" t="s">
        <v>400</v>
      </c>
      <c r="D472" t="s">
        <v>3638</v>
      </c>
      <c r="E472" t="s">
        <v>3639</v>
      </c>
      <c r="F472" t="s">
        <v>354</v>
      </c>
      <c r="G472" t="s">
        <v>3640</v>
      </c>
      <c r="H472" t="s">
        <v>3641</v>
      </c>
      <c r="I472">
        <f t="shared" ca="1" si="28"/>
        <v>66</v>
      </c>
      <c r="J472" t="str">
        <f t="shared" ca="1" si="29"/>
        <v>60+</v>
      </c>
      <c r="K472">
        <v>49470.31</v>
      </c>
      <c r="L472" t="str">
        <f>IF(Workforce[[#This Row],[Salary]]&lt;50000,"30k-49k",IF(Workforce[[#This Row],[Salary]]&lt;70000,"50k-69k",IF(Workforce[[#This Row],[Salary]]&lt;90000,"70k-89k","90k+")))</f>
        <v>30k-49k</v>
      </c>
      <c r="M472" t="s">
        <v>3642</v>
      </c>
      <c r="N472">
        <f t="shared" ca="1" si="30"/>
        <v>6</v>
      </c>
      <c r="O472" t="str">
        <f t="shared" ca="1" si="31"/>
        <v>Intermediate level</v>
      </c>
    </row>
    <row r="473" spans="1:15" x14ac:dyDescent="0.3">
      <c r="A473" t="s">
        <v>3643</v>
      </c>
      <c r="B473" t="s">
        <v>3644</v>
      </c>
      <c r="C473" t="s">
        <v>539</v>
      </c>
      <c r="D473" t="s">
        <v>3645</v>
      </c>
      <c r="E473" t="s">
        <v>3646</v>
      </c>
      <c r="F473" t="s">
        <v>1888</v>
      </c>
      <c r="G473" t="s">
        <v>3647</v>
      </c>
      <c r="H473" t="s">
        <v>3648</v>
      </c>
      <c r="I473">
        <f t="shared" ca="1" si="28"/>
        <v>33</v>
      </c>
      <c r="J473" t="str">
        <f t="shared" ca="1" si="29"/>
        <v>30-39</v>
      </c>
      <c r="K473">
        <v>100417.13</v>
      </c>
      <c r="L473" t="str">
        <f>IF(Workforce[[#This Row],[Salary]]&lt;50000,"30k-49k",IF(Workforce[[#This Row],[Salary]]&lt;70000,"50k-69k",IF(Workforce[[#This Row],[Salary]]&lt;90000,"70k-89k","90k+")))</f>
        <v>90k+</v>
      </c>
      <c r="M473" t="s">
        <v>2374</v>
      </c>
      <c r="N473">
        <f t="shared" ca="1" si="30"/>
        <v>6</v>
      </c>
      <c r="O473" t="str">
        <f t="shared" ca="1" si="31"/>
        <v>Intermediate level</v>
      </c>
    </row>
    <row r="474" spans="1:15" x14ac:dyDescent="0.3">
      <c r="A474" t="s">
        <v>3649</v>
      </c>
      <c r="B474" t="s">
        <v>3650</v>
      </c>
      <c r="C474" t="s">
        <v>748</v>
      </c>
      <c r="D474" t="s">
        <v>3651</v>
      </c>
      <c r="E474" t="s">
        <v>3652</v>
      </c>
      <c r="F474" t="s">
        <v>3653</v>
      </c>
      <c r="G474" t="s">
        <v>3654</v>
      </c>
      <c r="H474" t="s">
        <v>3655</v>
      </c>
      <c r="I474">
        <f t="shared" ca="1" si="28"/>
        <v>21</v>
      </c>
      <c r="J474" t="str">
        <f t="shared" ca="1" si="29"/>
        <v>18-29</v>
      </c>
      <c r="K474">
        <v>49018.99</v>
      </c>
      <c r="L474" t="str">
        <f>IF(Workforce[[#This Row],[Salary]]&lt;50000,"30k-49k",IF(Workforce[[#This Row],[Salary]]&lt;70000,"50k-69k",IF(Workforce[[#This Row],[Salary]]&lt;90000,"70k-89k","90k+")))</f>
        <v>30k-49k</v>
      </c>
      <c r="M474" t="s">
        <v>3656</v>
      </c>
      <c r="N474">
        <f t="shared" ca="1" si="30"/>
        <v>7</v>
      </c>
      <c r="O474" t="str">
        <f t="shared" ca="1" si="31"/>
        <v>Senior level</v>
      </c>
    </row>
    <row r="475" spans="1:15" x14ac:dyDescent="0.3">
      <c r="A475" t="s">
        <v>3657</v>
      </c>
      <c r="B475" t="s">
        <v>3658</v>
      </c>
      <c r="C475" t="s">
        <v>2086</v>
      </c>
      <c r="D475" t="s">
        <v>3659</v>
      </c>
      <c r="E475" t="s">
        <v>3660</v>
      </c>
      <c r="F475" t="s">
        <v>784</v>
      </c>
      <c r="G475" t="s">
        <v>3661</v>
      </c>
      <c r="H475" t="s">
        <v>3662</v>
      </c>
      <c r="I475">
        <f t="shared" ca="1" si="28"/>
        <v>56</v>
      </c>
      <c r="J475" t="str">
        <f t="shared" ca="1" si="29"/>
        <v>50-59</v>
      </c>
      <c r="K475">
        <v>49243.6</v>
      </c>
      <c r="L475" t="str">
        <f>IF(Workforce[[#This Row],[Salary]]&lt;50000,"30k-49k",IF(Workforce[[#This Row],[Salary]]&lt;70000,"50k-69k",IF(Workforce[[#This Row],[Salary]]&lt;90000,"70k-89k","90k+")))</f>
        <v>30k-49k</v>
      </c>
      <c r="M475" t="s">
        <v>3663</v>
      </c>
      <c r="N475">
        <f t="shared" ca="1" si="30"/>
        <v>5</v>
      </c>
      <c r="O475" t="str">
        <f t="shared" ca="1" si="31"/>
        <v>Intermediate level</v>
      </c>
    </row>
    <row r="476" spans="1:15" x14ac:dyDescent="0.3">
      <c r="A476" t="s">
        <v>3664</v>
      </c>
      <c r="B476" t="s">
        <v>3665</v>
      </c>
      <c r="C476" t="s">
        <v>653</v>
      </c>
      <c r="D476" t="s">
        <v>3666</v>
      </c>
      <c r="E476" t="s">
        <v>3667</v>
      </c>
      <c r="F476" t="s">
        <v>3668</v>
      </c>
      <c r="G476" t="s">
        <v>3669</v>
      </c>
      <c r="H476" t="s">
        <v>3670</v>
      </c>
      <c r="I476">
        <f t="shared" ca="1" si="28"/>
        <v>60</v>
      </c>
      <c r="J476" t="str">
        <f t="shared" ca="1" si="29"/>
        <v>60+</v>
      </c>
      <c r="K476">
        <v>79902.02</v>
      </c>
      <c r="L476" t="str">
        <f>IF(Workforce[[#This Row],[Salary]]&lt;50000,"30k-49k",IF(Workforce[[#This Row],[Salary]]&lt;70000,"50k-69k",IF(Workforce[[#This Row],[Salary]]&lt;90000,"70k-89k","90k+")))</f>
        <v>70k-89k</v>
      </c>
      <c r="M476" t="s">
        <v>3671</v>
      </c>
      <c r="N476">
        <f t="shared" ca="1" si="30"/>
        <v>8</v>
      </c>
      <c r="O476" t="str">
        <f t="shared" ca="1" si="31"/>
        <v>Senior level</v>
      </c>
    </row>
    <row r="477" spans="1:15" x14ac:dyDescent="0.3">
      <c r="A477" t="s">
        <v>3672</v>
      </c>
      <c r="B477" t="s">
        <v>3673</v>
      </c>
      <c r="C477" t="s">
        <v>1159</v>
      </c>
      <c r="D477" t="s">
        <v>3674</v>
      </c>
      <c r="E477" t="s">
        <v>3675</v>
      </c>
      <c r="F477" t="s">
        <v>1442</v>
      </c>
      <c r="G477" t="s">
        <v>3676</v>
      </c>
      <c r="H477" t="s">
        <v>3677</v>
      </c>
      <c r="I477">
        <f t="shared" ca="1" si="28"/>
        <v>32</v>
      </c>
      <c r="J477" t="str">
        <f t="shared" ca="1" si="29"/>
        <v>30-39</v>
      </c>
      <c r="K477">
        <v>90710.22</v>
      </c>
      <c r="L477" t="str">
        <f>IF(Workforce[[#This Row],[Salary]]&lt;50000,"30k-49k",IF(Workforce[[#This Row],[Salary]]&lt;70000,"50k-69k",IF(Workforce[[#This Row],[Salary]]&lt;90000,"70k-89k","90k+")))</f>
        <v>90k+</v>
      </c>
      <c r="M477" t="s">
        <v>3678</v>
      </c>
      <c r="N477">
        <f t="shared" ca="1" si="30"/>
        <v>4</v>
      </c>
      <c r="O477" t="str">
        <f t="shared" ca="1" si="31"/>
        <v>Intermediate level</v>
      </c>
    </row>
    <row r="478" spans="1:15" x14ac:dyDescent="0.3">
      <c r="A478" t="s">
        <v>3679</v>
      </c>
      <c r="B478" t="s">
        <v>3680</v>
      </c>
      <c r="C478" t="s">
        <v>266</v>
      </c>
      <c r="D478" t="s">
        <v>3681</v>
      </c>
      <c r="E478" t="s">
        <v>3682</v>
      </c>
      <c r="F478" t="s">
        <v>1304</v>
      </c>
      <c r="G478" t="s">
        <v>3683</v>
      </c>
      <c r="H478" t="s">
        <v>3684</v>
      </c>
      <c r="I478">
        <f t="shared" ca="1" si="28"/>
        <v>39</v>
      </c>
      <c r="J478" t="str">
        <f t="shared" ca="1" si="29"/>
        <v>30-39</v>
      </c>
      <c r="K478">
        <v>107052.68</v>
      </c>
      <c r="L478" t="str">
        <f>IF(Workforce[[#This Row],[Salary]]&lt;50000,"30k-49k",IF(Workforce[[#This Row],[Salary]]&lt;70000,"50k-69k",IF(Workforce[[#This Row],[Salary]]&lt;90000,"70k-89k","90k+")))</f>
        <v>90k+</v>
      </c>
      <c r="M478" t="s">
        <v>1173</v>
      </c>
      <c r="N478">
        <f t="shared" ca="1" si="30"/>
        <v>7</v>
      </c>
      <c r="O478" t="str">
        <f t="shared" ca="1" si="31"/>
        <v>Senior level</v>
      </c>
    </row>
    <row r="479" spans="1:15" x14ac:dyDescent="0.3">
      <c r="A479" t="s">
        <v>3685</v>
      </c>
      <c r="B479" t="s">
        <v>3686</v>
      </c>
      <c r="C479" t="s">
        <v>17</v>
      </c>
      <c r="D479" t="s">
        <v>3687</v>
      </c>
      <c r="E479" t="s">
        <v>3688</v>
      </c>
      <c r="F479" t="s">
        <v>615</v>
      </c>
      <c r="G479" t="s">
        <v>3689</v>
      </c>
      <c r="H479" t="s">
        <v>3690</v>
      </c>
      <c r="I479">
        <f t="shared" ca="1" si="28"/>
        <v>40</v>
      </c>
      <c r="J479" t="str">
        <f t="shared" ca="1" si="29"/>
        <v>40-49</v>
      </c>
      <c r="K479">
        <v>117308.59</v>
      </c>
      <c r="L479" t="str">
        <f>IF(Workforce[[#This Row],[Salary]]&lt;50000,"30k-49k",IF(Workforce[[#This Row],[Salary]]&lt;70000,"50k-69k",IF(Workforce[[#This Row],[Salary]]&lt;90000,"70k-89k","90k+")))</f>
        <v>90k+</v>
      </c>
      <c r="M479" t="s">
        <v>3691</v>
      </c>
      <c r="N479">
        <f t="shared" ca="1" si="30"/>
        <v>8</v>
      </c>
      <c r="O479" t="str">
        <f t="shared" ca="1" si="31"/>
        <v>Senior level</v>
      </c>
    </row>
    <row r="480" spans="1:15" x14ac:dyDescent="0.3">
      <c r="A480" t="s">
        <v>3692</v>
      </c>
      <c r="B480" t="s">
        <v>3693</v>
      </c>
      <c r="C480" t="s">
        <v>1043</v>
      </c>
      <c r="D480" t="s">
        <v>3694</v>
      </c>
      <c r="E480" t="s">
        <v>3695</v>
      </c>
      <c r="F480" t="s">
        <v>3696</v>
      </c>
      <c r="G480" t="s">
        <v>3697</v>
      </c>
      <c r="H480" t="s">
        <v>3698</v>
      </c>
      <c r="I480">
        <f t="shared" ca="1" si="28"/>
        <v>43</v>
      </c>
      <c r="J480" t="str">
        <f t="shared" ca="1" si="29"/>
        <v>40-49</v>
      </c>
      <c r="K480">
        <v>68372.17</v>
      </c>
      <c r="L480" t="str">
        <f>IF(Workforce[[#This Row],[Salary]]&lt;50000,"30k-49k",IF(Workforce[[#This Row],[Salary]]&lt;70000,"50k-69k",IF(Workforce[[#This Row],[Salary]]&lt;90000,"70k-89k","90k+")))</f>
        <v>50k-69k</v>
      </c>
      <c r="M480" t="s">
        <v>3699</v>
      </c>
      <c r="N480">
        <f t="shared" ca="1" si="30"/>
        <v>5</v>
      </c>
      <c r="O480" t="str">
        <f t="shared" ca="1" si="31"/>
        <v>Intermediate level</v>
      </c>
    </row>
    <row r="481" spans="1:15" x14ac:dyDescent="0.3">
      <c r="A481" t="s">
        <v>3700</v>
      </c>
      <c r="B481" t="s">
        <v>3701</v>
      </c>
      <c r="C481" t="s">
        <v>97</v>
      </c>
      <c r="D481" t="s">
        <v>3702</v>
      </c>
      <c r="E481" t="s">
        <v>3703</v>
      </c>
      <c r="F481" t="s">
        <v>1533</v>
      </c>
      <c r="G481" t="s">
        <v>3704</v>
      </c>
      <c r="H481" t="s">
        <v>3705</v>
      </c>
      <c r="I481">
        <f t="shared" ca="1" si="28"/>
        <v>51</v>
      </c>
      <c r="J481" t="str">
        <f t="shared" ca="1" si="29"/>
        <v>50-59</v>
      </c>
      <c r="K481">
        <v>115276.23</v>
      </c>
      <c r="L481" t="str">
        <f>IF(Workforce[[#This Row],[Salary]]&lt;50000,"30k-49k",IF(Workforce[[#This Row],[Salary]]&lt;70000,"50k-69k",IF(Workforce[[#This Row],[Salary]]&lt;90000,"70k-89k","90k+")))</f>
        <v>90k+</v>
      </c>
      <c r="M481" t="s">
        <v>3706</v>
      </c>
      <c r="N481">
        <f t="shared" ca="1" si="30"/>
        <v>8</v>
      </c>
      <c r="O481" t="str">
        <f t="shared" ca="1" si="31"/>
        <v>Senior level</v>
      </c>
    </row>
    <row r="482" spans="1:15" x14ac:dyDescent="0.3">
      <c r="A482" t="s">
        <v>3707</v>
      </c>
      <c r="B482" t="s">
        <v>3708</v>
      </c>
      <c r="C482" t="s">
        <v>222</v>
      </c>
      <c r="D482" t="s">
        <v>3709</v>
      </c>
      <c r="E482" t="s">
        <v>3710</v>
      </c>
      <c r="F482" t="s">
        <v>1965</v>
      </c>
      <c r="G482" t="s">
        <v>3711</v>
      </c>
      <c r="H482" t="s">
        <v>253</v>
      </c>
      <c r="I482">
        <f t="shared" ca="1" si="28"/>
        <v>60</v>
      </c>
      <c r="J482" t="str">
        <f t="shared" ca="1" si="29"/>
        <v>60+</v>
      </c>
      <c r="K482">
        <v>59672.1</v>
      </c>
      <c r="L482" t="str">
        <f>IF(Workforce[[#This Row],[Salary]]&lt;50000,"30k-49k",IF(Workforce[[#This Row],[Salary]]&lt;70000,"50k-69k",IF(Workforce[[#This Row],[Salary]]&lt;90000,"70k-89k","90k+")))</f>
        <v>50k-69k</v>
      </c>
      <c r="M482" t="s">
        <v>3712</v>
      </c>
      <c r="N482">
        <f t="shared" ca="1" si="30"/>
        <v>4</v>
      </c>
      <c r="O482" t="str">
        <f t="shared" ca="1" si="31"/>
        <v>Intermediate level</v>
      </c>
    </row>
    <row r="483" spans="1:15" x14ac:dyDescent="0.3">
      <c r="A483" t="s">
        <v>3713</v>
      </c>
      <c r="B483" t="s">
        <v>3714</v>
      </c>
      <c r="C483" t="s">
        <v>317</v>
      </c>
      <c r="D483" t="s">
        <v>3715</v>
      </c>
      <c r="E483" t="s">
        <v>3716</v>
      </c>
      <c r="F483" t="s">
        <v>1673</v>
      </c>
      <c r="G483" t="s">
        <v>3717</v>
      </c>
      <c r="H483" t="s">
        <v>3718</v>
      </c>
      <c r="I483">
        <f t="shared" ca="1" si="28"/>
        <v>21</v>
      </c>
      <c r="J483" t="str">
        <f t="shared" ca="1" si="29"/>
        <v>18-29</v>
      </c>
      <c r="K483">
        <v>32575.61</v>
      </c>
      <c r="L483" t="str">
        <f>IF(Workforce[[#This Row],[Salary]]&lt;50000,"30k-49k",IF(Workforce[[#This Row],[Salary]]&lt;70000,"50k-69k",IF(Workforce[[#This Row],[Salary]]&lt;90000,"70k-89k","90k+")))</f>
        <v>30k-49k</v>
      </c>
      <c r="M483" t="s">
        <v>3719</v>
      </c>
      <c r="N483">
        <f t="shared" ca="1" si="30"/>
        <v>9</v>
      </c>
      <c r="O483" t="str">
        <f t="shared" ca="1" si="31"/>
        <v>Senior level</v>
      </c>
    </row>
    <row r="484" spans="1:15" x14ac:dyDescent="0.3">
      <c r="A484" t="s">
        <v>3720</v>
      </c>
      <c r="B484" t="s">
        <v>3721</v>
      </c>
      <c r="C484" t="s">
        <v>335</v>
      </c>
      <c r="D484" t="s">
        <v>3722</v>
      </c>
      <c r="E484" t="s">
        <v>3723</v>
      </c>
      <c r="F484" t="s">
        <v>2297</v>
      </c>
      <c r="G484" t="s">
        <v>3724</v>
      </c>
      <c r="H484" t="s">
        <v>3725</v>
      </c>
      <c r="I484">
        <f t="shared" ca="1" si="28"/>
        <v>25</v>
      </c>
      <c r="J484" t="str">
        <f t="shared" ca="1" si="29"/>
        <v>18-29</v>
      </c>
      <c r="K484">
        <v>113992.54</v>
      </c>
      <c r="L484" t="str">
        <f>IF(Workforce[[#This Row],[Salary]]&lt;50000,"30k-49k",IF(Workforce[[#This Row],[Salary]]&lt;70000,"50k-69k",IF(Workforce[[#This Row],[Salary]]&lt;90000,"70k-89k","90k+")))</f>
        <v>90k+</v>
      </c>
      <c r="M484" t="s">
        <v>3726</v>
      </c>
      <c r="N484">
        <f t="shared" ca="1" si="30"/>
        <v>5</v>
      </c>
      <c r="O484" t="str">
        <f t="shared" ca="1" si="31"/>
        <v>Intermediate level</v>
      </c>
    </row>
    <row r="485" spans="1:15" x14ac:dyDescent="0.3">
      <c r="A485" t="s">
        <v>3727</v>
      </c>
      <c r="B485" t="s">
        <v>3728</v>
      </c>
      <c r="C485" t="s">
        <v>580</v>
      </c>
      <c r="D485" t="s">
        <v>3729</v>
      </c>
      <c r="E485" t="s">
        <v>3730</v>
      </c>
      <c r="F485" t="s">
        <v>3731</v>
      </c>
      <c r="G485" t="s">
        <v>3732</v>
      </c>
      <c r="H485" t="s">
        <v>3733</v>
      </c>
      <c r="I485">
        <f t="shared" ca="1" si="28"/>
        <v>42</v>
      </c>
      <c r="J485" t="str">
        <f t="shared" ca="1" si="29"/>
        <v>40-49</v>
      </c>
      <c r="K485">
        <v>36546.85</v>
      </c>
      <c r="L485" t="str">
        <f>IF(Workforce[[#This Row],[Salary]]&lt;50000,"30k-49k",IF(Workforce[[#This Row],[Salary]]&lt;70000,"50k-69k",IF(Workforce[[#This Row],[Salary]]&lt;90000,"70k-89k","90k+")))</f>
        <v>30k-49k</v>
      </c>
      <c r="M485" t="s">
        <v>3734</v>
      </c>
      <c r="N485">
        <f t="shared" ca="1" si="30"/>
        <v>8</v>
      </c>
      <c r="O485" t="str">
        <f t="shared" ca="1" si="31"/>
        <v>Senior level</v>
      </c>
    </row>
    <row r="486" spans="1:15" x14ac:dyDescent="0.3">
      <c r="A486" t="s">
        <v>3735</v>
      </c>
      <c r="B486" t="s">
        <v>3736</v>
      </c>
      <c r="C486" t="s">
        <v>482</v>
      </c>
      <c r="D486" t="s">
        <v>3737</v>
      </c>
      <c r="E486" t="s">
        <v>3738</v>
      </c>
      <c r="F486" t="s">
        <v>815</v>
      </c>
      <c r="G486" t="s">
        <v>3739</v>
      </c>
      <c r="H486" t="s">
        <v>3740</v>
      </c>
      <c r="I486">
        <f t="shared" ca="1" si="28"/>
        <v>21</v>
      </c>
      <c r="J486" t="str">
        <f t="shared" ca="1" si="29"/>
        <v>18-29</v>
      </c>
      <c r="K486">
        <v>93304.31</v>
      </c>
      <c r="L486" t="str">
        <f>IF(Workforce[[#This Row],[Salary]]&lt;50000,"30k-49k",IF(Workforce[[#This Row],[Salary]]&lt;70000,"50k-69k",IF(Workforce[[#This Row],[Salary]]&lt;90000,"70k-89k","90k+")))</f>
        <v>90k+</v>
      </c>
      <c r="M486" t="s">
        <v>3741</v>
      </c>
      <c r="N486">
        <f t="shared" ca="1" si="30"/>
        <v>5</v>
      </c>
      <c r="O486" t="str">
        <f t="shared" ca="1" si="31"/>
        <v>Intermediate level</v>
      </c>
    </row>
    <row r="487" spans="1:15" x14ac:dyDescent="0.3">
      <c r="A487" t="s">
        <v>3742</v>
      </c>
      <c r="B487" t="s">
        <v>3743</v>
      </c>
      <c r="C487" t="s">
        <v>539</v>
      </c>
      <c r="D487" t="s">
        <v>3744</v>
      </c>
      <c r="E487" t="s">
        <v>3745</v>
      </c>
      <c r="F487" t="s">
        <v>3746</v>
      </c>
      <c r="G487" t="s">
        <v>3747</v>
      </c>
      <c r="H487" t="s">
        <v>3748</v>
      </c>
      <c r="I487">
        <f t="shared" ca="1" si="28"/>
        <v>62</v>
      </c>
      <c r="J487" t="str">
        <f t="shared" ca="1" si="29"/>
        <v>60+</v>
      </c>
      <c r="K487">
        <v>103199.18</v>
      </c>
      <c r="L487" t="str">
        <f>IF(Workforce[[#This Row],[Salary]]&lt;50000,"30k-49k",IF(Workforce[[#This Row],[Salary]]&lt;70000,"50k-69k",IF(Workforce[[#This Row],[Salary]]&lt;90000,"70k-89k","90k+")))</f>
        <v>90k+</v>
      </c>
      <c r="M487" t="s">
        <v>3749</v>
      </c>
      <c r="N487">
        <f t="shared" ca="1" si="30"/>
        <v>8</v>
      </c>
      <c r="O487" t="str">
        <f t="shared" ca="1" si="31"/>
        <v>Senior level</v>
      </c>
    </row>
    <row r="488" spans="1:15" x14ac:dyDescent="0.3">
      <c r="A488" t="s">
        <v>3364</v>
      </c>
      <c r="B488" t="s">
        <v>3750</v>
      </c>
      <c r="C488" t="s">
        <v>231</v>
      </c>
      <c r="D488" t="s">
        <v>3751</v>
      </c>
      <c r="E488" t="s">
        <v>3752</v>
      </c>
      <c r="F488" t="s">
        <v>3753</v>
      </c>
      <c r="G488" t="s">
        <v>3754</v>
      </c>
      <c r="H488" t="s">
        <v>3755</v>
      </c>
      <c r="I488">
        <f t="shared" ca="1" si="28"/>
        <v>47</v>
      </c>
      <c r="J488" t="str">
        <f t="shared" ca="1" si="29"/>
        <v>40-49</v>
      </c>
      <c r="K488">
        <v>47797.16</v>
      </c>
      <c r="L488" t="str">
        <f>IF(Workforce[[#This Row],[Salary]]&lt;50000,"30k-49k",IF(Workforce[[#This Row],[Salary]]&lt;70000,"50k-69k",IF(Workforce[[#This Row],[Salary]]&lt;90000,"70k-89k","90k+")))</f>
        <v>30k-49k</v>
      </c>
      <c r="M488" t="s">
        <v>3756</v>
      </c>
      <c r="N488">
        <f t="shared" ca="1" si="30"/>
        <v>10</v>
      </c>
      <c r="O488" t="str">
        <f t="shared" ca="1" si="31"/>
        <v>Senior level</v>
      </c>
    </row>
    <row r="489" spans="1:15" x14ac:dyDescent="0.3">
      <c r="A489" t="s">
        <v>3757</v>
      </c>
      <c r="B489" t="s">
        <v>3758</v>
      </c>
      <c r="C489" t="s">
        <v>326</v>
      </c>
      <c r="D489" t="s">
        <v>3759</v>
      </c>
      <c r="E489" t="s">
        <v>3760</v>
      </c>
      <c r="F489" t="s">
        <v>3761</v>
      </c>
      <c r="G489" t="s">
        <v>3762</v>
      </c>
      <c r="H489" t="s">
        <v>3763</v>
      </c>
      <c r="I489">
        <f t="shared" ca="1" si="28"/>
        <v>58</v>
      </c>
      <c r="J489" t="str">
        <f t="shared" ca="1" si="29"/>
        <v>50-59</v>
      </c>
      <c r="K489">
        <v>69302.98</v>
      </c>
      <c r="L489" t="str">
        <f>IF(Workforce[[#This Row],[Salary]]&lt;50000,"30k-49k",IF(Workforce[[#This Row],[Salary]]&lt;70000,"50k-69k",IF(Workforce[[#This Row],[Salary]]&lt;90000,"70k-89k","90k+")))</f>
        <v>50k-69k</v>
      </c>
      <c r="M489" t="s">
        <v>3764</v>
      </c>
      <c r="N489">
        <f t="shared" ca="1" si="30"/>
        <v>2</v>
      </c>
      <c r="O489" t="str">
        <f t="shared" ca="1" si="31"/>
        <v>Beginner</v>
      </c>
    </row>
    <row r="490" spans="1:15" x14ac:dyDescent="0.3">
      <c r="A490" t="s">
        <v>3765</v>
      </c>
      <c r="B490" t="s">
        <v>3766</v>
      </c>
      <c r="C490" t="s">
        <v>2086</v>
      </c>
      <c r="D490" t="s">
        <v>3767</v>
      </c>
      <c r="E490" t="s">
        <v>3768</v>
      </c>
      <c r="F490" t="s">
        <v>966</v>
      </c>
      <c r="G490" t="s">
        <v>3769</v>
      </c>
      <c r="H490" t="s">
        <v>3770</v>
      </c>
      <c r="I490">
        <f t="shared" ca="1" si="28"/>
        <v>53</v>
      </c>
      <c r="J490" t="str">
        <f t="shared" ca="1" si="29"/>
        <v>50-59</v>
      </c>
      <c r="K490">
        <v>83086.13</v>
      </c>
      <c r="L490" t="str">
        <f>IF(Workforce[[#This Row],[Salary]]&lt;50000,"30k-49k",IF(Workforce[[#This Row],[Salary]]&lt;70000,"50k-69k",IF(Workforce[[#This Row],[Salary]]&lt;90000,"70k-89k","90k+")))</f>
        <v>70k-89k</v>
      </c>
      <c r="M490" t="s">
        <v>3771</v>
      </c>
      <c r="N490">
        <f t="shared" ca="1" si="30"/>
        <v>1</v>
      </c>
      <c r="O490" t="str">
        <f t="shared" ca="1" si="31"/>
        <v>Beginner</v>
      </c>
    </row>
    <row r="491" spans="1:15" x14ac:dyDescent="0.3">
      <c r="A491" t="s">
        <v>3772</v>
      </c>
      <c r="B491" t="s">
        <v>3773</v>
      </c>
      <c r="C491" t="s">
        <v>440</v>
      </c>
      <c r="D491" t="s">
        <v>3774</v>
      </c>
      <c r="E491" t="s">
        <v>3775</v>
      </c>
      <c r="F491" t="s">
        <v>1226</v>
      </c>
      <c r="G491" t="s">
        <v>3776</v>
      </c>
      <c r="H491" t="s">
        <v>3777</v>
      </c>
      <c r="I491">
        <f t="shared" ca="1" si="28"/>
        <v>41</v>
      </c>
      <c r="J491" t="str">
        <f t="shared" ca="1" si="29"/>
        <v>40-49</v>
      </c>
      <c r="K491">
        <v>92787.17</v>
      </c>
      <c r="L491" t="str">
        <f>IF(Workforce[[#This Row],[Salary]]&lt;50000,"30k-49k",IF(Workforce[[#This Row],[Salary]]&lt;70000,"50k-69k",IF(Workforce[[#This Row],[Salary]]&lt;90000,"70k-89k","90k+")))</f>
        <v>90k+</v>
      </c>
      <c r="M491" t="s">
        <v>3778</v>
      </c>
      <c r="N491">
        <f t="shared" ca="1" si="30"/>
        <v>1</v>
      </c>
      <c r="O491" t="str">
        <f t="shared" ca="1" si="31"/>
        <v>Beginner</v>
      </c>
    </row>
    <row r="492" spans="1:15" x14ac:dyDescent="0.3">
      <c r="A492" t="s">
        <v>3779</v>
      </c>
      <c r="B492" t="s">
        <v>3780</v>
      </c>
      <c r="C492" t="s">
        <v>124</v>
      </c>
      <c r="D492" t="s">
        <v>3781</v>
      </c>
      <c r="E492" t="s">
        <v>3782</v>
      </c>
      <c r="F492" t="s">
        <v>3783</v>
      </c>
      <c r="G492" t="s">
        <v>3080</v>
      </c>
      <c r="H492" t="s">
        <v>3784</v>
      </c>
      <c r="I492">
        <f t="shared" ca="1" si="28"/>
        <v>55</v>
      </c>
      <c r="J492" t="str">
        <f t="shared" ca="1" si="29"/>
        <v>50-59</v>
      </c>
      <c r="K492">
        <v>92664.19</v>
      </c>
      <c r="L492" t="str">
        <f>IF(Workforce[[#This Row],[Salary]]&lt;50000,"30k-49k",IF(Workforce[[#This Row],[Salary]]&lt;70000,"50k-69k",IF(Workforce[[#This Row],[Salary]]&lt;90000,"70k-89k","90k+")))</f>
        <v>90k+</v>
      </c>
      <c r="M492" t="s">
        <v>3785</v>
      </c>
      <c r="N492">
        <f t="shared" ca="1" si="30"/>
        <v>7</v>
      </c>
      <c r="O492" t="str">
        <f t="shared" ca="1" si="31"/>
        <v>Senior level</v>
      </c>
    </row>
    <row r="493" spans="1:15" x14ac:dyDescent="0.3">
      <c r="A493" t="s">
        <v>3786</v>
      </c>
      <c r="B493" t="s">
        <v>3787</v>
      </c>
      <c r="C493" t="s">
        <v>35</v>
      </c>
      <c r="D493" t="s">
        <v>3788</v>
      </c>
      <c r="E493" t="s">
        <v>3789</v>
      </c>
      <c r="F493" t="s">
        <v>1919</v>
      </c>
      <c r="G493" t="s">
        <v>3790</v>
      </c>
      <c r="H493" t="s">
        <v>3791</v>
      </c>
      <c r="I493">
        <f t="shared" ca="1" si="28"/>
        <v>36</v>
      </c>
      <c r="J493" t="str">
        <f t="shared" ca="1" si="29"/>
        <v>30-39</v>
      </c>
      <c r="K493">
        <v>40529.120000000003</v>
      </c>
      <c r="L493" t="str">
        <f>IF(Workforce[[#This Row],[Salary]]&lt;50000,"30k-49k",IF(Workforce[[#This Row],[Salary]]&lt;70000,"50k-69k",IF(Workforce[[#This Row],[Salary]]&lt;90000,"70k-89k","90k+")))</f>
        <v>30k-49k</v>
      </c>
      <c r="M493" t="s">
        <v>3792</v>
      </c>
      <c r="N493">
        <f t="shared" ca="1" si="30"/>
        <v>10</v>
      </c>
      <c r="O493" t="str">
        <f t="shared" ca="1" si="31"/>
        <v>Senior level</v>
      </c>
    </row>
    <row r="494" spans="1:15" x14ac:dyDescent="0.3">
      <c r="A494" t="s">
        <v>3793</v>
      </c>
      <c r="B494" t="s">
        <v>3794</v>
      </c>
      <c r="C494" t="s">
        <v>457</v>
      </c>
      <c r="D494" t="s">
        <v>3795</v>
      </c>
      <c r="E494" t="s">
        <v>3796</v>
      </c>
      <c r="F494" t="s">
        <v>1611</v>
      </c>
      <c r="G494" t="s">
        <v>3797</v>
      </c>
      <c r="H494" t="s">
        <v>3798</v>
      </c>
      <c r="I494">
        <f t="shared" ca="1" si="28"/>
        <v>24</v>
      </c>
      <c r="J494" t="str">
        <f t="shared" ca="1" si="29"/>
        <v>18-29</v>
      </c>
      <c r="K494">
        <v>48380.55</v>
      </c>
      <c r="L494" t="str">
        <f>IF(Workforce[[#This Row],[Salary]]&lt;50000,"30k-49k",IF(Workforce[[#This Row],[Salary]]&lt;70000,"50k-69k",IF(Workforce[[#This Row],[Salary]]&lt;90000,"70k-89k","90k+")))</f>
        <v>30k-49k</v>
      </c>
      <c r="M494" t="s">
        <v>3799</v>
      </c>
      <c r="N494">
        <f t="shared" ca="1" si="30"/>
        <v>8</v>
      </c>
      <c r="O494" t="str">
        <f t="shared" ca="1" si="31"/>
        <v>Senior level</v>
      </c>
    </row>
    <row r="495" spans="1:15" x14ac:dyDescent="0.3">
      <c r="A495" t="s">
        <v>3800</v>
      </c>
      <c r="B495" t="s">
        <v>3801</v>
      </c>
      <c r="C495" t="s">
        <v>335</v>
      </c>
      <c r="D495" t="s">
        <v>3802</v>
      </c>
      <c r="E495" t="s">
        <v>3803</v>
      </c>
      <c r="F495" t="s">
        <v>3804</v>
      </c>
      <c r="G495" t="s">
        <v>3805</v>
      </c>
      <c r="H495" t="s">
        <v>3806</v>
      </c>
      <c r="I495">
        <f t="shared" ca="1" si="28"/>
        <v>42</v>
      </c>
      <c r="J495" t="str">
        <f t="shared" ca="1" si="29"/>
        <v>40-49</v>
      </c>
      <c r="K495">
        <v>34526.019999999997</v>
      </c>
      <c r="L495" t="str">
        <f>IF(Workforce[[#This Row],[Salary]]&lt;50000,"30k-49k",IF(Workforce[[#This Row],[Salary]]&lt;70000,"50k-69k",IF(Workforce[[#This Row],[Salary]]&lt;90000,"70k-89k","90k+")))</f>
        <v>30k-49k</v>
      </c>
      <c r="M495" t="s">
        <v>3807</v>
      </c>
      <c r="N495">
        <f t="shared" ca="1" si="30"/>
        <v>10</v>
      </c>
      <c r="O495" t="str">
        <f t="shared" ca="1" si="31"/>
        <v>Senior level</v>
      </c>
    </row>
    <row r="496" spans="1:15" x14ac:dyDescent="0.3">
      <c r="A496" t="s">
        <v>3808</v>
      </c>
      <c r="B496" t="s">
        <v>3809</v>
      </c>
      <c r="C496" t="s">
        <v>539</v>
      </c>
      <c r="D496" t="s">
        <v>3810</v>
      </c>
      <c r="E496" t="s">
        <v>3811</v>
      </c>
      <c r="F496" t="s">
        <v>3812</v>
      </c>
      <c r="G496" t="s">
        <v>3813</v>
      </c>
      <c r="H496" t="s">
        <v>3814</v>
      </c>
      <c r="I496">
        <f t="shared" ca="1" si="28"/>
        <v>28</v>
      </c>
      <c r="J496" t="str">
        <f t="shared" ca="1" si="29"/>
        <v>18-29</v>
      </c>
      <c r="K496">
        <v>118511.66</v>
      </c>
      <c r="L496" t="str">
        <f>IF(Workforce[[#This Row],[Salary]]&lt;50000,"30k-49k",IF(Workforce[[#This Row],[Salary]]&lt;70000,"50k-69k",IF(Workforce[[#This Row],[Salary]]&lt;90000,"70k-89k","90k+")))</f>
        <v>90k+</v>
      </c>
      <c r="M496" t="s">
        <v>3815</v>
      </c>
      <c r="N496">
        <f t="shared" ca="1" si="30"/>
        <v>7</v>
      </c>
      <c r="O496" t="str">
        <f t="shared" ca="1" si="31"/>
        <v>Senior level</v>
      </c>
    </row>
    <row r="497" spans="1:15" x14ac:dyDescent="0.3">
      <c r="A497" t="s">
        <v>3816</v>
      </c>
      <c r="B497" t="s">
        <v>3817</v>
      </c>
      <c r="C497" t="s">
        <v>400</v>
      </c>
      <c r="D497" t="s">
        <v>3818</v>
      </c>
      <c r="E497" t="s">
        <v>3819</v>
      </c>
      <c r="F497" t="s">
        <v>3820</v>
      </c>
      <c r="G497" t="s">
        <v>3821</v>
      </c>
      <c r="H497" t="s">
        <v>3822</v>
      </c>
      <c r="I497">
        <f t="shared" ca="1" si="28"/>
        <v>52</v>
      </c>
      <c r="J497" t="str">
        <f t="shared" ca="1" si="29"/>
        <v>50-59</v>
      </c>
      <c r="K497">
        <v>79338.990000000005</v>
      </c>
      <c r="L497" t="str">
        <f>IF(Workforce[[#This Row],[Salary]]&lt;50000,"30k-49k",IF(Workforce[[#This Row],[Salary]]&lt;70000,"50k-69k",IF(Workforce[[#This Row],[Salary]]&lt;90000,"70k-89k","90k+")))</f>
        <v>70k-89k</v>
      </c>
      <c r="M497" t="s">
        <v>3823</v>
      </c>
      <c r="N497">
        <f t="shared" ca="1" si="30"/>
        <v>10</v>
      </c>
      <c r="O497" t="str">
        <f t="shared" ca="1" si="31"/>
        <v>Senior level</v>
      </c>
    </row>
    <row r="498" spans="1:15" x14ac:dyDescent="0.3">
      <c r="A498" t="s">
        <v>3824</v>
      </c>
      <c r="B498" t="s">
        <v>3825</v>
      </c>
      <c r="C498" t="s">
        <v>44</v>
      </c>
      <c r="D498" t="s">
        <v>3826</v>
      </c>
      <c r="E498" t="s">
        <v>3827</v>
      </c>
      <c r="F498" t="s">
        <v>3828</v>
      </c>
      <c r="G498" t="s">
        <v>3829</v>
      </c>
      <c r="H498" t="s">
        <v>3830</v>
      </c>
      <c r="I498">
        <f t="shared" ca="1" si="28"/>
        <v>52</v>
      </c>
      <c r="J498" t="str">
        <f t="shared" ca="1" si="29"/>
        <v>50-59</v>
      </c>
      <c r="K498">
        <v>37651.379999999997</v>
      </c>
      <c r="L498" t="str">
        <f>IF(Workforce[[#This Row],[Salary]]&lt;50000,"30k-49k",IF(Workforce[[#This Row],[Salary]]&lt;70000,"50k-69k",IF(Workforce[[#This Row],[Salary]]&lt;90000,"70k-89k","90k+")))</f>
        <v>30k-49k</v>
      </c>
      <c r="M498" t="s">
        <v>3831</v>
      </c>
      <c r="N498">
        <f t="shared" ca="1" si="30"/>
        <v>4</v>
      </c>
      <c r="O498" t="str">
        <f t="shared" ca="1" si="31"/>
        <v>Intermediate level</v>
      </c>
    </row>
    <row r="499" spans="1:15" x14ac:dyDescent="0.3">
      <c r="A499" t="s">
        <v>3832</v>
      </c>
      <c r="B499" t="s">
        <v>3833</v>
      </c>
      <c r="C499" t="s">
        <v>169</v>
      </c>
      <c r="D499" t="s">
        <v>3834</v>
      </c>
      <c r="E499" t="s">
        <v>3835</v>
      </c>
      <c r="F499" t="s">
        <v>598</v>
      </c>
      <c r="G499" t="s">
        <v>3836</v>
      </c>
      <c r="H499" t="s">
        <v>3837</v>
      </c>
      <c r="I499">
        <f t="shared" ca="1" si="28"/>
        <v>34</v>
      </c>
      <c r="J499" t="str">
        <f t="shared" ca="1" si="29"/>
        <v>30-39</v>
      </c>
      <c r="K499">
        <v>30668.14</v>
      </c>
      <c r="L499" t="str">
        <f>IF(Workforce[[#This Row],[Salary]]&lt;50000,"30k-49k",IF(Workforce[[#This Row],[Salary]]&lt;70000,"50k-69k",IF(Workforce[[#This Row],[Salary]]&lt;90000,"70k-89k","90k+")))</f>
        <v>30k-49k</v>
      </c>
      <c r="M499" t="s">
        <v>3838</v>
      </c>
      <c r="N499">
        <f t="shared" ca="1" si="30"/>
        <v>7</v>
      </c>
      <c r="O499" t="str">
        <f t="shared" ca="1" si="31"/>
        <v>Senior level</v>
      </c>
    </row>
    <row r="500" spans="1:15" x14ac:dyDescent="0.3">
      <c r="A500" t="s">
        <v>3839</v>
      </c>
      <c r="B500" t="s">
        <v>3840</v>
      </c>
      <c r="C500" t="s">
        <v>774</v>
      </c>
      <c r="D500" t="s">
        <v>3841</v>
      </c>
      <c r="E500" t="s">
        <v>3842</v>
      </c>
      <c r="F500" t="s">
        <v>3103</v>
      </c>
      <c r="G500" t="s">
        <v>3843</v>
      </c>
      <c r="H500" t="s">
        <v>3844</v>
      </c>
      <c r="I500">
        <f t="shared" ca="1" si="28"/>
        <v>37</v>
      </c>
      <c r="J500" t="str">
        <f t="shared" ca="1" si="29"/>
        <v>30-39</v>
      </c>
      <c r="K500">
        <v>102395.62</v>
      </c>
      <c r="L500" t="str">
        <f>IF(Workforce[[#This Row],[Salary]]&lt;50000,"30k-49k",IF(Workforce[[#This Row],[Salary]]&lt;70000,"50k-69k",IF(Workforce[[#This Row],[Salary]]&lt;90000,"70k-89k","90k+")))</f>
        <v>90k+</v>
      </c>
      <c r="M500" t="s">
        <v>3845</v>
      </c>
      <c r="N500">
        <f t="shared" ca="1" si="30"/>
        <v>7</v>
      </c>
      <c r="O500" t="str">
        <f t="shared" ca="1" si="31"/>
        <v>Senior level</v>
      </c>
    </row>
    <row r="501" spans="1:15" x14ac:dyDescent="0.3">
      <c r="A501" t="s">
        <v>3846</v>
      </c>
      <c r="B501" t="s">
        <v>3847</v>
      </c>
      <c r="C501" t="s">
        <v>351</v>
      </c>
      <c r="D501" t="s">
        <v>3848</v>
      </c>
      <c r="E501" t="s">
        <v>3849</v>
      </c>
      <c r="F501" t="s">
        <v>3850</v>
      </c>
      <c r="G501" t="s">
        <v>3851</v>
      </c>
      <c r="H501" t="s">
        <v>3852</v>
      </c>
      <c r="I501">
        <f t="shared" ca="1" si="28"/>
        <v>19</v>
      </c>
      <c r="J501" t="str">
        <f t="shared" ca="1" si="29"/>
        <v>18-29</v>
      </c>
      <c r="K501">
        <v>36716.620000000003</v>
      </c>
      <c r="L501" t="str">
        <f>IF(Workforce[[#This Row],[Salary]]&lt;50000,"30k-49k",IF(Workforce[[#This Row],[Salary]]&lt;70000,"50k-69k",IF(Workforce[[#This Row],[Salary]]&lt;90000,"70k-89k","90k+")))</f>
        <v>30k-49k</v>
      </c>
      <c r="M501" t="s">
        <v>3853</v>
      </c>
      <c r="N501">
        <f t="shared" ca="1" si="30"/>
        <v>5</v>
      </c>
      <c r="O501" t="str">
        <f t="shared" ca="1" si="31"/>
        <v>Intermediate level</v>
      </c>
    </row>
    <row r="502" spans="1:15" x14ac:dyDescent="0.3">
      <c r="A502" t="s">
        <v>3854</v>
      </c>
      <c r="B502" t="s">
        <v>3855</v>
      </c>
      <c r="C502" t="s">
        <v>1159</v>
      </c>
      <c r="D502" t="s">
        <v>3856</v>
      </c>
      <c r="E502" t="s">
        <v>3857</v>
      </c>
      <c r="F502" t="s">
        <v>3199</v>
      </c>
      <c r="G502" t="s">
        <v>3858</v>
      </c>
      <c r="H502" t="s">
        <v>3859</v>
      </c>
      <c r="I502">
        <f t="shared" ca="1" si="28"/>
        <v>44</v>
      </c>
      <c r="J502" t="str">
        <f t="shared" ca="1" si="29"/>
        <v>40-49</v>
      </c>
      <c r="K502">
        <v>76689.350000000006</v>
      </c>
      <c r="L502" t="str">
        <f>IF(Workforce[[#This Row],[Salary]]&lt;50000,"30k-49k",IF(Workforce[[#This Row],[Salary]]&lt;70000,"50k-69k",IF(Workforce[[#This Row],[Salary]]&lt;90000,"70k-89k","90k+")))</f>
        <v>70k-89k</v>
      </c>
      <c r="M502" t="s">
        <v>3860</v>
      </c>
      <c r="N502">
        <f t="shared" ca="1" si="30"/>
        <v>2</v>
      </c>
      <c r="O502" t="str">
        <f t="shared" ca="1" si="31"/>
        <v>Beginner</v>
      </c>
    </row>
    <row r="503" spans="1:15" x14ac:dyDescent="0.3">
      <c r="A503" t="s">
        <v>3861</v>
      </c>
      <c r="B503" t="s">
        <v>3862</v>
      </c>
      <c r="C503" t="s">
        <v>440</v>
      </c>
      <c r="D503" t="s">
        <v>3863</v>
      </c>
      <c r="E503" t="s">
        <v>3864</v>
      </c>
      <c r="F503" t="s">
        <v>1780</v>
      </c>
      <c r="G503" t="s">
        <v>3865</v>
      </c>
      <c r="H503" t="s">
        <v>3866</v>
      </c>
      <c r="I503">
        <f t="shared" ca="1" si="28"/>
        <v>21</v>
      </c>
      <c r="J503" t="str">
        <f t="shared" ca="1" si="29"/>
        <v>18-29</v>
      </c>
      <c r="K503">
        <v>31766.09</v>
      </c>
      <c r="L503" t="str">
        <f>IF(Workforce[[#This Row],[Salary]]&lt;50000,"30k-49k",IF(Workforce[[#This Row],[Salary]]&lt;70000,"50k-69k",IF(Workforce[[#This Row],[Salary]]&lt;90000,"70k-89k","90k+")))</f>
        <v>30k-49k</v>
      </c>
      <c r="M503" t="s">
        <v>3867</v>
      </c>
      <c r="N503">
        <f t="shared" ca="1" si="30"/>
        <v>8</v>
      </c>
      <c r="O503" t="str">
        <f t="shared" ca="1" si="31"/>
        <v>Senior level</v>
      </c>
    </row>
    <row r="504" spans="1:15" x14ac:dyDescent="0.3">
      <c r="A504" t="s">
        <v>3868</v>
      </c>
      <c r="B504" t="s">
        <v>3869</v>
      </c>
      <c r="C504" t="s">
        <v>231</v>
      </c>
      <c r="D504" t="s">
        <v>3870</v>
      </c>
      <c r="E504" t="s">
        <v>3871</v>
      </c>
      <c r="F504" t="s">
        <v>2960</v>
      </c>
      <c r="G504" t="s">
        <v>3872</v>
      </c>
      <c r="H504" t="s">
        <v>3873</v>
      </c>
      <c r="I504">
        <f t="shared" ca="1" si="28"/>
        <v>27</v>
      </c>
      <c r="J504" t="str">
        <f t="shared" ca="1" si="29"/>
        <v>18-29</v>
      </c>
      <c r="K504">
        <v>86294.19</v>
      </c>
      <c r="L504" t="str">
        <f>IF(Workforce[[#This Row],[Salary]]&lt;50000,"30k-49k",IF(Workforce[[#This Row],[Salary]]&lt;70000,"50k-69k",IF(Workforce[[#This Row],[Salary]]&lt;90000,"70k-89k","90k+")))</f>
        <v>70k-89k</v>
      </c>
      <c r="M504" t="s">
        <v>3874</v>
      </c>
      <c r="N504">
        <f t="shared" ca="1" si="30"/>
        <v>10</v>
      </c>
      <c r="O504" t="str">
        <f t="shared" ca="1" si="31"/>
        <v>Senior level</v>
      </c>
    </row>
    <row r="505" spans="1:15" x14ac:dyDescent="0.3">
      <c r="A505" t="s">
        <v>3875</v>
      </c>
      <c r="B505" t="s">
        <v>3876</v>
      </c>
      <c r="C505" t="s">
        <v>35</v>
      </c>
      <c r="D505" t="s">
        <v>3877</v>
      </c>
      <c r="E505" t="s">
        <v>3878</v>
      </c>
      <c r="F505" t="s">
        <v>647</v>
      </c>
      <c r="G505" t="s">
        <v>3879</v>
      </c>
      <c r="H505" t="s">
        <v>3880</v>
      </c>
      <c r="I505">
        <f t="shared" ca="1" si="28"/>
        <v>40</v>
      </c>
      <c r="J505" t="str">
        <f t="shared" ca="1" si="29"/>
        <v>40-49</v>
      </c>
      <c r="K505">
        <v>109125.5</v>
      </c>
      <c r="L505" t="str">
        <f>IF(Workforce[[#This Row],[Salary]]&lt;50000,"30k-49k",IF(Workforce[[#This Row],[Salary]]&lt;70000,"50k-69k",IF(Workforce[[#This Row],[Salary]]&lt;90000,"70k-89k","90k+")))</f>
        <v>90k+</v>
      </c>
      <c r="M505" t="s">
        <v>3881</v>
      </c>
      <c r="N505">
        <f t="shared" ca="1" si="30"/>
        <v>0</v>
      </c>
      <c r="O505" t="str">
        <f t="shared" ca="1" si="31"/>
        <v>Beginner</v>
      </c>
    </row>
    <row r="506" spans="1:15" x14ac:dyDescent="0.3">
      <c r="A506" t="s">
        <v>3882</v>
      </c>
      <c r="B506" t="s">
        <v>3883</v>
      </c>
      <c r="C506" t="s">
        <v>44</v>
      </c>
      <c r="D506" t="s">
        <v>3884</v>
      </c>
      <c r="E506" t="s">
        <v>3885</v>
      </c>
      <c r="F506" t="s">
        <v>2665</v>
      </c>
      <c r="G506" t="s">
        <v>3886</v>
      </c>
      <c r="H506" t="s">
        <v>3887</v>
      </c>
      <c r="I506">
        <f t="shared" ca="1" si="28"/>
        <v>60</v>
      </c>
      <c r="J506" t="str">
        <f t="shared" ca="1" si="29"/>
        <v>60+</v>
      </c>
      <c r="K506">
        <v>34073.800000000003</v>
      </c>
      <c r="L506" t="str">
        <f>IF(Workforce[[#This Row],[Salary]]&lt;50000,"30k-49k",IF(Workforce[[#This Row],[Salary]]&lt;70000,"50k-69k",IF(Workforce[[#This Row],[Salary]]&lt;90000,"70k-89k","90k+")))</f>
        <v>30k-49k</v>
      </c>
      <c r="M506" t="s">
        <v>1010</v>
      </c>
      <c r="N506">
        <f t="shared" ca="1" si="30"/>
        <v>8</v>
      </c>
      <c r="O506" t="str">
        <f t="shared" ca="1" si="31"/>
        <v>Senior level</v>
      </c>
    </row>
    <row r="507" spans="1:15" x14ac:dyDescent="0.3">
      <c r="A507" t="s">
        <v>3888</v>
      </c>
      <c r="B507" t="s">
        <v>3889</v>
      </c>
      <c r="C507" t="s">
        <v>106</v>
      </c>
      <c r="D507" t="s">
        <v>3890</v>
      </c>
      <c r="E507" t="s">
        <v>3891</v>
      </c>
      <c r="F507" t="s">
        <v>3892</v>
      </c>
      <c r="G507" t="s">
        <v>3893</v>
      </c>
      <c r="H507" t="s">
        <v>3894</v>
      </c>
      <c r="I507">
        <f t="shared" ca="1" si="28"/>
        <v>61</v>
      </c>
      <c r="J507" t="str">
        <f t="shared" ca="1" si="29"/>
        <v>60+</v>
      </c>
      <c r="K507">
        <v>49759.71</v>
      </c>
      <c r="L507" t="str">
        <f>IF(Workforce[[#This Row],[Salary]]&lt;50000,"30k-49k",IF(Workforce[[#This Row],[Salary]]&lt;70000,"50k-69k",IF(Workforce[[#This Row],[Salary]]&lt;90000,"70k-89k","90k+")))</f>
        <v>30k-49k</v>
      </c>
      <c r="M507" t="s">
        <v>3895</v>
      </c>
      <c r="N507">
        <f t="shared" ca="1" si="30"/>
        <v>1</v>
      </c>
      <c r="O507" t="str">
        <f t="shared" ca="1" si="31"/>
        <v>Beginner</v>
      </c>
    </row>
    <row r="508" spans="1:15" x14ac:dyDescent="0.3">
      <c r="A508" t="s">
        <v>3896</v>
      </c>
      <c r="B508" t="s">
        <v>3897</v>
      </c>
      <c r="C508" t="s">
        <v>169</v>
      </c>
      <c r="D508" t="s">
        <v>3898</v>
      </c>
      <c r="E508" t="s">
        <v>3899</v>
      </c>
      <c r="F508" t="s">
        <v>3900</v>
      </c>
      <c r="G508" t="s">
        <v>3901</v>
      </c>
      <c r="H508" t="s">
        <v>3902</v>
      </c>
      <c r="I508">
        <f t="shared" ca="1" si="28"/>
        <v>37</v>
      </c>
      <c r="J508" t="str">
        <f t="shared" ca="1" si="29"/>
        <v>30-39</v>
      </c>
      <c r="K508">
        <v>95796.05</v>
      </c>
      <c r="L508" t="str">
        <f>IF(Workforce[[#This Row],[Salary]]&lt;50000,"30k-49k",IF(Workforce[[#This Row],[Salary]]&lt;70000,"50k-69k",IF(Workforce[[#This Row],[Salary]]&lt;90000,"70k-89k","90k+")))</f>
        <v>90k+</v>
      </c>
      <c r="M508" t="s">
        <v>3903</v>
      </c>
      <c r="N508">
        <f t="shared" ca="1" si="30"/>
        <v>6</v>
      </c>
      <c r="O508" t="str">
        <f t="shared" ca="1" si="31"/>
        <v>Intermediate level</v>
      </c>
    </row>
    <row r="509" spans="1:15" x14ac:dyDescent="0.3">
      <c r="A509" t="s">
        <v>3904</v>
      </c>
      <c r="B509" t="s">
        <v>3905</v>
      </c>
      <c r="C509" t="s">
        <v>275</v>
      </c>
      <c r="D509" t="s">
        <v>3906</v>
      </c>
      <c r="E509" t="s">
        <v>3907</v>
      </c>
      <c r="F509" t="s">
        <v>3753</v>
      </c>
      <c r="G509" t="s">
        <v>3908</v>
      </c>
      <c r="H509" t="s">
        <v>3909</v>
      </c>
      <c r="I509">
        <f t="shared" ca="1" si="28"/>
        <v>51</v>
      </c>
      <c r="J509" t="str">
        <f t="shared" ca="1" si="29"/>
        <v>50-59</v>
      </c>
      <c r="K509">
        <v>87822.74</v>
      </c>
      <c r="L509" t="str">
        <f>IF(Workforce[[#This Row],[Salary]]&lt;50000,"30k-49k",IF(Workforce[[#This Row],[Salary]]&lt;70000,"50k-69k",IF(Workforce[[#This Row],[Salary]]&lt;90000,"70k-89k","90k+")))</f>
        <v>70k-89k</v>
      </c>
      <c r="M509" t="s">
        <v>3910</v>
      </c>
      <c r="N509">
        <f t="shared" ca="1" si="30"/>
        <v>4</v>
      </c>
      <c r="O509" t="str">
        <f t="shared" ca="1" si="31"/>
        <v>Intermediate level</v>
      </c>
    </row>
    <row r="510" spans="1:15" x14ac:dyDescent="0.3">
      <c r="A510" t="s">
        <v>3911</v>
      </c>
      <c r="B510" t="s">
        <v>3912</v>
      </c>
      <c r="C510" t="s">
        <v>266</v>
      </c>
      <c r="D510" t="s">
        <v>3913</v>
      </c>
      <c r="E510" t="s">
        <v>3914</v>
      </c>
      <c r="F510" t="s">
        <v>329</v>
      </c>
      <c r="G510" t="s">
        <v>3915</v>
      </c>
      <c r="H510" t="s">
        <v>3916</v>
      </c>
      <c r="I510">
        <f t="shared" ca="1" si="28"/>
        <v>56</v>
      </c>
      <c r="J510" t="str">
        <f t="shared" ca="1" si="29"/>
        <v>50-59</v>
      </c>
      <c r="K510">
        <v>111681.63</v>
      </c>
      <c r="L510" t="str">
        <f>IF(Workforce[[#This Row],[Salary]]&lt;50000,"30k-49k",IF(Workforce[[#This Row],[Salary]]&lt;70000,"50k-69k",IF(Workforce[[#This Row],[Salary]]&lt;90000,"70k-89k","90k+")))</f>
        <v>90k+</v>
      </c>
      <c r="M510" t="s">
        <v>3917</v>
      </c>
      <c r="N510">
        <f t="shared" ca="1" si="30"/>
        <v>5</v>
      </c>
      <c r="O510" t="str">
        <f t="shared" ca="1" si="31"/>
        <v>Intermediate level</v>
      </c>
    </row>
    <row r="511" spans="1:15" x14ac:dyDescent="0.3">
      <c r="A511" t="s">
        <v>3918</v>
      </c>
      <c r="B511" t="s">
        <v>3919</v>
      </c>
      <c r="C511" t="s">
        <v>1004</v>
      </c>
      <c r="D511" t="s">
        <v>3920</v>
      </c>
      <c r="E511" t="s">
        <v>3921</v>
      </c>
      <c r="F511" t="s">
        <v>3653</v>
      </c>
      <c r="G511" t="s">
        <v>3922</v>
      </c>
      <c r="H511" t="s">
        <v>3923</v>
      </c>
      <c r="I511">
        <f t="shared" ca="1" si="28"/>
        <v>61</v>
      </c>
      <c r="J511" t="str">
        <f t="shared" ca="1" si="29"/>
        <v>60+</v>
      </c>
      <c r="K511">
        <v>71668.11</v>
      </c>
      <c r="L511" t="str">
        <f>IF(Workforce[[#This Row],[Salary]]&lt;50000,"30k-49k",IF(Workforce[[#This Row],[Salary]]&lt;70000,"50k-69k",IF(Workforce[[#This Row],[Salary]]&lt;90000,"70k-89k","90k+")))</f>
        <v>70k-89k</v>
      </c>
      <c r="M511" t="s">
        <v>3924</v>
      </c>
      <c r="N511">
        <f t="shared" ca="1" si="30"/>
        <v>6</v>
      </c>
      <c r="O511" t="str">
        <f t="shared" ca="1" si="31"/>
        <v>Intermediate level</v>
      </c>
    </row>
    <row r="512" spans="1:15" x14ac:dyDescent="0.3">
      <c r="A512" t="s">
        <v>3925</v>
      </c>
      <c r="B512" t="s">
        <v>3926</v>
      </c>
      <c r="C512" t="s">
        <v>1004</v>
      </c>
      <c r="D512" t="s">
        <v>3927</v>
      </c>
      <c r="E512" t="s">
        <v>3928</v>
      </c>
      <c r="F512" t="s">
        <v>3929</v>
      </c>
      <c r="G512" t="s">
        <v>3930</v>
      </c>
      <c r="H512" t="s">
        <v>3931</v>
      </c>
      <c r="I512">
        <f t="shared" ca="1" si="28"/>
        <v>41</v>
      </c>
      <c r="J512" t="str">
        <f t="shared" ca="1" si="29"/>
        <v>40-49</v>
      </c>
      <c r="K512">
        <v>76613.710000000006</v>
      </c>
      <c r="L512" t="str">
        <f>IF(Workforce[[#This Row],[Salary]]&lt;50000,"30k-49k",IF(Workforce[[#This Row],[Salary]]&lt;70000,"50k-69k",IF(Workforce[[#This Row],[Salary]]&lt;90000,"70k-89k","90k+")))</f>
        <v>70k-89k</v>
      </c>
      <c r="M512" t="s">
        <v>697</v>
      </c>
      <c r="N512">
        <f t="shared" ca="1" si="30"/>
        <v>9</v>
      </c>
      <c r="O512" t="str">
        <f t="shared" ca="1" si="31"/>
        <v>Senior level</v>
      </c>
    </row>
    <row r="513" spans="1:15" x14ac:dyDescent="0.3">
      <c r="A513" t="s">
        <v>3932</v>
      </c>
      <c r="B513" t="s">
        <v>3933</v>
      </c>
      <c r="C513" t="s">
        <v>844</v>
      </c>
      <c r="D513" t="s">
        <v>3934</v>
      </c>
      <c r="E513" t="s">
        <v>3935</v>
      </c>
      <c r="F513" t="s">
        <v>145</v>
      </c>
      <c r="G513" t="s">
        <v>3936</v>
      </c>
      <c r="H513" t="s">
        <v>3937</v>
      </c>
      <c r="I513">
        <f t="shared" ca="1" si="28"/>
        <v>25</v>
      </c>
      <c r="J513" t="str">
        <f t="shared" ca="1" si="29"/>
        <v>18-29</v>
      </c>
      <c r="K513">
        <v>95490.4</v>
      </c>
      <c r="L513" t="str">
        <f>IF(Workforce[[#This Row],[Salary]]&lt;50000,"30k-49k",IF(Workforce[[#This Row],[Salary]]&lt;70000,"50k-69k",IF(Workforce[[#This Row],[Salary]]&lt;90000,"70k-89k","90k+")))</f>
        <v>90k+</v>
      </c>
      <c r="M513" t="s">
        <v>3938</v>
      </c>
      <c r="N513">
        <f t="shared" ca="1" si="30"/>
        <v>8</v>
      </c>
      <c r="O513" t="str">
        <f t="shared" ca="1" si="31"/>
        <v>Senior level</v>
      </c>
    </row>
    <row r="514" spans="1:15" x14ac:dyDescent="0.3">
      <c r="A514" t="s">
        <v>3939</v>
      </c>
      <c r="B514" t="s">
        <v>3940</v>
      </c>
      <c r="C514" t="s">
        <v>351</v>
      </c>
      <c r="D514" t="s">
        <v>3941</v>
      </c>
      <c r="E514" t="s">
        <v>3942</v>
      </c>
      <c r="F514" t="s">
        <v>3943</v>
      </c>
      <c r="G514" t="s">
        <v>3944</v>
      </c>
      <c r="H514" t="s">
        <v>3945</v>
      </c>
      <c r="I514">
        <f t="shared" ref="I514:I577" ca="1" si="32">DATEDIF(H514,TODAY(),"y")</f>
        <v>42</v>
      </c>
      <c r="J514" t="str">
        <f t="shared" ref="J514:J577" ca="1" si="33">IF(I514&lt;30,"18-29",IF(I514&lt;40,"30-39",IF(I514&lt;50,"40-49",IF(I514&lt;60,"50-59","60+"))))</f>
        <v>40-49</v>
      </c>
      <c r="K514">
        <v>86579.94</v>
      </c>
      <c r="L514" t="str">
        <f>IF(Workforce[[#This Row],[Salary]]&lt;50000,"30k-49k",IF(Workforce[[#This Row],[Salary]]&lt;70000,"50k-69k",IF(Workforce[[#This Row],[Salary]]&lt;90000,"70k-89k","90k+")))</f>
        <v>70k-89k</v>
      </c>
      <c r="M514" t="s">
        <v>1315</v>
      </c>
      <c r="N514">
        <f t="shared" ref="N514:N577" ca="1" si="34">DATEDIF(M514,TODAY(),"y")</f>
        <v>7</v>
      </c>
      <c r="O514" t="str">
        <f t="shared" ref="O514:O577" ca="1" si="35">IF(N514&lt;=2,"Beginner",IF(N514&lt;=6,"Intermediate level","Senior level"))</f>
        <v>Senior level</v>
      </c>
    </row>
    <row r="515" spans="1:15" x14ac:dyDescent="0.3">
      <c r="A515" t="s">
        <v>3946</v>
      </c>
      <c r="B515" t="s">
        <v>3947</v>
      </c>
      <c r="C515" t="s">
        <v>774</v>
      </c>
      <c r="D515" t="s">
        <v>3948</v>
      </c>
      <c r="E515" t="s">
        <v>3949</v>
      </c>
      <c r="F515" t="s">
        <v>2600</v>
      </c>
      <c r="G515" t="s">
        <v>3950</v>
      </c>
      <c r="H515" t="s">
        <v>3951</v>
      </c>
      <c r="I515">
        <f t="shared" ca="1" si="32"/>
        <v>47</v>
      </c>
      <c r="J515" t="str">
        <f t="shared" ca="1" si="33"/>
        <v>40-49</v>
      </c>
      <c r="K515">
        <v>99375.65</v>
      </c>
      <c r="L515" t="str">
        <f>IF(Workforce[[#This Row],[Salary]]&lt;50000,"30k-49k",IF(Workforce[[#This Row],[Salary]]&lt;70000,"50k-69k",IF(Workforce[[#This Row],[Salary]]&lt;90000,"70k-89k","90k+")))</f>
        <v>90k+</v>
      </c>
      <c r="M515" t="s">
        <v>3952</v>
      </c>
      <c r="N515">
        <f t="shared" ca="1" si="34"/>
        <v>9</v>
      </c>
      <c r="O515" t="str">
        <f t="shared" ca="1" si="35"/>
        <v>Senior level</v>
      </c>
    </row>
    <row r="516" spans="1:15" x14ac:dyDescent="0.3">
      <c r="A516" t="s">
        <v>3953</v>
      </c>
      <c r="B516" t="s">
        <v>3954</v>
      </c>
      <c r="C516" t="s">
        <v>351</v>
      </c>
      <c r="D516" t="s">
        <v>3955</v>
      </c>
      <c r="E516" t="s">
        <v>3956</v>
      </c>
      <c r="F516" t="s">
        <v>3957</v>
      </c>
      <c r="G516" t="s">
        <v>3958</v>
      </c>
      <c r="H516" t="s">
        <v>3959</v>
      </c>
      <c r="I516">
        <f t="shared" ca="1" si="32"/>
        <v>19</v>
      </c>
      <c r="J516" t="str">
        <f t="shared" ca="1" si="33"/>
        <v>18-29</v>
      </c>
      <c r="K516">
        <v>49359.75</v>
      </c>
      <c r="L516" t="str">
        <f>IF(Workforce[[#This Row],[Salary]]&lt;50000,"30k-49k",IF(Workforce[[#This Row],[Salary]]&lt;70000,"50k-69k",IF(Workforce[[#This Row],[Salary]]&lt;90000,"70k-89k","90k+")))</f>
        <v>30k-49k</v>
      </c>
      <c r="M516" t="s">
        <v>520</v>
      </c>
      <c r="N516">
        <f t="shared" ca="1" si="34"/>
        <v>1</v>
      </c>
      <c r="O516" t="str">
        <f t="shared" ca="1" si="35"/>
        <v>Beginner</v>
      </c>
    </row>
    <row r="517" spans="1:15" x14ac:dyDescent="0.3">
      <c r="A517" t="s">
        <v>3960</v>
      </c>
      <c r="B517" t="s">
        <v>3961</v>
      </c>
      <c r="C517" t="s">
        <v>748</v>
      </c>
      <c r="D517" t="s">
        <v>3962</v>
      </c>
      <c r="E517" t="s">
        <v>3963</v>
      </c>
      <c r="F517" t="s">
        <v>29</v>
      </c>
      <c r="G517" t="s">
        <v>3964</v>
      </c>
      <c r="H517" t="s">
        <v>3965</v>
      </c>
      <c r="I517">
        <f t="shared" ca="1" si="32"/>
        <v>28</v>
      </c>
      <c r="J517" t="str">
        <f t="shared" ca="1" si="33"/>
        <v>18-29</v>
      </c>
      <c r="K517">
        <v>91720.94</v>
      </c>
      <c r="L517" t="str">
        <f>IF(Workforce[[#This Row],[Salary]]&lt;50000,"30k-49k",IF(Workforce[[#This Row],[Salary]]&lt;70000,"50k-69k",IF(Workforce[[#This Row],[Salary]]&lt;90000,"70k-89k","90k+")))</f>
        <v>90k+</v>
      </c>
      <c r="M517" t="s">
        <v>3966</v>
      </c>
      <c r="N517">
        <f t="shared" ca="1" si="34"/>
        <v>10</v>
      </c>
      <c r="O517" t="str">
        <f t="shared" ca="1" si="35"/>
        <v>Senior level</v>
      </c>
    </row>
    <row r="518" spans="1:15" x14ac:dyDescent="0.3">
      <c r="A518" t="s">
        <v>3967</v>
      </c>
      <c r="B518" t="s">
        <v>3968</v>
      </c>
      <c r="C518" t="s">
        <v>317</v>
      </c>
      <c r="D518" t="s">
        <v>3969</v>
      </c>
      <c r="E518" t="s">
        <v>3970</v>
      </c>
      <c r="F518" t="s">
        <v>3971</v>
      </c>
      <c r="G518" t="s">
        <v>3972</v>
      </c>
      <c r="H518" t="s">
        <v>3973</v>
      </c>
      <c r="I518">
        <f t="shared" ca="1" si="32"/>
        <v>60</v>
      </c>
      <c r="J518" t="str">
        <f t="shared" ca="1" si="33"/>
        <v>60+</v>
      </c>
      <c r="K518">
        <v>114379.35</v>
      </c>
      <c r="L518" t="str">
        <f>IF(Workforce[[#This Row],[Salary]]&lt;50000,"30k-49k",IF(Workforce[[#This Row],[Salary]]&lt;70000,"50k-69k",IF(Workforce[[#This Row],[Salary]]&lt;90000,"70k-89k","90k+")))</f>
        <v>90k+</v>
      </c>
      <c r="M518" t="s">
        <v>3974</v>
      </c>
      <c r="N518">
        <f t="shared" ca="1" si="34"/>
        <v>10</v>
      </c>
      <c r="O518" t="str">
        <f t="shared" ca="1" si="35"/>
        <v>Senior level</v>
      </c>
    </row>
    <row r="519" spans="1:15" x14ac:dyDescent="0.3">
      <c r="A519" t="s">
        <v>3975</v>
      </c>
      <c r="B519" t="s">
        <v>3976</v>
      </c>
      <c r="C519" t="s">
        <v>284</v>
      </c>
      <c r="D519" t="s">
        <v>3977</v>
      </c>
      <c r="E519" t="s">
        <v>3978</v>
      </c>
      <c r="F519" t="s">
        <v>1503</v>
      </c>
      <c r="G519" t="s">
        <v>3979</v>
      </c>
      <c r="H519" t="s">
        <v>3980</v>
      </c>
      <c r="I519">
        <f t="shared" ca="1" si="32"/>
        <v>32</v>
      </c>
      <c r="J519" t="str">
        <f t="shared" ca="1" si="33"/>
        <v>30-39</v>
      </c>
      <c r="K519">
        <v>38595.050000000003</v>
      </c>
      <c r="L519" t="str">
        <f>IF(Workforce[[#This Row],[Salary]]&lt;50000,"30k-49k",IF(Workforce[[#This Row],[Salary]]&lt;70000,"50k-69k",IF(Workforce[[#This Row],[Salary]]&lt;90000,"70k-89k","90k+")))</f>
        <v>30k-49k</v>
      </c>
      <c r="M519" t="s">
        <v>3981</v>
      </c>
      <c r="N519">
        <f t="shared" ca="1" si="34"/>
        <v>3</v>
      </c>
      <c r="O519" t="str">
        <f t="shared" ca="1" si="35"/>
        <v>Intermediate level</v>
      </c>
    </row>
    <row r="520" spans="1:15" x14ac:dyDescent="0.3">
      <c r="A520" t="s">
        <v>3982</v>
      </c>
      <c r="B520" t="s">
        <v>3983</v>
      </c>
      <c r="C520" t="s">
        <v>748</v>
      </c>
      <c r="D520" t="s">
        <v>3984</v>
      </c>
      <c r="E520" t="s">
        <v>3985</v>
      </c>
      <c r="F520" t="s">
        <v>3986</v>
      </c>
      <c r="G520" t="s">
        <v>3987</v>
      </c>
      <c r="H520" t="s">
        <v>3988</v>
      </c>
      <c r="I520">
        <f t="shared" ca="1" si="32"/>
        <v>36</v>
      </c>
      <c r="J520" t="str">
        <f t="shared" ca="1" si="33"/>
        <v>30-39</v>
      </c>
      <c r="K520">
        <v>60869.07</v>
      </c>
      <c r="L520" t="str">
        <f>IF(Workforce[[#This Row],[Salary]]&lt;50000,"30k-49k",IF(Workforce[[#This Row],[Salary]]&lt;70000,"50k-69k",IF(Workforce[[#This Row],[Salary]]&lt;90000,"70k-89k","90k+")))</f>
        <v>50k-69k</v>
      </c>
      <c r="M520" t="s">
        <v>3989</v>
      </c>
      <c r="N520">
        <f t="shared" ca="1" si="34"/>
        <v>9</v>
      </c>
      <c r="O520" t="str">
        <f t="shared" ca="1" si="35"/>
        <v>Senior level</v>
      </c>
    </row>
    <row r="521" spans="1:15" x14ac:dyDescent="0.3">
      <c r="A521" t="s">
        <v>3990</v>
      </c>
      <c r="B521" t="s">
        <v>3991</v>
      </c>
      <c r="C521" t="s">
        <v>400</v>
      </c>
      <c r="D521" t="s">
        <v>3992</v>
      </c>
      <c r="E521" t="s">
        <v>3993</v>
      </c>
      <c r="F521" t="s">
        <v>3103</v>
      </c>
      <c r="G521" t="s">
        <v>3994</v>
      </c>
      <c r="H521" t="s">
        <v>3995</v>
      </c>
      <c r="I521">
        <f t="shared" ca="1" si="32"/>
        <v>28</v>
      </c>
      <c r="J521" t="str">
        <f t="shared" ca="1" si="33"/>
        <v>18-29</v>
      </c>
      <c r="K521">
        <v>69691.539999999994</v>
      </c>
      <c r="L521" t="str">
        <f>IF(Workforce[[#This Row],[Salary]]&lt;50000,"30k-49k",IF(Workforce[[#This Row],[Salary]]&lt;70000,"50k-69k",IF(Workforce[[#This Row],[Salary]]&lt;90000,"70k-89k","90k+")))</f>
        <v>50k-69k</v>
      </c>
      <c r="M521" t="s">
        <v>3996</v>
      </c>
      <c r="N521">
        <f t="shared" ca="1" si="34"/>
        <v>1</v>
      </c>
      <c r="O521" t="str">
        <f t="shared" ca="1" si="35"/>
        <v>Beginner</v>
      </c>
    </row>
    <row r="522" spans="1:15" x14ac:dyDescent="0.3">
      <c r="A522" t="s">
        <v>3997</v>
      </c>
      <c r="B522" t="s">
        <v>3998</v>
      </c>
      <c r="C522" t="s">
        <v>142</v>
      </c>
      <c r="D522" t="s">
        <v>3999</v>
      </c>
      <c r="E522" t="s">
        <v>4000</v>
      </c>
      <c r="F522" t="s">
        <v>2186</v>
      </c>
      <c r="G522" t="s">
        <v>4001</v>
      </c>
      <c r="H522" t="s">
        <v>4002</v>
      </c>
      <c r="I522">
        <f t="shared" ca="1" si="32"/>
        <v>27</v>
      </c>
      <c r="J522" t="str">
        <f t="shared" ca="1" si="33"/>
        <v>18-29</v>
      </c>
      <c r="K522">
        <v>118535.66</v>
      </c>
      <c r="L522" t="str">
        <f>IF(Workforce[[#This Row],[Salary]]&lt;50000,"30k-49k",IF(Workforce[[#This Row],[Salary]]&lt;70000,"50k-69k",IF(Workforce[[#This Row],[Salary]]&lt;90000,"70k-89k","90k+")))</f>
        <v>90k+</v>
      </c>
      <c r="M522" t="s">
        <v>4003</v>
      </c>
      <c r="N522">
        <f t="shared" ca="1" si="34"/>
        <v>5</v>
      </c>
      <c r="O522" t="str">
        <f t="shared" ca="1" si="35"/>
        <v>Intermediate level</v>
      </c>
    </row>
    <row r="523" spans="1:15" x14ac:dyDescent="0.3">
      <c r="A523" t="s">
        <v>4004</v>
      </c>
      <c r="B523" t="s">
        <v>4005</v>
      </c>
      <c r="C523" t="s">
        <v>115</v>
      </c>
      <c r="D523" t="s">
        <v>4006</v>
      </c>
      <c r="E523" t="s">
        <v>4007</v>
      </c>
      <c r="F523" t="s">
        <v>4008</v>
      </c>
      <c r="G523" t="s">
        <v>4009</v>
      </c>
      <c r="H523" t="s">
        <v>4010</v>
      </c>
      <c r="I523">
        <f t="shared" ca="1" si="32"/>
        <v>61</v>
      </c>
      <c r="J523" t="str">
        <f t="shared" ca="1" si="33"/>
        <v>60+</v>
      </c>
      <c r="K523">
        <v>50468.52</v>
      </c>
      <c r="L523" t="str">
        <f>IF(Workforce[[#This Row],[Salary]]&lt;50000,"30k-49k",IF(Workforce[[#This Row],[Salary]]&lt;70000,"50k-69k",IF(Workforce[[#This Row],[Salary]]&lt;90000,"70k-89k","90k+")))</f>
        <v>50k-69k</v>
      </c>
      <c r="M523" t="s">
        <v>4011</v>
      </c>
      <c r="N523">
        <f t="shared" ca="1" si="34"/>
        <v>10</v>
      </c>
      <c r="O523" t="str">
        <f t="shared" ca="1" si="35"/>
        <v>Senior level</v>
      </c>
    </row>
    <row r="524" spans="1:15" x14ac:dyDescent="0.3">
      <c r="A524" t="s">
        <v>4012</v>
      </c>
      <c r="B524" t="s">
        <v>4013</v>
      </c>
      <c r="C524" t="s">
        <v>844</v>
      </c>
      <c r="D524" t="s">
        <v>4014</v>
      </c>
      <c r="E524" t="s">
        <v>4015</v>
      </c>
      <c r="F524" t="s">
        <v>1580</v>
      </c>
      <c r="G524" t="s">
        <v>4016</v>
      </c>
      <c r="H524" t="s">
        <v>4017</v>
      </c>
      <c r="I524">
        <f t="shared" ca="1" si="32"/>
        <v>41</v>
      </c>
      <c r="J524" t="str">
        <f t="shared" ca="1" si="33"/>
        <v>40-49</v>
      </c>
      <c r="K524">
        <v>43104.66</v>
      </c>
      <c r="L524" t="str">
        <f>IF(Workforce[[#This Row],[Salary]]&lt;50000,"30k-49k",IF(Workforce[[#This Row],[Salary]]&lt;70000,"50k-69k",IF(Workforce[[#This Row],[Salary]]&lt;90000,"70k-89k","90k+")))</f>
        <v>30k-49k</v>
      </c>
      <c r="M524" t="s">
        <v>4018</v>
      </c>
      <c r="N524">
        <f t="shared" ca="1" si="34"/>
        <v>3</v>
      </c>
      <c r="O524" t="str">
        <f t="shared" ca="1" si="35"/>
        <v>Intermediate level</v>
      </c>
    </row>
    <row r="525" spans="1:15" x14ac:dyDescent="0.3">
      <c r="A525" t="s">
        <v>4019</v>
      </c>
      <c r="B525" t="s">
        <v>4020</v>
      </c>
      <c r="C525" t="s">
        <v>178</v>
      </c>
      <c r="D525" t="s">
        <v>4021</v>
      </c>
      <c r="E525" t="s">
        <v>4022</v>
      </c>
      <c r="F525" t="s">
        <v>4023</v>
      </c>
      <c r="G525" t="s">
        <v>4024</v>
      </c>
      <c r="H525" t="s">
        <v>4025</v>
      </c>
      <c r="I525">
        <f t="shared" ca="1" si="32"/>
        <v>53</v>
      </c>
      <c r="J525" t="str">
        <f t="shared" ca="1" si="33"/>
        <v>50-59</v>
      </c>
      <c r="K525">
        <v>39578.74</v>
      </c>
      <c r="L525" t="str">
        <f>IF(Workforce[[#This Row],[Salary]]&lt;50000,"30k-49k",IF(Workforce[[#This Row],[Salary]]&lt;70000,"50k-69k",IF(Workforce[[#This Row],[Salary]]&lt;90000,"70k-89k","90k+")))</f>
        <v>30k-49k</v>
      </c>
      <c r="M525" t="s">
        <v>3422</v>
      </c>
      <c r="N525">
        <f t="shared" ca="1" si="34"/>
        <v>9</v>
      </c>
      <c r="O525" t="str">
        <f t="shared" ca="1" si="35"/>
        <v>Senior level</v>
      </c>
    </row>
    <row r="526" spans="1:15" x14ac:dyDescent="0.3">
      <c r="A526" t="s">
        <v>4026</v>
      </c>
      <c r="B526" t="s">
        <v>4027</v>
      </c>
      <c r="C526" t="s">
        <v>1043</v>
      </c>
      <c r="D526" t="s">
        <v>4028</v>
      </c>
      <c r="E526" t="s">
        <v>4029</v>
      </c>
      <c r="F526" t="s">
        <v>4030</v>
      </c>
      <c r="G526" t="s">
        <v>4031</v>
      </c>
      <c r="H526" t="s">
        <v>4032</v>
      </c>
      <c r="I526">
        <f t="shared" ca="1" si="32"/>
        <v>45</v>
      </c>
      <c r="J526" t="str">
        <f t="shared" ca="1" si="33"/>
        <v>40-49</v>
      </c>
      <c r="K526">
        <v>95377.48</v>
      </c>
      <c r="L526" t="str">
        <f>IF(Workforce[[#This Row],[Salary]]&lt;50000,"30k-49k",IF(Workforce[[#This Row],[Salary]]&lt;70000,"50k-69k",IF(Workforce[[#This Row],[Salary]]&lt;90000,"70k-89k","90k+")))</f>
        <v>90k+</v>
      </c>
      <c r="M526" t="s">
        <v>4033</v>
      </c>
      <c r="N526">
        <f t="shared" ca="1" si="34"/>
        <v>10</v>
      </c>
      <c r="O526" t="str">
        <f t="shared" ca="1" si="35"/>
        <v>Senior level</v>
      </c>
    </row>
    <row r="527" spans="1:15" x14ac:dyDescent="0.3">
      <c r="A527" t="s">
        <v>4034</v>
      </c>
      <c r="B527" t="s">
        <v>4035</v>
      </c>
      <c r="C527" t="s">
        <v>774</v>
      </c>
      <c r="D527" t="s">
        <v>4036</v>
      </c>
      <c r="E527" t="s">
        <v>4037</v>
      </c>
      <c r="F527" t="s">
        <v>2416</v>
      </c>
      <c r="G527" t="s">
        <v>4038</v>
      </c>
      <c r="H527" t="s">
        <v>4039</v>
      </c>
      <c r="I527">
        <f t="shared" ca="1" si="32"/>
        <v>55</v>
      </c>
      <c r="J527" t="str">
        <f t="shared" ca="1" si="33"/>
        <v>50-59</v>
      </c>
      <c r="K527">
        <v>47945.83</v>
      </c>
      <c r="L527" t="str">
        <f>IF(Workforce[[#This Row],[Salary]]&lt;50000,"30k-49k",IF(Workforce[[#This Row],[Salary]]&lt;70000,"50k-69k",IF(Workforce[[#This Row],[Salary]]&lt;90000,"70k-89k","90k+")))</f>
        <v>30k-49k</v>
      </c>
      <c r="M527" t="s">
        <v>4040</v>
      </c>
      <c r="N527">
        <f t="shared" ca="1" si="34"/>
        <v>5</v>
      </c>
      <c r="O527" t="str">
        <f t="shared" ca="1" si="35"/>
        <v>Intermediate level</v>
      </c>
    </row>
    <row r="528" spans="1:15" x14ac:dyDescent="0.3">
      <c r="A528" t="s">
        <v>4041</v>
      </c>
      <c r="B528" t="s">
        <v>4042</v>
      </c>
      <c r="C528" t="s">
        <v>1004</v>
      </c>
      <c r="D528" t="s">
        <v>4043</v>
      </c>
      <c r="E528" t="s">
        <v>4044</v>
      </c>
      <c r="F528" t="s">
        <v>4045</v>
      </c>
      <c r="G528" t="s">
        <v>4046</v>
      </c>
      <c r="H528" t="s">
        <v>4047</v>
      </c>
      <c r="I528">
        <f t="shared" ca="1" si="32"/>
        <v>54</v>
      </c>
      <c r="J528" t="str">
        <f t="shared" ca="1" si="33"/>
        <v>50-59</v>
      </c>
      <c r="K528">
        <v>68966.55</v>
      </c>
      <c r="L528" t="str">
        <f>IF(Workforce[[#This Row],[Salary]]&lt;50000,"30k-49k",IF(Workforce[[#This Row],[Salary]]&lt;70000,"50k-69k",IF(Workforce[[#This Row],[Salary]]&lt;90000,"70k-89k","90k+")))</f>
        <v>50k-69k</v>
      </c>
      <c r="M528" t="s">
        <v>4048</v>
      </c>
      <c r="N528">
        <f t="shared" ca="1" si="34"/>
        <v>5</v>
      </c>
      <c r="O528" t="str">
        <f t="shared" ca="1" si="35"/>
        <v>Intermediate level</v>
      </c>
    </row>
    <row r="529" spans="1:15" x14ac:dyDescent="0.3">
      <c r="A529" t="s">
        <v>4049</v>
      </c>
      <c r="B529" t="s">
        <v>4050</v>
      </c>
      <c r="C529" t="s">
        <v>187</v>
      </c>
      <c r="D529" t="s">
        <v>4051</v>
      </c>
      <c r="E529" t="s">
        <v>4052</v>
      </c>
      <c r="F529" t="s">
        <v>3381</v>
      </c>
      <c r="G529" t="s">
        <v>4053</v>
      </c>
      <c r="H529" t="s">
        <v>4054</v>
      </c>
      <c r="I529">
        <f t="shared" ca="1" si="32"/>
        <v>60</v>
      </c>
      <c r="J529" t="str">
        <f t="shared" ca="1" si="33"/>
        <v>60+</v>
      </c>
      <c r="K529">
        <v>52861.05</v>
      </c>
      <c r="L529" t="str">
        <f>IF(Workforce[[#This Row],[Salary]]&lt;50000,"30k-49k",IF(Workforce[[#This Row],[Salary]]&lt;70000,"50k-69k",IF(Workforce[[#This Row],[Salary]]&lt;90000,"70k-89k","90k+")))</f>
        <v>50k-69k</v>
      </c>
      <c r="M529" t="s">
        <v>4055</v>
      </c>
      <c r="N529">
        <f t="shared" ca="1" si="34"/>
        <v>5</v>
      </c>
      <c r="O529" t="str">
        <f t="shared" ca="1" si="35"/>
        <v>Intermediate level</v>
      </c>
    </row>
    <row r="530" spans="1:15" x14ac:dyDescent="0.3">
      <c r="A530" t="s">
        <v>4056</v>
      </c>
      <c r="B530" t="s">
        <v>4057</v>
      </c>
      <c r="C530" t="s">
        <v>169</v>
      </c>
      <c r="D530" t="s">
        <v>4058</v>
      </c>
      <c r="E530" t="s">
        <v>4059</v>
      </c>
      <c r="F530" t="s">
        <v>4060</v>
      </c>
      <c r="G530" t="s">
        <v>4061</v>
      </c>
      <c r="H530" t="s">
        <v>4062</v>
      </c>
      <c r="I530">
        <f t="shared" ca="1" si="32"/>
        <v>19</v>
      </c>
      <c r="J530" t="str">
        <f t="shared" ca="1" si="33"/>
        <v>18-29</v>
      </c>
      <c r="K530">
        <v>87399.25</v>
      </c>
      <c r="L530" t="str">
        <f>IF(Workforce[[#This Row],[Salary]]&lt;50000,"30k-49k",IF(Workforce[[#This Row],[Salary]]&lt;70000,"50k-69k",IF(Workforce[[#This Row],[Salary]]&lt;90000,"70k-89k","90k+")))</f>
        <v>70k-89k</v>
      </c>
      <c r="M530" t="s">
        <v>4063</v>
      </c>
      <c r="N530">
        <f t="shared" ca="1" si="34"/>
        <v>3</v>
      </c>
      <c r="O530" t="str">
        <f t="shared" ca="1" si="35"/>
        <v>Intermediate level</v>
      </c>
    </row>
    <row r="531" spans="1:15" x14ac:dyDescent="0.3">
      <c r="A531" t="s">
        <v>4064</v>
      </c>
      <c r="B531" t="s">
        <v>4065</v>
      </c>
      <c r="C531" t="s">
        <v>995</v>
      </c>
      <c r="D531" t="s">
        <v>4066</v>
      </c>
      <c r="E531" t="s">
        <v>4067</v>
      </c>
      <c r="F531" t="s">
        <v>386</v>
      </c>
      <c r="G531" t="s">
        <v>4068</v>
      </c>
      <c r="H531" t="s">
        <v>4069</v>
      </c>
      <c r="I531">
        <f t="shared" ca="1" si="32"/>
        <v>62</v>
      </c>
      <c r="J531" t="str">
        <f t="shared" ca="1" si="33"/>
        <v>60+</v>
      </c>
      <c r="K531">
        <v>41011.26</v>
      </c>
      <c r="L531" t="str">
        <f>IF(Workforce[[#This Row],[Salary]]&lt;50000,"30k-49k",IF(Workforce[[#This Row],[Salary]]&lt;70000,"50k-69k",IF(Workforce[[#This Row],[Salary]]&lt;90000,"70k-89k","90k+")))</f>
        <v>30k-49k</v>
      </c>
      <c r="M531" t="s">
        <v>4070</v>
      </c>
      <c r="N531">
        <f t="shared" ca="1" si="34"/>
        <v>4</v>
      </c>
      <c r="O531" t="str">
        <f t="shared" ca="1" si="35"/>
        <v>Intermediate level</v>
      </c>
    </row>
    <row r="532" spans="1:15" x14ac:dyDescent="0.3">
      <c r="A532" t="s">
        <v>4071</v>
      </c>
      <c r="B532" t="s">
        <v>4072</v>
      </c>
      <c r="C532" t="s">
        <v>44</v>
      </c>
      <c r="D532" t="s">
        <v>4073</v>
      </c>
      <c r="E532" t="s">
        <v>4074</v>
      </c>
      <c r="F532" t="s">
        <v>1841</v>
      </c>
      <c r="G532" t="s">
        <v>4075</v>
      </c>
      <c r="H532" t="s">
        <v>4076</v>
      </c>
      <c r="I532">
        <f t="shared" ca="1" si="32"/>
        <v>23</v>
      </c>
      <c r="J532" t="str">
        <f t="shared" ca="1" si="33"/>
        <v>18-29</v>
      </c>
      <c r="K532">
        <v>69053.55</v>
      </c>
      <c r="L532" t="str">
        <f>IF(Workforce[[#This Row],[Salary]]&lt;50000,"30k-49k",IF(Workforce[[#This Row],[Salary]]&lt;70000,"50k-69k",IF(Workforce[[#This Row],[Salary]]&lt;90000,"70k-89k","90k+")))</f>
        <v>50k-69k</v>
      </c>
      <c r="M532" t="s">
        <v>4077</v>
      </c>
      <c r="N532">
        <f t="shared" ca="1" si="34"/>
        <v>3</v>
      </c>
      <c r="O532" t="str">
        <f t="shared" ca="1" si="35"/>
        <v>Intermediate level</v>
      </c>
    </row>
    <row r="533" spans="1:15" x14ac:dyDescent="0.3">
      <c r="A533" t="s">
        <v>4078</v>
      </c>
      <c r="B533" t="s">
        <v>4079</v>
      </c>
      <c r="C533" t="s">
        <v>539</v>
      </c>
      <c r="D533" t="s">
        <v>4080</v>
      </c>
      <c r="E533" t="s">
        <v>4081</v>
      </c>
      <c r="F533" t="s">
        <v>4082</v>
      </c>
      <c r="G533" t="s">
        <v>4083</v>
      </c>
      <c r="H533" t="s">
        <v>4084</v>
      </c>
      <c r="I533">
        <f t="shared" ca="1" si="32"/>
        <v>60</v>
      </c>
      <c r="J533" t="str">
        <f t="shared" ca="1" si="33"/>
        <v>60+</v>
      </c>
      <c r="K533">
        <v>59906.64</v>
      </c>
      <c r="L533" t="str">
        <f>IF(Workforce[[#This Row],[Salary]]&lt;50000,"30k-49k",IF(Workforce[[#This Row],[Salary]]&lt;70000,"50k-69k",IF(Workforce[[#This Row],[Salary]]&lt;90000,"70k-89k","90k+")))</f>
        <v>50k-69k</v>
      </c>
      <c r="M533" t="s">
        <v>130</v>
      </c>
      <c r="N533">
        <f t="shared" ca="1" si="34"/>
        <v>1</v>
      </c>
      <c r="O533" t="str">
        <f t="shared" ca="1" si="35"/>
        <v>Beginner</v>
      </c>
    </row>
    <row r="534" spans="1:15" x14ac:dyDescent="0.3">
      <c r="A534" t="s">
        <v>4085</v>
      </c>
      <c r="B534" t="s">
        <v>4086</v>
      </c>
      <c r="C534" t="s">
        <v>326</v>
      </c>
      <c r="D534" t="s">
        <v>4087</v>
      </c>
      <c r="E534" t="s">
        <v>4088</v>
      </c>
      <c r="F534" t="s">
        <v>4089</v>
      </c>
      <c r="G534" t="s">
        <v>4090</v>
      </c>
      <c r="H534" t="s">
        <v>4091</v>
      </c>
      <c r="I534">
        <f t="shared" ca="1" si="32"/>
        <v>37</v>
      </c>
      <c r="J534" t="str">
        <f t="shared" ca="1" si="33"/>
        <v>30-39</v>
      </c>
      <c r="K534">
        <v>101068.86</v>
      </c>
      <c r="L534" t="str">
        <f>IF(Workforce[[#This Row],[Salary]]&lt;50000,"30k-49k",IF(Workforce[[#This Row],[Salary]]&lt;70000,"50k-69k",IF(Workforce[[#This Row],[Salary]]&lt;90000,"70k-89k","90k+")))</f>
        <v>90k+</v>
      </c>
      <c r="M534" t="s">
        <v>3171</v>
      </c>
      <c r="N534">
        <f t="shared" ca="1" si="34"/>
        <v>2</v>
      </c>
      <c r="O534" t="str">
        <f t="shared" ca="1" si="35"/>
        <v>Beginner</v>
      </c>
    </row>
    <row r="535" spans="1:15" x14ac:dyDescent="0.3">
      <c r="A535" t="s">
        <v>4092</v>
      </c>
      <c r="B535" t="s">
        <v>4093</v>
      </c>
      <c r="C535" t="s">
        <v>1223</v>
      </c>
      <c r="D535" t="s">
        <v>4094</v>
      </c>
      <c r="E535" t="s">
        <v>4095</v>
      </c>
      <c r="F535" t="s">
        <v>4096</v>
      </c>
      <c r="G535" t="s">
        <v>4097</v>
      </c>
      <c r="H535" t="s">
        <v>4098</v>
      </c>
      <c r="I535">
        <f t="shared" ca="1" si="32"/>
        <v>65</v>
      </c>
      <c r="J535" t="str">
        <f t="shared" ca="1" si="33"/>
        <v>60+</v>
      </c>
      <c r="K535">
        <v>117618.54</v>
      </c>
      <c r="L535" t="str">
        <f>IF(Workforce[[#This Row],[Salary]]&lt;50000,"30k-49k",IF(Workforce[[#This Row],[Salary]]&lt;70000,"50k-69k",IF(Workforce[[#This Row],[Salary]]&lt;90000,"70k-89k","90k+")))</f>
        <v>90k+</v>
      </c>
      <c r="M535" t="s">
        <v>1960</v>
      </c>
      <c r="N535">
        <f t="shared" ca="1" si="34"/>
        <v>5</v>
      </c>
      <c r="O535" t="str">
        <f t="shared" ca="1" si="35"/>
        <v>Intermediate level</v>
      </c>
    </row>
    <row r="536" spans="1:15" x14ac:dyDescent="0.3">
      <c r="A536" t="s">
        <v>4099</v>
      </c>
      <c r="B536" t="s">
        <v>4100</v>
      </c>
      <c r="C536" t="s">
        <v>88</v>
      </c>
      <c r="D536" t="s">
        <v>4101</v>
      </c>
      <c r="E536" t="s">
        <v>4102</v>
      </c>
      <c r="F536" t="s">
        <v>4103</v>
      </c>
      <c r="G536" t="s">
        <v>4104</v>
      </c>
      <c r="H536" t="s">
        <v>4105</v>
      </c>
      <c r="I536">
        <f t="shared" ca="1" si="32"/>
        <v>47</v>
      </c>
      <c r="J536" t="str">
        <f t="shared" ca="1" si="33"/>
        <v>40-49</v>
      </c>
      <c r="K536">
        <v>116196.49</v>
      </c>
      <c r="L536" t="str">
        <f>IF(Workforce[[#This Row],[Salary]]&lt;50000,"30k-49k",IF(Workforce[[#This Row],[Salary]]&lt;70000,"50k-69k",IF(Workforce[[#This Row],[Salary]]&lt;90000,"70k-89k","90k+")))</f>
        <v>90k+</v>
      </c>
      <c r="M536" t="s">
        <v>4106</v>
      </c>
      <c r="N536">
        <f t="shared" ca="1" si="34"/>
        <v>9</v>
      </c>
      <c r="O536" t="str">
        <f t="shared" ca="1" si="35"/>
        <v>Senior level</v>
      </c>
    </row>
    <row r="537" spans="1:15" x14ac:dyDescent="0.3">
      <c r="A537" t="s">
        <v>4107</v>
      </c>
      <c r="B537" t="s">
        <v>4108</v>
      </c>
      <c r="C537" t="s">
        <v>151</v>
      </c>
      <c r="D537" t="s">
        <v>4109</v>
      </c>
      <c r="E537" t="s">
        <v>4110</v>
      </c>
      <c r="F537" t="s">
        <v>726</v>
      </c>
      <c r="G537" t="s">
        <v>4111</v>
      </c>
      <c r="H537" t="s">
        <v>4112</v>
      </c>
      <c r="I537">
        <f t="shared" ca="1" si="32"/>
        <v>40</v>
      </c>
      <c r="J537" t="str">
        <f t="shared" ca="1" si="33"/>
        <v>40-49</v>
      </c>
      <c r="K537">
        <v>42974.15</v>
      </c>
      <c r="L537" t="str">
        <f>IF(Workforce[[#This Row],[Salary]]&lt;50000,"30k-49k",IF(Workforce[[#This Row],[Salary]]&lt;70000,"50k-69k",IF(Workforce[[#This Row],[Salary]]&lt;90000,"70k-89k","90k+")))</f>
        <v>30k-49k</v>
      </c>
      <c r="M537" t="s">
        <v>4113</v>
      </c>
      <c r="N537">
        <f t="shared" ca="1" si="34"/>
        <v>10</v>
      </c>
      <c r="O537" t="str">
        <f t="shared" ca="1" si="35"/>
        <v>Senior level</v>
      </c>
    </row>
    <row r="538" spans="1:15" x14ac:dyDescent="0.3">
      <c r="A538" t="s">
        <v>4114</v>
      </c>
      <c r="B538" t="s">
        <v>4115</v>
      </c>
      <c r="C538" t="s">
        <v>106</v>
      </c>
      <c r="D538" t="s">
        <v>4116</v>
      </c>
      <c r="E538" t="s">
        <v>4117</v>
      </c>
      <c r="F538" t="s">
        <v>4118</v>
      </c>
      <c r="G538" t="s">
        <v>4119</v>
      </c>
      <c r="H538" t="s">
        <v>4120</v>
      </c>
      <c r="I538">
        <f t="shared" ca="1" si="32"/>
        <v>29</v>
      </c>
      <c r="J538" t="str">
        <f t="shared" ca="1" si="33"/>
        <v>18-29</v>
      </c>
      <c r="K538">
        <v>92514.48</v>
      </c>
      <c r="L538" t="str">
        <f>IF(Workforce[[#This Row],[Salary]]&lt;50000,"30k-49k",IF(Workforce[[#This Row],[Salary]]&lt;70000,"50k-69k",IF(Workforce[[#This Row],[Salary]]&lt;90000,"70k-89k","90k+")))</f>
        <v>90k+</v>
      </c>
      <c r="M538" t="s">
        <v>4121</v>
      </c>
      <c r="N538">
        <f t="shared" ca="1" si="34"/>
        <v>7</v>
      </c>
      <c r="O538" t="str">
        <f t="shared" ca="1" si="35"/>
        <v>Senior level</v>
      </c>
    </row>
    <row r="539" spans="1:15" x14ac:dyDescent="0.3">
      <c r="A539" t="s">
        <v>4122</v>
      </c>
      <c r="B539" t="s">
        <v>4123</v>
      </c>
      <c r="C539" t="s">
        <v>222</v>
      </c>
      <c r="D539" t="s">
        <v>4124</v>
      </c>
      <c r="E539" t="s">
        <v>4125</v>
      </c>
      <c r="F539" t="s">
        <v>4126</v>
      </c>
      <c r="G539" t="s">
        <v>4127</v>
      </c>
      <c r="H539" t="s">
        <v>4128</v>
      </c>
      <c r="I539">
        <f t="shared" ca="1" si="32"/>
        <v>22</v>
      </c>
      <c r="J539" t="str">
        <f t="shared" ca="1" si="33"/>
        <v>18-29</v>
      </c>
      <c r="K539">
        <v>55376.88</v>
      </c>
      <c r="L539" t="str">
        <f>IF(Workforce[[#This Row],[Salary]]&lt;50000,"30k-49k",IF(Workforce[[#This Row],[Salary]]&lt;70000,"50k-69k",IF(Workforce[[#This Row],[Salary]]&lt;90000,"70k-89k","90k+")))</f>
        <v>50k-69k</v>
      </c>
      <c r="M539" t="s">
        <v>4129</v>
      </c>
      <c r="N539">
        <f t="shared" ca="1" si="34"/>
        <v>6</v>
      </c>
      <c r="O539" t="str">
        <f t="shared" ca="1" si="35"/>
        <v>Intermediate level</v>
      </c>
    </row>
    <row r="540" spans="1:15" x14ac:dyDescent="0.3">
      <c r="A540" t="s">
        <v>4130</v>
      </c>
      <c r="B540" t="s">
        <v>4131</v>
      </c>
      <c r="C540" t="s">
        <v>44</v>
      </c>
      <c r="D540" t="s">
        <v>4132</v>
      </c>
      <c r="E540" t="s">
        <v>4133</v>
      </c>
      <c r="F540" t="s">
        <v>1210</v>
      </c>
      <c r="G540" t="s">
        <v>4134</v>
      </c>
      <c r="H540" t="s">
        <v>4135</v>
      </c>
      <c r="I540">
        <f t="shared" ca="1" si="32"/>
        <v>58</v>
      </c>
      <c r="J540" t="str">
        <f t="shared" ca="1" si="33"/>
        <v>50-59</v>
      </c>
      <c r="K540">
        <v>113936.04</v>
      </c>
      <c r="L540" t="str">
        <f>IF(Workforce[[#This Row],[Salary]]&lt;50000,"30k-49k",IF(Workforce[[#This Row],[Salary]]&lt;70000,"50k-69k",IF(Workforce[[#This Row],[Salary]]&lt;90000,"70k-89k","90k+")))</f>
        <v>90k+</v>
      </c>
      <c r="M540" t="s">
        <v>4136</v>
      </c>
      <c r="N540">
        <f t="shared" ca="1" si="34"/>
        <v>9</v>
      </c>
      <c r="O540" t="str">
        <f t="shared" ca="1" si="35"/>
        <v>Senior level</v>
      </c>
    </row>
    <row r="541" spans="1:15" x14ac:dyDescent="0.3">
      <c r="A541" t="s">
        <v>4137</v>
      </c>
      <c r="B541" t="s">
        <v>4138</v>
      </c>
      <c r="C541" t="s">
        <v>88</v>
      </c>
      <c r="D541" t="s">
        <v>4139</v>
      </c>
      <c r="E541" t="s">
        <v>4140</v>
      </c>
      <c r="F541" t="s">
        <v>3337</v>
      </c>
      <c r="G541" t="s">
        <v>4141</v>
      </c>
      <c r="H541" t="s">
        <v>4142</v>
      </c>
      <c r="I541">
        <f t="shared" ca="1" si="32"/>
        <v>57</v>
      </c>
      <c r="J541" t="str">
        <f t="shared" ca="1" si="33"/>
        <v>50-59</v>
      </c>
      <c r="K541">
        <v>81183.61</v>
      </c>
      <c r="L541" t="str">
        <f>IF(Workforce[[#This Row],[Salary]]&lt;50000,"30k-49k",IF(Workforce[[#This Row],[Salary]]&lt;70000,"50k-69k",IF(Workforce[[#This Row],[Salary]]&lt;90000,"70k-89k","90k+")))</f>
        <v>70k-89k</v>
      </c>
      <c r="M541" t="s">
        <v>4143</v>
      </c>
      <c r="N541">
        <f t="shared" ca="1" si="34"/>
        <v>10</v>
      </c>
      <c r="O541" t="str">
        <f t="shared" ca="1" si="35"/>
        <v>Senior level</v>
      </c>
    </row>
    <row r="542" spans="1:15" x14ac:dyDescent="0.3">
      <c r="A542" t="s">
        <v>4144</v>
      </c>
      <c r="B542" t="s">
        <v>4145</v>
      </c>
      <c r="C542" t="s">
        <v>35</v>
      </c>
      <c r="D542" t="s">
        <v>4146</v>
      </c>
      <c r="E542" t="s">
        <v>4147</v>
      </c>
      <c r="F542" t="s">
        <v>4148</v>
      </c>
      <c r="G542" t="s">
        <v>4149</v>
      </c>
      <c r="H542" t="s">
        <v>4150</v>
      </c>
      <c r="I542">
        <f t="shared" ca="1" si="32"/>
        <v>58</v>
      </c>
      <c r="J542" t="str">
        <f t="shared" ca="1" si="33"/>
        <v>50-59</v>
      </c>
      <c r="K542">
        <v>67838.539999999994</v>
      </c>
      <c r="L542" t="str">
        <f>IF(Workforce[[#This Row],[Salary]]&lt;50000,"30k-49k",IF(Workforce[[#This Row],[Salary]]&lt;70000,"50k-69k",IF(Workforce[[#This Row],[Salary]]&lt;90000,"70k-89k","90k+")))</f>
        <v>50k-69k</v>
      </c>
      <c r="M542" t="s">
        <v>4151</v>
      </c>
      <c r="N542">
        <f t="shared" ca="1" si="34"/>
        <v>2</v>
      </c>
      <c r="O542" t="str">
        <f t="shared" ca="1" si="35"/>
        <v>Beginner</v>
      </c>
    </row>
    <row r="543" spans="1:15" x14ac:dyDescent="0.3">
      <c r="A543" t="s">
        <v>4152</v>
      </c>
      <c r="B543" t="s">
        <v>4153</v>
      </c>
      <c r="C543" t="s">
        <v>169</v>
      </c>
      <c r="D543" t="s">
        <v>4154</v>
      </c>
      <c r="E543" t="s">
        <v>4155</v>
      </c>
      <c r="F543" t="s">
        <v>3500</v>
      </c>
      <c r="G543" t="s">
        <v>4156</v>
      </c>
      <c r="H543" t="s">
        <v>4157</v>
      </c>
      <c r="I543">
        <f t="shared" ca="1" si="32"/>
        <v>60</v>
      </c>
      <c r="J543" t="str">
        <f t="shared" ca="1" si="33"/>
        <v>60+</v>
      </c>
      <c r="K543">
        <v>64147.87</v>
      </c>
      <c r="L543" t="str">
        <f>IF(Workforce[[#This Row],[Salary]]&lt;50000,"30k-49k",IF(Workforce[[#This Row],[Salary]]&lt;70000,"50k-69k",IF(Workforce[[#This Row],[Salary]]&lt;90000,"70k-89k","90k+")))</f>
        <v>50k-69k</v>
      </c>
      <c r="M543" t="s">
        <v>4158</v>
      </c>
      <c r="N543">
        <f t="shared" ca="1" si="34"/>
        <v>4</v>
      </c>
      <c r="O543" t="str">
        <f t="shared" ca="1" si="35"/>
        <v>Intermediate level</v>
      </c>
    </row>
    <row r="544" spans="1:15" x14ac:dyDescent="0.3">
      <c r="A544" t="s">
        <v>4159</v>
      </c>
      <c r="B544" t="s">
        <v>4160</v>
      </c>
      <c r="C544" t="s">
        <v>1159</v>
      </c>
      <c r="D544" t="s">
        <v>4161</v>
      </c>
      <c r="E544" t="s">
        <v>4162</v>
      </c>
      <c r="F544" t="s">
        <v>2313</v>
      </c>
      <c r="G544" t="s">
        <v>4163</v>
      </c>
      <c r="H544" t="s">
        <v>4164</v>
      </c>
      <c r="I544">
        <f t="shared" ca="1" si="32"/>
        <v>41</v>
      </c>
      <c r="J544" t="str">
        <f t="shared" ca="1" si="33"/>
        <v>40-49</v>
      </c>
      <c r="K544">
        <v>85658.99</v>
      </c>
      <c r="L544" t="str">
        <f>IF(Workforce[[#This Row],[Salary]]&lt;50000,"30k-49k",IF(Workforce[[#This Row],[Salary]]&lt;70000,"50k-69k",IF(Workforce[[#This Row],[Salary]]&lt;90000,"70k-89k","90k+")))</f>
        <v>70k-89k</v>
      </c>
      <c r="M544" t="s">
        <v>4165</v>
      </c>
      <c r="N544">
        <f t="shared" ca="1" si="34"/>
        <v>3</v>
      </c>
      <c r="O544" t="str">
        <f t="shared" ca="1" si="35"/>
        <v>Intermediate level</v>
      </c>
    </row>
    <row r="545" spans="1:15" x14ac:dyDescent="0.3">
      <c r="A545" t="s">
        <v>4166</v>
      </c>
      <c r="B545" t="s">
        <v>4167</v>
      </c>
      <c r="C545" t="s">
        <v>97</v>
      </c>
      <c r="D545" t="s">
        <v>4168</v>
      </c>
      <c r="E545" t="s">
        <v>4169</v>
      </c>
      <c r="F545" t="s">
        <v>4170</v>
      </c>
      <c r="G545" t="s">
        <v>4171</v>
      </c>
      <c r="H545" t="s">
        <v>4172</v>
      </c>
      <c r="I545">
        <f t="shared" ca="1" si="32"/>
        <v>24</v>
      </c>
      <c r="J545" t="str">
        <f t="shared" ca="1" si="33"/>
        <v>18-29</v>
      </c>
      <c r="K545">
        <v>39277.870000000003</v>
      </c>
      <c r="L545" t="str">
        <f>IF(Workforce[[#This Row],[Salary]]&lt;50000,"30k-49k",IF(Workforce[[#This Row],[Salary]]&lt;70000,"50k-69k",IF(Workforce[[#This Row],[Salary]]&lt;90000,"70k-89k","90k+")))</f>
        <v>30k-49k</v>
      </c>
      <c r="M545" t="s">
        <v>4173</v>
      </c>
      <c r="N545">
        <f t="shared" ca="1" si="34"/>
        <v>2</v>
      </c>
      <c r="O545" t="str">
        <f t="shared" ca="1" si="35"/>
        <v>Beginner</v>
      </c>
    </row>
    <row r="546" spans="1:15" x14ac:dyDescent="0.3">
      <c r="A546" t="s">
        <v>4174</v>
      </c>
      <c r="B546" t="s">
        <v>4175</v>
      </c>
      <c r="C546" t="s">
        <v>317</v>
      </c>
      <c r="D546" t="s">
        <v>4176</v>
      </c>
      <c r="E546" t="s">
        <v>4177</v>
      </c>
      <c r="F546" t="s">
        <v>4082</v>
      </c>
      <c r="G546" t="s">
        <v>4178</v>
      </c>
      <c r="H546" t="s">
        <v>4179</v>
      </c>
      <c r="I546">
        <f t="shared" ca="1" si="32"/>
        <v>37</v>
      </c>
      <c r="J546" t="str">
        <f t="shared" ca="1" si="33"/>
        <v>30-39</v>
      </c>
      <c r="K546">
        <v>64448.32</v>
      </c>
      <c r="L546" t="str">
        <f>IF(Workforce[[#This Row],[Salary]]&lt;50000,"30k-49k",IF(Workforce[[#This Row],[Salary]]&lt;70000,"50k-69k",IF(Workforce[[#This Row],[Salary]]&lt;90000,"70k-89k","90k+")))</f>
        <v>50k-69k</v>
      </c>
      <c r="M546" t="s">
        <v>3186</v>
      </c>
      <c r="N546">
        <f t="shared" ca="1" si="34"/>
        <v>5</v>
      </c>
      <c r="O546" t="str">
        <f t="shared" ca="1" si="35"/>
        <v>Intermediate level</v>
      </c>
    </row>
    <row r="547" spans="1:15" x14ac:dyDescent="0.3">
      <c r="A547" t="s">
        <v>4180</v>
      </c>
      <c r="B547" t="s">
        <v>4181</v>
      </c>
      <c r="C547" t="s">
        <v>169</v>
      </c>
      <c r="D547" t="s">
        <v>4182</v>
      </c>
      <c r="E547" t="s">
        <v>4183</v>
      </c>
      <c r="F547" t="s">
        <v>1210</v>
      </c>
      <c r="G547" t="s">
        <v>4184</v>
      </c>
      <c r="H547" t="s">
        <v>4185</v>
      </c>
      <c r="I547">
        <f t="shared" ca="1" si="32"/>
        <v>30</v>
      </c>
      <c r="J547" t="str">
        <f t="shared" ca="1" si="33"/>
        <v>30-39</v>
      </c>
      <c r="K547">
        <v>33239.040000000001</v>
      </c>
      <c r="L547" t="str">
        <f>IF(Workforce[[#This Row],[Salary]]&lt;50000,"30k-49k",IF(Workforce[[#This Row],[Salary]]&lt;70000,"50k-69k",IF(Workforce[[#This Row],[Salary]]&lt;90000,"70k-89k","90k+")))</f>
        <v>30k-49k</v>
      </c>
      <c r="M547" t="s">
        <v>4186</v>
      </c>
      <c r="N547">
        <f t="shared" ca="1" si="34"/>
        <v>9</v>
      </c>
      <c r="O547" t="str">
        <f t="shared" ca="1" si="35"/>
        <v>Senior level</v>
      </c>
    </row>
    <row r="548" spans="1:15" x14ac:dyDescent="0.3">
      <c r="A548" t="s">
        <v>4187</v>
      </c>
      <c r="B548" t="s">
        <v>4188</v>
      </c>
      <c r="C548" t="s">
        <v>97</v>
      </c>
      <c r="D548" t="s">
        <v>4189</v>
      </c>
      <c r="E548" t="s">
        <v>4190</v>
      </c>
      <c r="F548" t="s">
        <v>1488</v>
      </c>
      <c r="G548" t="s">
        <v>4191</v>
      </c>
      <c r="H548" t="s">
        <v>4192</v>
      </c>
      <c r="I548">
        <f t="shared" ca="1" si="32"/>
        <v>22</v>
      </c>
      <c r="J548" t="str">
        <f t="shared" ca="1" si="33"/>
        <v>18-29</v>
      </c>
      <c r="K548">
        <v>114219.94</v>
      </c>
      <c r="L548" t="str">
        <f>IF(Workforce[[#This Row],[Salary]]&lt;50000,"30k-49k",IF(Workforce[[#This Row],[Salary]]&lt;70000,"50k-69k",IF(Workforce[[#This Row],[Salary]]&lt;90000,"70k-89k","90k+")))</f>
        <v>90k+</v>
      </c>
      <c r="M548" t="s">
        <v>4193</v>
      </c>
      <c r="N548">
        <f t="shared" ca="1" si="34"/>
        <v>5</v>
      </c>
      <c r="O548" t="str">
        <f t="shared" ca="1" si="35"/>
        <v>Intermediate level</v>
      </c>
    </row>
    <row r="549" spans="1:15" x14ac:dyDescent="0.3">
      <c r="A549" t="s">
        <v>4194</v>
      </c>
      <c r="B549" t="s">
        <v>4195</v>
      </c>
      <c r="C549" t="s">
        <v>151</v>
      </c>
      <c r="D549" t="s">
        <v>4196</v>
      </c>
      <c r="E549" t="s">
        <v>4197</v>
      </c>
      <c r="F549" t="s">
        <v>4198</v>
      </c>
      <c r="G549" t="s">
        <v>4199</v>
      </c>
      <c r="H549" t="s">
        <v>4200</v>
      </c>
      <c r="I549">
        <f t="shared" ca="1" si="32"/>
        <v>40</v>
      </c>
      <c r="J549" t="str">
        <f t="shared" ca="1" si="33"/>
        <v>40-49</v>
      </c>
      <c r="K549">
        <v>49496</v>
      </c>
      <c r="L549" t="str">
        <f>IF(Workforce[[#This Row],[Salary]]&lt;50000,"30k-49k",IF(Workforce[[#This Row],[Salary]]&lt;70000,"50k-69k",IF(Workforce[[#This Row],[Salary]]&lt;90000,"70k-89k","90k+")))</f>
        <v>30k-49k</v>
      </c>
      <c r="M549" t="s">
        <v>4201</v>
      </c>
      <c r="N549">
        <f t="shared" ca="1" si="34"/>
        <v>3</v>
      </c>
      <c r="O549" t="str">
        <f t="shared" ca="1" si="35"/>
        <v>Intermediate level</v>
      </c>
    </row>
    <row r="550" spans="1:15" x14ac:dyDescent="0.3">
      <c r="A550" t="s">
        <v>4202</v>
      </c>
      <c r="B550" t="s">
        <v>4203</v>
      </c>
      <c r="C550" t="s">
        <v>774</v>
      </c>
      <c r="D550" t="s">
        <v>4204</v>
      </c>
      <c r="E550" t="s">
        <v>4205</v>
      </c>
      <c r="F550" t="s">
        <v>4206</v>
      </c>
      <c r="G550" t="s">
        <v>4207</v>
      </c>
      <c r="H550" t="s">
        <v>4208</v>
      </c>
      <c r="I550">
        <f t="shared" ca="1" si="32"/>
        <v>43</v>
      </c>
      <c r="J550" t="str">
        <f t="shared" ca="1" si="33"/>
        <v>40-49</v>
      </c>
      <c r="K550">
        <v>71529.820000000007</v>
      </c>
      <c r="L550" t="str">
        <f>IF(Workforce[[#This Row],[Salary]]&lt;50000,"30k-49k",IF(Workforce[[#This Row],[Salary]]&lt;70000,"50k-69k",IF(Workforce[[#This Row],[Salary]]&lt;90000,"70k-89k","90k+")))</f>
        <v>70k-89k</v>
      </c>
      <c r="M550" t="s">
        <v>4209</v>
      </c>
      <c r="N550">
        <f t="shared" ca="1" si="34"/>
        <v>8</v>
      </c>
      <c r="O550" t="str">
        <f t="shared" ca="1" si="35"/>
        <v>Senior level</v>
      </c>
    </row>
    <row r="551" spans="1:15" x14ac:dyDescent="0.3">
      <c r="A551" t="s">
        <v>4210</v>
      </c>
      <c r="B551" t="s">
        <v>4211</v>
      </c>
      <c r="C551" t="s">
        <v>70</v>
      </c>
      <c r="D551" t="s">
        <v>4212</v>
      </c>
      <c r="E551" t="s">
        <v>4213</v>
      </c>
      <c r="F551" t="s">
        <v>260</v>
      </c>
      <c r="G551" t="s">
        <v>4214</v>
      </c>
      <c r="H551" t="s">
        <v>4215</v>
      </c>
      <c r="I551">
        <f t="shared" ca="1" si="32"/>
        <v>37</v>
      </c>
      <c r="J551" t="str">
        <f t="shared" ca="1" si="33"/>
        <v>30-39</v>
      </c>
      <c r="K551">
        <v>39830.93</v>
      </c>
      <c r="L551" t="str">
        <f>IF(Workforce[[#This Row],[Salary]]&lt;50000,"30k-49k",IF(Workforce[[#This Row],[Salary]]&lt;70000,"50k-69k",IF(Workforce[[#This Row],[Salary]]&lt;90000,"70k-89k","90k+")))</f>
        <v>30k-49k</v>
      </c>
      <c r="M551" t="s">
        <v>4216</v>
      </c>
      <c r="N551">
        <f t="shared" ca="1" si="34"/>
        <v>3</v>
      </c>
      <c r="O551" t="str">
        <f t="shared" ca="1" si="35"/>
        <v>Intermediate level</v>
      </c>
    </row>
    <row r="552" spans="1:15" x14ac:dyDescent="0.3">
      <c r="A552" t="s">
        <v>4217</v>
      </c>
      <c r="B552" t="s">
        <v>4218</v>
      </c>
      <c r="C552" t="s">
        <v>106</v>
      </c>
      <c r="D552" t="s">
        <v>4219</v>
      </c>
      <c r="E552" t="s">
        <v>4220</v>
      </c>
      <c r="F552" t="s">
        <v>2856</v>
      </c>
      <c r="G552" t="s">
        <v>4221</v>
      </c>
      <c r="H552" t="s">
        <v>4222</v>
      </c>
      <c r="I552">
        <f t="shared" ca="1" si="32"/>
        <v>61</v>
      </c>
      <c r="J552" t="str">
        <f t="shared" ca="1" si="33"/>
        <v>60+</v>
      </c>
      <c r="K552">
        <v>103569.38</v>
      </c>
      <c r="L552" t="str">
        <f>IF(Workforce[[#This Row],[Salary]]&lt;50000,"30k-49k",IF(Workforce[[#This Row],[Salary]]&lt;70000,"50k-69k",IF(Workforce[[#This Row],[Salary]]&lt;90000,"70k-89k","90k+")))</f>
        <v>90k+</v>
      </c>
      <c r="M552" t="s">
        <v>4223</v>
      </c>
      <c r="N552">
        <f t="shared" ca="1" si="34"/>
        <v>1</v>
      </c>
      <c r="O552" t="str">
        <f t="shared" ca="1" si="35"/>
        <v>Beginner</v>
      </c>
    </row>
    <row r="553" spans="1:15" x14ac:dyDescent="0.3">
      <c r="A553" t="s">
        <v>4224</v>
      </c>
      <c r="B553" t="s">
        <v>4225</v>
      </c>
      <c r="C553" t="s">
        <v>213</v>
      </c>
      <c r="D553" t="s">
        <v>4226</v>
      </c>
      <c r="E553" t="s">
        <v>4227</v>
      </c>
      <c r="F553" t="s">
        <v>181</v>
      </c>
      <c r="G553" t="s">
        <v>4228</v>
      </c>
      <c r="H553" t="s">
        <v>4229</v>
      </c>
      <c r="I553">
        <f t="shared" ca="1" si="32"/>
        <v>54</v>
      </c>
      <c r="J553" t="str">
        <f t="shared" ca="1" si="33"/>
        <v>50-59</v>
      </c>
      <c r="K553">
        <v>104332.12</v>
      </c>
      <c r="L553" t="str">
        <f>IF(Workforce[[#This Row],[Salary]]&lt;50000,"30k-49k",IF(Workforce[[#This Row],[Salary]]&lt;70000,"50k-69k",IF(Workforce[[#This Row],[Salary]]&lt;90000,"70k-89k","90k+")))</f>
        <v>90k+</v>
      </c>
      <c r="M553" t="s">
        <v>4230</v>
      </c>
      <c r="N553">
        <f t="shared" ca="1" si="34"/>
        <v>4</v>
      </c>
      <c r="O553" t="str">
        <f t="shared" ca="1" si="35"/>
        <v>Intermediate level</v>
      </c>
    </row>
    <row r="554" spans="1:15" x14ac:dyDescent="0.3">
      <c r="A554" t="s">
        <v>4231</v>
      </c>
      <c r="B554" t="s">
        <v>4232</v>
      </c>
      <c r="C554" t="s">
        <v>653</v>
      </c>
      <c r="D554" t="s">
        <v>4233</v>
      </c>
      <c r="E554" t="s">
        <v>4234</v>
      </c>
      <c r="F554" t="s">
        <v>871</v>
      </c>
      <c r="G554" t="s">
        <v>4235</v>
      </c>
      <c r="H554" t="s">
        <v>2395</v>
      </c>
      <c r="I554">
        <f t="shared" ca="1" si="32"/>
        <v>54</v>
      </c>
      <c r="J554" t="str">
        <f t="shared" ca="1" si="33"/>
        <v>50-59</v>
      </c>
      <c r="K554">
        <v>57198.28</v>
      </c>
      <c r="L554" t="str">
        <f>IF(Workforce[[#This Row],[Salary]]&lt;50000,"30k-49k",IF(Workforce[[#This Row],[Salary]]&lt;70000,"50k-69k",IF(Workforce[[#This Row],[Salary]]&lt;90000,"70k-89k","90k+")))</f>
        <v>50k-69k</v>
      </c>
      <c r="M554" t="s">
        <v>4236</v>
      </c>
      <c r="N554">
        <f t="shared" ca="1" si="34"/>
        <v>3</v>
      </c>
      <c r="O554" t="str">
        <f t="shared" ca="1" si="35"/>
        <v>Intermediate level</v>
      </c>
    </row>
    <row r="555" spans="1:15" x14ac:dyDescent="0.3">
      <c r="A555" t="s">
        <v>4237</v>
      </c>
      <c r="B555" t="s">
        <v>4238</v>
      </c>
      <c r="C555" t="s">
        <v>351</v>
      </c>
      <c r="D555" t="s">
        <v>4239</v>
      </c>
      <c r="E555" t="s">
        <v>4240</v>
      </c>
      <c r="F555" t="s">
        <v>4096</v>
      </c>
      <c r="G555" t="s">
        <v>4241</v>
      </c>
      <c r="H555" t="s">
        <v>4242</v>
      </c>
      <c r="I555">
        <f t="shared" ca="1" si="32"/>
        <v>27</v>
      </c>
      <c r="J555" t="str">
        <f t="shared" ca="1" si="33"/>
        <v>18-29</v>
      </c>
      <c r="K555">
        <v>118082.64</v>
      </c>
      <c r="L555" t="str">
        <f>IF(Workforce[[#This Row],[Salary]]&lt;50000,"30k-49k",IF(Workforce[[#This Row],[Salary]]&lt;70000,"50k-69k",IF(Workforce[[#This Row],[Salary]]&lt;90000,"70k-89k","90k+")))</f>
        <v>90k+</v>
      </c>
      <c r="M555" t="s">
        <v>4243</v>
      </c>
      <c r="N555">
        <f t="shared" ca="1" si="34"/>
        <v>1</v>
      </c>
      <c r="O555" t="str">
        <f t="shared" ca="1" si="35"/>
        <v>Beginner</v>
      </c>
    </row>
    <row r="556" spans="1:15" x14ac:dyDescent="0.3">
      <c r="A556" t="s">
        <v>4244</v>
      </c>
      <c r="B556" t="s">
        <v>4245</v>
      </c>
      <c r="C556" t="s">
        <v>1223</v>
      </c>
      <c r="D556" t="s">
        <v>4246</v>
      </c>
      <c r="E556" t="s">
        <v>4247</v>
      </c>
      <c r="F556" t="s">
        <v>1007</v>
      </c>
      <c r="G556" t="s">
        <v>4248</v>
      </c>
      <c r="H556" t="s">
        <v>4249</v>
      </c>
      <c r="I556">
        <f t="shared" ca="1" si="32"/>
        <v>41</v>
      </c>
      <c r="J556" t="str">
        <f t="shared" ca="1" si="33"/>
        <v>40-49</v>
      </c>
      <c r="K556">
        <v>82644.09</v>
      </c>
      <c r="L556" t="str">
        <f>IF(Workforce[[#This Row],[Salary]]&lt;50000,"30k-49k",IF(Workforce[[#This Row],[Salary]]&lt;70000,"50k-69k",IF(Workforce[[#This Row],[Salary]]&lt;90000,"70k-89k","90k+")))</f>
        <v>70k-89k</v>
      </c>
      <c r="M556" t="s">
        <v>4250</v>
      </c>
      <c r="N556">
        <f t="shared" ca="1" si="34"/>
        <v>9</v>
      </c>
      <c r="O556" t="str">
        <f t="shared" ca="1" si="35"/>
        <v>Senior level</v>
      </c>
    </row>
    <row r="557" spans="1:15" x14ac:dyDescent="0.3">
      <c r="A557" t="s">
        <v>4251</v>
      </c>
      <c r="B557" t="s">
        <v>4252</v>
      </c>
      <c r="C557" t="s">
        <v>160</v>
      </c>
      <c r="D557" t="s">
        <v>4253</v>
      </c>
      <c r="E557" t="s">
        <v>4254</v>
      </c>
      <c r="F557" t="s">
        <v>145</v>
      </c>
      <c r="G557" t="s">
        <v>4255</v>
      </c>
      <c r="H557" t="s">
        <v>4256</v>
      </c>
      <c r="I557">
        <f t="shared" ca="1" si="32"/>
        <v>55</v>
      </c>
      <c r="J557" t="str">
        <f t="shared" ca="1" si="33"/>
        <v>50-59</v>
      </c>
      <c r="K557">
        <v>46924.61</v>
      </c>
      <c r="L557" t="str">
        <f>IF(Workforce[[#This Row],[Salary]]&lt;50000,"30k-49k",IF(Workforce[[#This Row],[Salary]]&lt;70000,"50k-69k",IF(Workforce[[#This Row],[Salary]]&lt;90000,"70k-89k","90k+")))</f>
        <v>30k-49k</v>
      </c>
      <c r="M557" t="s">
        <v>4257</v>
      </c>
      <c r="N557">
        <f t="shared" ca="1" si="34"/>
        <v>3</v>
      </c>
      <c r="O557" t="str">
        <f t="shared" ca="1" si="35"/>
        <v>Intermediate level</v>
      </c>
    </row>
    <row r="558" spans="1:15" x14ac:dyDescent="0.3">
      <c r="A558" t="s">
        <v>4258</v>
      </c>
      <c r="B558" t="s">
        <v>4259</v>
      </c>
      <c r="C558" t="s">
        <v>97</v>
      </c>
      <c r="D558" t="s">
        <v>4260</v>
      </c>
      <c r="E558" t="s">
        <v>4261</v>
      </c>
      <c r="F558" t="s">
        <v>4262</v>
      </c>
      <c r="G558" t="s">
        <v>4263</v>
      </c>
      <c r="H558" t="s">
        <v>4264</v>
      </c>
      <c r="I558">
        <f t="shared" ca="1" si="32"/>
        <v>49</v>
      </c>
      <c r="J558" t="str">
        <f t="shared" ca="1" si="33"/>
        <v>40-49</v>
      </c>
      <c r="K558">
        <v>99292</v>
      </c>
      <c r="L558" t="str">
        <f>IF(Workforce[[#This Row],[Salary]]&lt;50000,"30k-49k",IF(Workforce[[#This Row],[Salary]]&lt;70000,"50k-69k",IF(Workforce[[#This Row],[Salary]]&lt;90000,"70k-89k","90k+")))</f>
        <v>90k+</v>
      </c>
      <c r="M558" t="s">
        <v>4265</v>
      </c>
      <c r="N558">
        <f t="shared" ca="1" si="34"/>
        <v>1</v>
      </c>
      <c r="O558" t="str">
        <f t="shared" ca="1" si="35"/>
        <v>Beginner</v>
      </c>
    </row>
    <row r="559" spans="1:15" x14ac:dyDescent="0.3">
      <c r="A559" t="s">
        <v>4266</v>
      </c>
      <c r="B559" t="s">
        <v>4267</v>
      </c>
      <c r="C559" t="s">
        <v>88</v>
      </c>
      <c r="D559" t="s">
        <v>4268</v>
      </c>
      <c r="E559" t="s">
        <v>4269</v>
      </c>
      <c r="F559" t="s">
        <v>4270</v>
      </c>
      <c r="G559" t="s">
        <v>4271</v>
      </c>
      <c r="H559" t="s">
        <v>4272</v>
      </c>
      <c r="I559">
        <f t="shared" ca="1" si="32"/>
        <v>32</v>
      </c>
      <c r="J559" t="str">
        <f t="shared" ca="1" si="33"/>
        <v>30-39</v>
      </c>
      <c r="K559">
        <v>74415.31</v>
      </c>
      <c r="L559" t="str">
        <f>IF(Workforce[[#This Row],[Salary]]&lt;50000,"30k-49k",IF(Workforce[[#This Row],[Salary]]&lt;70000,"50k-69k",IF(Workforce[[#This Row],[Salary]]&lt;90000,"70k-89k","90k+")))</f>
        <v>70k-89k</v>
      </c>
      <c r="M559" t="s">
        <v>4273</v>
      </c>
      <c r="N559">
        <f t="shared" ca="1" si="34"/>
        <v>3</v>
      </c>
      <c r="O559" t="str">
        <f t="shared" ca="1" si="35"/>
        <v>Intermediate level</v>
      </c>
    </row>
    <row r="560" spans="1:15" x14ac:dyDescent="0.3">
      <c r="A560" t="s">
        <v>4274</v>
      </c>
      <c r="B560" t="s">
        <v>4275</v>
      </c>
      <c r="C560" t="s">
        <v>160</v>
      </c>
      <c r="D560" t="s">
        <v>4276</v>
      </c>
      <c r="E560" t="s">
        <v>4277</v>
      </c>
      <c r="F560" t="s">
        <v>4278</v>
      </c>
      <c r="G560" t="s">
        <v>4279</v>
      </c>
      <c r="H560" t="s">
        <v>4280</v>
      </c>
      <c r="I560">
        <f t="shared" ca="1" si="32"/>
        <v>27</v>
      </c>
      <c r="J560" t="str">
        <f t="shared" ca="1" si="33"/>
        <v>18-29</v>
      </c>
      <c r="K560">
        <v>81843.56</v>
      </c>
      <c r="L560" t="str">
        <f>IF(Workforce[[#This Row],[Salary]]&lt;50000,"30k-49k",IF(Workforce[[#This Row],[Salary]]&lt;70000,"50k-69k",IF(Workforce[[#This Row],[Salary]]&lt;90000,"70k-89k","90k+")))</f>
        <v>70k-89k</v>
      </c>
      <c r="M560" t="s">
        <v>4281</v>
      </c>
      <c r="N560">
        <f t="shared" ca="1" si="34"/>
        <v>7</v>
      </c>
      <c r="O560" t="str">
        <f t="shared" ca="1" si="35"/>
        <v>Senior level</v>
      </c>
    </row>
    <row r="561" spans="1:15" x14ac:dyDescent="0.3">
      <c r="A561" t="s">
        <v>4282</v>
      </c>
      <c r="B561" t="s">
        <v>4283</v>
      </c>
      <c r="C561" t="s">
        <v>1159</v>
      </c>
      <c r="D561" t="s">
        <v>4284</v>
      </c>
      <c r="E561" t="s">
        <v>4285</v>
      </c>
      <c r="F561" t="s">
        <v>4286</v>
      </c>
      <c r="G561" t="s">
        <v>4287</v>
      </c>
      <c r="H561" t="s">
        <v>4288</v>
      </c>
      <c r="I561">
        <f t="shared" ca="1" si="32"/>
        <v>33</v>
      </c>
      <c r="J561" t="str">
        <f t="shared" ca="1" si="33"/>
        <v>30-39</v>
      </c>
      <c r="K561">
        <v>67559.83</v>
      </c>
      <c r="L561" t="str">
        <f>IF(Workforce[[#This Row],[Salary]]&lt;50000,"30k-49k",IF(Workforce[[#This Row],[Salary]]&lt;70000,"50k-69k",IF(Workforce[[#This Row],[Salary]]&lt;90000,"70k-89k","90k+")))</f>
        <v>50k-69k</v>
      </c>
      <c r="M561" t="s">
        <v>4289</v>
      </c>
      <c r="N561">
        <f t="shared" ca="1" si="34"/>
        <v>7</v>
      </c>
      <c r="O561" t="str">
        <f t="shared" ca="1" si="35"/>
        <v>Senior level</v>
      </c>
    </row>
    <row r="562" spans="1:15" x14ac:dyDescent="0.3">
      <c r="A562" t="s">
        <v>4290</v>
      </c>
      <c r="B562" t="s">
        <v>4291</v>
      </c>
      <c r="C562" t="s">
        <v>178</v>
      </c>
      <c r="D562" t="s">
        <v>4292</v>
      </c>
      <c r="E562" t="s">
        <v>4293</v>
      </c>
      <c r="F562" t="s">
        <v>243</v>
      </c>
      <c r="G562" t="s">
        <v>4294</v>
      </c>
      <c r="H562" t="s">
        <v>1063</v>
      </c>
      <c r="I562">
        <f t="shared" ca="1" si="32"/>
        <v>59</v>
      </c>
      <c r="J562" t="str">
        <f t="shared" ca="1" si="33"/>
        <v>50-59</v>
      </c>
      <c r="K562">
        <v>75783.87</v>
      </c>
      <c r="L562" t="str">
        <f>IF(Workforce[[#This Row],[Salary]]&lt;50000,"30k-49k",IF(Workforce[[#This Row],[Salary]]&lt;70000,"50k-69k",IF(Workforce[[#This Row],[Salary]]&lt;90000,"70k-89k","90k+")))</f>
        <v>70k-89k</v>
      </c>
      <c r="M562" t="s">
        <v>4295</v>
      </c>
      <c r="N562">
        <f t="shared" ca="1" si="34"/>
        <v>9</v>
      </c>
      <c r="O562" t="str">
        <f t="shared" ca="1" si="35"/>
        <v>Senior level</v>
      </c>
    </row>
    <row r="563" spans="1:15" x14ac:dyDescent="0.3">
      <c r="A563" t="s">
        <v>505</v>
      </c>
      <c r="B563" t="s">
        <v>4296</v>
      </c>
      <c r="C563" t="s">
        <v>231</v>
      </c>
      <c r="D563" t="s">
        <v>4297</v>
      </c>
      <c r="E563" t="s">
        <v>4298</v>
      </c>
      <c r="F563" t="s">
        <v>2945</v>
      </c>
      <c r="G563" t="s">
        <v>4299</v>
      </c>
      <c r="H563" t="s">
        <v>4300</v>
      </c>
      <c r="I563">
        <f t="shared" ca="1" si="32"/>
        <v>61</v>
      </c>
      <c r="J563" t="str">
        <f t="shared" ca="1" si="33"/>
        <v>60+</v>
      </c>
      <c r="K563">
        <v>80324.81</v>
      </c>
      <c r="L563" t="str">
        <f>IF(Workforce[[#This Row],[Salary]]&lt;50000,"30k-49k",IF(Workforce[[#This Row],[Salary]]&lt;70000,"50k-69k",IF(Workforce[[#This Row],[Salary]]&lt;90000,"70k-89k","90k+")))</f>
        <v>70k-89k</v>
      </c>
      <c r="M563" t="s">
        <v>4301</v>
      </c>
      <c r="N563">
        <f t="shared" ca="1" si="34"/>
        <v>9</v>
      </c>
      <c r="O563" t="str">
        <f t="shared" ca="1" si="35"/>
        <v>Senior level</v>
      </c>
    </row>
    <row r="564" spans="1:15" x14ac:dyDescent="0.3">
      <c r="A564" t="s">
        <v>3393</v>
      </c>
      <c r="B564" t="s">
        <v>4302</v>
      </c>
      <c r="C564" t="s">
        <v>351</v>
      </c>
      <c r="D564" t="s">
        <v>4303</v>
      </c>
      <c r="E564" t="s">
        <v>4304</v>
      </c>
      <c r="F564" t="s">
        <v>4305</v>
      </c>
      <c r="G564" t="s">
        <v>4306</v>
      </c>
      <c r="H564" t="s">
        <v>4307</v>
      </c>
      <c r="I564">
        <f t="shared" ca="1" si="32"/>
        <v>48</v>
      </c>
      <c r="J564" t="str">
        <f t="shared" ca="1" si="33"/>
        <v>40-49</v>
      </c>
      <c r="K564">
        <v>76911.83</v>
      </c>
      <c r="L564" t="str">
        <f>IF(Workforce[[#This Row],[Salary]]&lt;50000,"30k-49k",IF(Workforce[[#This Row],[Salary]]&lt;70000,"50k-69k",IF(Workforce[[#This Row],[Salary]]&lt;90000,"70k-89k","90k+")))</f>
        <v>70k-89k</v>
      </c>
      <c r="M564" t="s">
        <v>4308</v>
      </c>
      <c r="N564">
        <f t="shared" ca="1" si="34"/>
        <v>1</v>
      </c>
      <c r="O564" t="str">
        <f t="shared" ca="1" si="35"/>
        <v>Beginner</v>
      </c>
    </row>
    <row r="565" spans="1:15" x14ac:dyDescent="0.3">
      <c r="A565" t="s">
        <v>4309</v>
      </c>
      <c r="B565" t="s">
        <v>4310</v>
      </c>
      <c r="C565" t="s">
        <v>17</v>
      </c>
      <c r="D565" t="s">
        <v>4311</v>
      </c>
      <c r="E565" t="s">
        <v>4312</v>
      </c>
      <c r="F565" t="s">
        <v>4313</v>
      </c>
      <c r="G565" t="s">
        <v>4314</v>
      </c>
      <c r="H565" t="s">
        <v>4315</v>
      </c>
      <c r="I565">
        <f t="shared" ca="1" si="32"/>
        <v>47</v>
      </c>
      <c r="J565" t="str">
        <f t="shared" ca="1" si="33"/>
        <v>40-49</v>
      </c>
      <c r="K565">
        <v>48318.06</v>
      </c>
      <c r="L565" t="str">
        <f>IF(Workforce[[#This Row],[Salary]]&lt;50000,"30k-49k",IF(Workforce[[#This Row],[Salary]]&lt;70000,"50k-69k",IF(Workforce[[#This Row],[Salary]]&lt;90000,"70k-89k","90k+")))</f>
        <v>30k-49k</v>
      </c>
      <c r="M565" t="s">
        <v>4316</v>
      </c>
      <c r="N565">
        <f t="shared" ca="1" si="34"/>
        <v>9</v>
      </c>
      <c r="O565" t="str">
        <f t="shared" ca="1" si="35"/>
        <v>Senior level</v>
      </c>
    </row>
    <row r="566" spans="1:15" x14ac:dyDescent="0.3">
      <c r="A566" t="s">
        <v>4317</v>
      </c>
      <c r="B566" t="s">
        <v>4318</v>
      </c>
      <c r="C566" t="s">
        <v>160</v>
      </c>
      <c r="D566" t="s">
        <v>4319</v>
      </c>
      <c r="E566" t="s">
        <v>4320</v>
      </c>
      <c r="F566" t="s">
        <v>4321</v>
      </c>
      <c r="G566" t="s">
        <v>4322</v>
      </c>
      <c r="H566" t="s">
        <v>4323</v>
      </c>
      <c r="I566">
        <f t="shared" ca="1" si="32"/>
        <v>43</v>
      </c>
      <c r="J566" t="str">
        <f t="shared" ca="1" si="33"/>
        <v>40-49</v>
      </c>
      <c r="K566">
        <v>35651.58</v>
      </c>
      <c r="L566" t="str">
        <f>IF(Workforce[[#This Row],[Salary]]&lt;50000,"30k-49k",IF(Workforce[[#This Row],[Salary]]&lt;70000,"50k-69k",IF(Workforce[[#This Row],[Salary]]&lt;90000,"70k-89k","90k+")))</f>
        <v>30k-49k</v>
      </c>
      <c r="M566" t="s">
        <v>4324</v>
      </c>
      <c r="N566">
        <f t="shared" ca="1" si="34"/>
        <v>6</v>
      </c>
      <c r="O566" t="str">
        <f t="shared" ca="1" si="35"/>
        <v>Intermediate level</v>
      </c>
    </row>
    <row r="567" spans="1:15" x14ac:dyDescent="0.3">
      <c r="A567" t="s">
        <v>4325</v>
      </c>
      <c r="B567" t="s">
        <v>4326</v>
      </c>
      <c r="C567" t="s">
        <v>160</v>
      </c>
      <c r="D567" t="s">
        <v>4327</v>
      </c>
      <c r="E567" t="s">
        <v>4328</v>
      </c>
      <c r="F567" t="s">
        <v>4329</v>
      </c>
      <c r="G567" t="s">
        <v>4330</v>
      </c>
      <c r="H567" t="s">
        <v>4331</v>
      </c>
      <c r="I567">
        <f t="shared" ca="1" si="32"/>
        <v>58</v>
      </c>
      <c r="J567" t="str">
        <f t="shared" ca="1" si="33"/>
        <v>50-59</v>
      </c>
      <c r="K567">
        <v>45763.63</v>
      </c>
      <c r="L567" t="str">
        <f>IF(Workforce[[#This Row],[Salary]]&lt;50000,"30k-49k",IF(Workforce[[#This Row],[Salary]]&lt;70000,"50k-69k",IF(Workforce[[#This Row],[Salary]]&lt;90000,"70k-89k","90k+")))</f>
        <v>30k-49k</v>
      </c>
      <c r="M567" t="s">
        <v>4332</v>
      </c>
      <c r="N567">
        <f t="shared" ca="1" si="34"/>
        <v>5</v>
      </c>
      <c r="O567" t="str">
        <f t="shared" ca="1" si="35"/>
        <v>Intermediate level</v>
      </c>
    </row>
    <row r="568" spans="1:15" x14ac:dyDescent="0.3">
      <c r="A568" t="s">
        <v>4333</v>
      </c>
      <c r="B568" t="s">
        <v>4334</v>
      </c>
      <c r="C568" t="s">
        <v>213</v>
      </c>
      <c r="D568" t="s">
        <v>4335</v>
      </c>
      <c r="E568" t="s">
        <v>4336</v>
      </c>
      <c r="F568" t="s">
        <v>4206</v>
      </c>
      <c r="G568" t="s">
        <v>4337</v>
      </c>
      <c r="H568" t="s">
        <v>4338</v>
      </c>
      <c r="I568">
        <f t="shared" ca="1" si="32"/>
        <v>60</v>
      </c>
      <c r="J568" t="str">
        <f t="shared" ca="1" si="33"/>
        <v>60+</v>
      </c>
      <c r="K568">
        <v>99228.01</v>
      </c>
      <c r="L568" t="str">
        <f>IF(Workforce[[#This Row],[Salary]]&lt;50000,"30k-49k",IF(Workforce[[#This Row],[Salary]]&lt;70000,"50k-69k",IF(Workforce[[#This Row],[Salary]]&lt;90000,"70k-89k","90k+")))</f>
        <v>90k+</v>
      </c>
      <c r="M568" t="s">
        <v>4339</v>
      </c>
      <c r="N568">
        <f t="shared" ca="1" si="34"/>
        <v>2</v>
      </c>
      <c r="O568" t="str">
        <f t="shared" ca="1" si="35"/>
        <v>Beginner</v>
      </c>
    </row>
    <row r="569" spans="1:15" x14ac:dyDescent="0.3">
      <c r="A569" t="s">
        <v>4340</v>
      </c>
      <c r="B569" t="s">
        <v>4341</v>
      </c>
      <c r="C569" t="s">
        <v>79</v>
      </c>
      <c r="D569" t="s">
        <v>4342</v>
      </c>
      <c r="E569" t="s">
        <v>4343</v>
      </c>
      <c r="F569" t="s">
        <v>4344</v>
      </c>
      <c r="G569" t="s">
        <v>4345</v>
      </c>
      <c r="H569" t="s">
        <v>4346</v>
      </c>
      <c r="I569">
        <f t="shared" ca="1" si="32"/>
        <v>36</v>
      </c>
      <c r="J569" t="str">
        <f t="shared" ca="1" si="33"/>
        <v>30-39</v>
      </c>
      <c r="K569">
        <v>68484.960000000006</v>
      </c>
      <c r="L569" t="str">
        <f>IF(Workforce[[#This Row],[Salary]]&lt;50000,"30k-49k",IF(Workforce[[#This Row],[Salary]]&lt;70000,"50k-69k",IF(Workforce[[#This Row],[Salary]]&lt;90000,"70k-89k","90k+")))</f>
        <v>50k-69k</v>
      </c>
      <c r="M569" t="s">
        <v>4347</v>
      </c>
      <c r="N569">
        <f t="shared" ca="1" si="34"/>
        <v>7</v>
      </c>
      <c r="O569" t="str">
        <f t="shared" ca="1" si="35"/>
        <v>Senior level</v>
      </c>
    </row>
    <row r="570" spans="1:15" x14ac:dyDescent="0.3">
      <c r="A570" t="s">
        <v>4348</v>
      </c>
      <c r="B570" t="s">
        <v>4349</v>
      </c>
      <c r="C570" t="s">
        <v>400</v>
      </c>
      <c r="D570" t="s">
        <v>4350</v>
      </c>
      <c r="E570" t="s">
        <v>4351</v>
      </c>
      <c r="F570" t="s">
        <v>3753</v>
      </c>
      <c r="G570" t="s">
        <v>4352</v>
      </c>
      <c r="H570" t="s">
        <v>4353</v>
      </c>
      <c r="I570">
        <f t="shared" ca="1" si="32"/>
        <v>28</v>
      </c>
      <c r="J570" t="str">
        <f t="shared" ca="1" si="33"/>
        <v>18-29</v>
      </c>
      <c r="K570">
        <v>83744.259999999995</v>
      </c>
      <c r="L570" t="str">
        <f>IF(Workforce[[#This Row],[Salary]]&lt;50000,"30k-49k",IF(Workforce[[#This Row],[Salary]]&lt;70000,"50k-69k",IF(Workforce[[#This Row],[Salary]]&lt;90000,"70k-89k","90k+")))</f>
        <v>70k-89k</v>
      </c>
      <c r="M570" t="s">
        <v>1165</v>
      </c>
      <c r="N570">
        <f t="shared" ca="1" si="34"/>
        <v>1</v>
      </c>
      <c r="O570" t="str">
        <f t="shared" ca="1" si="35"/>
        <v>Beginner</v>
      </c>
    </row>
    <row r="571" spans="1:15" x14ac:dyDescent="0.3">
      <c r="A571" t="s">
        <v>4354</v>
      </c>
      <c r="B571" t="s">
        <v>4355</v>
      </c>
      <c r="C571" t="s">
        <v>351</v>
      </c>
      <c r="D571" t="s">
        <v>4356</v>
      </c>
      <c r="E571" t="s">
        <v>4357</v>
      </c>
      <c r="F571" t="s">
        <v>2431</v>
      </c>
      <c r="G571" t="s">
        <v>4358</v>
      </c>
      <c r="H571" t="s">
        <v>4359</v>
      </c>
      <c r="I571">
        <f t="shared" ca="1" si="32"/>
        <v>37</v>
      </c>
      <c r="J571" t="str">
        <f t="shared" ca="1" si="33"/>
        <v>30-39</v>
      </c>
      <c r="K571">
        <v>104736.61</v>
      </c>
      <c r="L571" t="str">
        <f>IF(Workforce[[#This Row],[Salary]]&lt;50000,"30k-49k",IF(Workforce[[#This Row],[Salary]]&lt;70000,"50k-69k",IF(Workforce[[#This Row],[Salary]]&lt;90000,"70k-89k","90k+")))</f>
        <v>90k+</v>
      </c>
      <c r="M571" t="s">
        <v>4360</v>
      </c>
      <c r="N571">
        <f t="shared" ca="1" si="34"/>
        <v>8</v>
      </c>
      <c r="O571" t="str">
        <f t="shared" ca="1" si="35"/>
        <v>Senior level</v>
      </c>
    </row>
    <row r="572" spans="1:15" x14ac:dyDescent="0.3">
      <c r="A572" t="s">
        <v>4361</v>
      </c>
      <c r="B572" t="s">
        <v>4362</v>
      </c>
      <c r="C572" t="s">
        <v>539</v>
      </c>
      <c r="D572" t="s">
        <v>4363</v>
      </c>
      <c r="E572" t="s">
        <v>4364</v>
      </c>
      <c r="F572" t="s">
        <v>3141</v>
      </c>
      <c r="G572" t="s">
        <v>4365</v>
      </c>
      <c r="H572" t="s">
        <v>4366</v>
      </c>
      <c r="I572">
        <f t="shared" ca="1" si="32"/>
        <v>44</v>
      </c>
      <c r="J572" t="str">
        <f t="shared" ca="1" si="33"/>
        <v>40-49</v>
      </c>
      <c r="K572">
        <v>46740</v>
      </c>
      <c r="L572" t="str">
        <f>IF(Workforce[[#This Row],[Salary]]&lt;50000,"30k-49k",IF(Workforce[[#This Row],[Salary]]&lt;70000,"50k-69k",IF(Workforce[[#This Row],[Salary]]&lt;90000,"70k-89k","90k+")))</f>
        <v>30k-49k</v>
      </c>
      <c r="M572" t="s">
        <v>4367</v>
      </c>
      <c r="N572">
        <f t="shared" ca="1" si="34"/>
        <v>2</v>
      </c>
      <c r="O572" t="str">
        <f t="shared" ca="1" si="35"/>
        <v>Beginner</v>
      </c>
    </row>
    <row r="573" spans="1:15" x14ac:dyDescent="0.3">
      <c r="A573" t="s">
        <v>4368</v>
      </c>
      <c r="B573" t="s">
        <v>4369</v>
      </c>
      <c r="C573" t="s">
        <v>151</v>
      </c>
      <c r="D573" t="s">
        <v>4370</v>
      </c>
      <c r="E573" t="s">
        <v>4371</v>
      </c>
      <c r="F573" t="s">
        <v>998</v>
      </c>
      <c r="G573" t="s">
        <v>4372</v>
      </c>
      <c r="H573" t="s">
        <v>4373</v>
      </c>
      <c r="I573">
        <f t="shared" ca="1" si="32"/>
        <v>25</v>
      </c>
      <c r="J573" t="str">
        <f t="shared" ca="1" si="33"/>
        <v>18-29</v>
      </c>
      <c r="K573">
        <v>33808.239999999998</v>
      </c>
      <c r="L573" t="str">
        <f>IF(Workforce[[#This Row],[Salary]]&lt;50000,"30k-49k",IF(Workforce[[#This Row],[Salary]]&lt;70000,"50k-69k",IF(Workforce[[#This Row],[Salary]]&lt;90000,"70k-89k","90k+")))</f>
        <v>30k-49k</v>
      </c>
      <c r="M573" t="s">
        <v>4374</v>
      </c>
      <c r="N573">
        <f t="shared" ca="1" si="34"/>
        <v>2</v>
      </c>
      <c r="O573" t="str">
        <f t="shared" ca="1" si="35"/>
        <v>Beginner</v>
      </c>
    </row>
    <row r="574" spans="1:15" x14ac:dyDescent="0.3">
      <c r="A574" t="s">
        <v>4375</v>
      </c>
      <c r="B574" t="s">
        <v>4376</v>
      </c>
      <c r="C574" t="s">
        <v>187</v>
      </c>
      <c r="D574" t="s">
        <v>4377</v>
      </c>
      <c r="E574" t="s">
        <v>4378</v>
      </c>
      <c r="F574" t="s">
        <v>4379</v>
      </c>
      <c r="G574" t="s">
        <v>4380</v>
      </c>
      <c r="H574" t="s">
        <v>4381</v>
      </c>
      <c r="I574">
        <f t="shared" ca="1" si="32"/>
        <v>34</v>
      </c>
      <c r="J574" t="str">
        <f t="shared" ca="1" si="33"/>
        <v>30-39</v>
      </c>
      <c r="K574">
        <v>92774.26</v>
      </c>
      <c r="L574" t="str">
        <f>IF(Workforce[[#This Row],[Salary]]&lt;50000,"30k-49k",IF(Workforce[[#This Row],[Salary]]&lt;70000,"50k-69k",IF(Workforce[[#This Row],[Salary]]&lt;90000,"70k-89k","90k+")))</f>
        <v>90k+</v>
      </c>
      <c r="M574" t="s">
        <v>4382</v>
      </c>
      <c r="N574">
        <f t="shared" ca="1" si="34"/>
        <v>1</v>
      </c>
      <c r="O574" t="str">
        <f t="shared" ca="1" si="35"/>
        <v>Beginner</v>
      </c>
    </row>
    <row r="575" spans="1:15" x14ac:dyDescent="0.3">
      <c r="A575" t="s">
        <v>4383</v>
      </c>
      <c r="B575" t="s">
        <v>4384</v>
      </c>
      <c r="C575" t="s">
        <v>257</v>
      </c>
      <c r="D575" t="s">
        <v>4385</v>
      </c>
      <c r="E575" t="s">
        <v>4386</v>
      </c>
      <c r="F575" t="s">
        <v>4387</v>
      </c>
      <c r="G575" t="s">
        <v>4388</v>
      </c>
      <c r="H575" t="s">
        <v>4389</v>
      </c>
      <c r="I575">
        <f t="shared" ca="1" si="32"/>
        <v>37</v>
      </c>
      <c r="J575" t="str">
        <f t="shared" ca="1" si="33"/>
        <v>30-39</v>
      </c>
      <c r="K575">
        <v>41469.769999999997</v>
      </c>
      <c r="L575" t="str">
        <f>IF(Workforce[[#This Row],[Salary]]&lt;50000,"30k-49k",IF(Workforce[[#This Row],[Salary]]&lt;70000,"50k-69k",IF(Workforce[[#This Row],[Salary]]&lt;90000,"70k-89k","90k+")))</f>
        <v>30k-49k</v>
      </c>
      <c r="M575" t="s">
        <v>4390</v>
      </c>
      <c r="N575">
        <f t="shared" ca="1" si="34"/>
        <v>5</v>
      </c>
      <c r="O575" t="str">
        <f t="shared" ca="1" si="35"/>
        <v>Intermediate level</v>
      </c>
    </row>
    <row r="576" spans="1:15" x14ac:dyDescent="0.3">
      <c r="A576" t="s">
        <v>4391</v>
      </c>
      <c r="B576" t="s">
        <v>4392</v>
      </c>
      <c r="C576" t="s">
        <v>440</v>
      </c>
      <c r="D576" t="s">
        <v>4393</v>
      </c>
      <c r="E576" t="s">
        <v>4394</v>
      </c>
      <c r="F576" t="s">
        <v>583</v>
      </c>
      <c r="G576" t="s">
        <v>4395</v>
      </c>
      <c r="H576" t="s">
        <v>4396</v>
      </c>
      <c r="I576">
        <f t="shared" ca="1" si="32"/>
        <v>53</v>
      </c>
      <c r="J576" t="str">
        <f t="shared" ca="1" si="33"/>
        <v>50-59</v>
      </c>
      <c r="K576">
        <v>93591.59</v>
      </c>
      <c r="L576" t="str">
        <f>IF(Workforce[[#This Row],[Salary]]&lt;50000,"30k-49k",IF(Workforce[[#This Row],[Salary]]&lt;70000,"50k-69k",IF(Workforce[[#This Row],[Salary]]&lt;90000,"70k-89k","90k+")))</f>
        <v>90k+</v>
      </c>
      <c r="M576" t="s">
        <v>4397</v>
      </c>
      <c r="N576">
        <f t="shared" ca="1" si="34"/>
        <v>2</v>
      </c>
      <c r="O576" t="str">
        <f t="shared" ca="1" si="35"/>
        <v>Beginner</v>
      </c>
    </row>
    <row r="577" spans="1:15" x14ac:dyDescent="0.3">
      <c r="A577" t="s">
        <v>4398</v>
      </c>
      <c r="B577" t="s">
        <v>4399</v>
      </c>
      <c r="C577" t="s">
        <v>2086</v>
      </c>
      <c r="D577" t="s">
        <v>4400</v>
      </c>
      <c r="E577" t="s">
        <v>4401</v>
      </c>
      <c r="F577" t="s">
        <v>4402</v>
      </c>
      <c r="G577" t="s">
        <v>4403</v>
      </c>
      <c r="H577" t="s">
        <v>4404</v>
      </c>
      <c r="I577">
        <f t="shared" ca="1" si="32"/>
        <v>21</v>
      </c>
      <c r="J577" t="str">
        <f t="shared" ca="1" si="33"/>
        <v>18-29</v>
      </c>
      <c r="K577">
        <v>76743.759999999995</v>
      </c>
      <c r="L577" t="str">
        <f>IF(Workforce[[#This Row],[Salary]]&lt;50000,"30k-49k",IF(Workforce[[#This Row],[Salary]]&lt;70000,"50k-69k",IF(Workforce[[#This Row],[Salary]]&lt;90000,"70k-89k","90k+")))</f>
        <v>70k-89k</v>
      </c>
      <c r="M577" t="s">
        <v>4405</v>
      </c>
      <c r="N577">
        <f t="shared" ca="1" si="34"/>
        <v>5</v>
      </c>
      <c r="O577" t="str">
        <f t="shared" ca="1" si="35"/>
        <v>Intermediate level</v>
      </c>
    </row>
    <row r="578" spans="1:15" x14ac:dyDescent="0.3">
      <c r="A578" t="s">
        <v>4406</v>
      </c>
      <c r="B578" t="s">
        <v>4407</v>
      </c>
      <c r="C578" t="s">
        <v>580</v>
      </c>
      <c r="D578" t="s">
        <v>4408</v>
      </c>
      <c r="E578" t="s">
        <v>4409</v>
      </c>
      <c r="F578" t="s">
        <v>1091</v>
      </c>
      <c r="G578" t="s">
        <v>4410</v>
      </c>
      <c r="H578" t="s">
        <v>4411</v>
      </c>
      <c r="I578">
        <f t="shared" ref="I578:I641" ca="1" si="36">DATEDIF(H578,TODAY(),"y")</f>
        <v>43</v>
      </c>
      <c r="J578" t="str">
        <f t="shared" ref="J578:J641" ca="1" si="37">IF(I578&lt;30,"18-29",IF(I578&lt;40,"30-39",IF(I578&lt;50,"40-49",IF(I578&lt;60,"50-59","60+"))))</f>
        <v>40-49</v>
      </c>
      <c r="K578">
        <v>37666.949999999997</v>
      </c>
      <c r="L578" t="str">
        <f>IF(Workforce[[#This Row],[Salary]]&lt;50000,"30k-49k",IF(Workforce[[#This Row],[Salary]]&lt;70000,"50k-69k",IF(Workforce[[#This Row],[Salary]]&lt;90000,"70k-89k","90k+")))</f>
        <v>30k-49k</v>
      </c>
      <c r="M578" t="s">
        <v>4412</v>
      </c>
      <c r="N578">
        <f t="shared" ref="N578:N641" ca="1" si="38">DATEDIF(M578,TODAY(),"y")</f>
        <v>10</v>
      </c>
      <c r="O578" t="str">
        <f t="shared" ref="O578:O641" ca="1" si="39">IF(N578&lt;=2,"Beginner",IF(N578&lt;=6,"Intermediate level","Senior level"))</f>
        <v>Senior level</v>
      </c>
    </row>
    <row r="579" spans="1:15" x14ac:dyDescent="0.3">
      <c r="A579" t="s">
        <v>4413</v>
      </c>
      <c r="B579" t="s">
        <v>4414</v>
      </c>
      <c r="C579" t="s">
        <v>351</v>
      </c>
      <c r="D579" t="s">
        <v>4415</v>
      </c>
      <c r="E579" t="s">
        <v>4416</v>
      </c>
      <c r="F579" t="s">
        <v>2194</v>
      </c>
      <c r="G579" t="s">
        <v>4417</v>
      </c>
      <c r="H579" t="s">
        <v>4418</v>
      </c>
      <c r="I579">
        <f t="shared" ca="1" si="36"/>
        <v>29</v>
      </c>
      <c r="J579" t="str">
        <f t="shared" ca="1" si="37"/>
        <v>18-29</v>
      </c>
      <c r="K579">
        <v>31386.53</v>
      </c>
      <c r="L579" t="str">
        <f>IF(Workforce[[#This Row],[Salary]]&lt;50000,"30k-49k",IF(Workforce[[#This Row],[Salary]]&lt;70000,"50k-69k",IF(Workforce[[#This Row],[Salary]]&lt;90000,"70k-89k","90k+")))</f>
        <v>30k-49k</v>
      </c>
      <c r="M579" t="s">
        <v>4419</v>
      </c>
      <c r="N579">
        <f t="shared" ca="1" si="38"/>
        <v>4</v>
      </c>
      <c r="O579" t="str">
        <f t="shared" ca="1" si="39"/>
        <v>Intermediate level</v>
      </c>
    </row>
    <row r="580" spans="1:15" x14ac:dyDescent="0.3">
      <c r="A580" t="s">
        <v>4420</v>
      </c>
      <c r="B580" t="s">
        <v>4421</v>
      </c>
      <c r="C580" t="s">
        <v>317</v>
      </c>
      <c r="D580" t="s">
        <v>4422</v>
      </c>
      <c r="E580" t="s">
        <v>4423</v>
      </c>
      <c r="F580" t="s">
        <v>4286</v>
      </c>
      <c r="G580" t="s">
        <v>4424</v>
      </c>
      <c r="H580" t="s">
        <v>4425</v>
      </c>
      <c r="I580">
        <f t="shared" ca="1" si="36"/>
        <v>40</v>
      </c>
      <c r="J580" t="str">
        <f t="shared" ca="1" si="37"/>
        <v>40-49</v>
      </c>
      <c r="K580">
        <v>57434.75</v>
      </c>
      <c r="L580" t="str">
        <f>IF(Workforce[[#This Row],[Salary]]&lt;50000,"30k-49k",IF(Workforce[[#This Row],[Salary]]&lt;70000,"50k-69k",IF(Workforce[[#This Row],[Salary]]&lt;90000,"70k-89k","90k+")))</f>
        <v>50k-69k</v>
      </c>
      <c r="M580" t="s">
        <v>4426</v>
      </c>
      <c r="N580">
        <f t="shared" ca="1" si="38"/>
        <v>9</v>
      </c>
      <c r="O580" t="str">
        <f t="shared" ca="1" si="39"/>
        <v>Senior level</v>
      </c>
    </row>
    <row r="581" spans="1:15" x14ac:dyDescent="0.3">
      <c r="A581" t="s">
        <v>4427</v>
      </c>
      <c r="B581" t="s">
        <v>4428</v>
      </c>
      <c r="C581" t="s">
        <v>222</v>
      </c>
      <c r="D581" t="s">
        <v>4429</v>
      </c>
      <c r="E581" t="s">
        <v>4430</v>
      </c>
      <c r="F581" t="s">
        <v>4431</v>
      </c>
      <c r="G581" t="s">
        <v>4432</v>
      </c>
      <c r="H581" t="s">
        <v>4433</v>
      </c>
      <c r="I581">
        <f t="shared" ca="1" si="36"/>
        <v>23</v>
      </c>
      <c r="J581" t="str">
        <f t="shared" ca="1" si="37"/>
        <v>18-29</v>
      </c>
      <c r="K581">
        <v>103156.74</v>
      </c>
      <c r="L581" t="str">
        <f>IF(Workforce[[#This Row],[Salary]]&lt;50000,"30k-49k",IF(Workforce[[#This Row],[Salary]]&lt;70000,"50k-69k",IF(Workforce[[#This Row],[Salary]]&lt;90000,"70k-89k","90k+")))</f>
        <v>90k+</v>
      </c>
      <c r="M581" t="s">
        <v>4434</v>
      </c>
      <c r="N581">
        <f t="shared" ca="1" si="38"/>
        <v>10</v>
      </c>
      <c r="O581" t="str">
        <f t="shared" ca="1" si="39"/>
        <v>Senior level</v>
      </c>
    </row>
    <row r="582" spans="1:15" x14ac:dyDescent="0.3">
      <c r="A582" t="s">
        <v>4435</v>
      </c>
      <c r="B582" t="s">
        <v>4436</v>
      </c>
      <c r="C582" t="s">
        <v>400</v>
      </c>
      <c r="D582" t="s">
        <v>4437</v>
      </c>
      <c r="E582" t="s">
        <v>4438</v>
      </c>
      <c r="F582" t="s">
        <v>2716</v>
      </c>
      <c r="G582" t="s">
        <v>4439</v>
      </c>
      <c r="H582" t="s">
        <v>4440</v>
      </c>
      <c r="I582">
        <f t="shared" ca="1" si="36"/>
        <v>41</v>
      </c>
      <c r="J582" t="str">
        <f t="shared" ca="1" si="37"/>
        <v>40-49</v>
      </c>
      <c r="K582">
        <v>89767.34</v>
      </c>
      <c r="L582" t="str">
        <f>IF(Workforce[[#This Row],[Salary]]&lt;50000,"30k-49k",IF(Workforce[[#This Row],[Salary]]&lt;70000,"50k-69k",IF(Workforce[[#This Row],[Salary]]&lt;90000,"70k-89k","90k+")))</f>
        <v>70k-89k</v>
      </c>
      <c r="M582" t="s">
        <v>4441</v>
      </c>
      <c r="N582">
        <f t="shared" ca="1" si="38"/>
        <v>2</v>
      </c>
      <c r="O582" t="str">
        <f t="shared" ca="1" si="39"/>
        <v>Beginner</v>
      </c>
    </row>
    <row r="583" spans="1:15" x14ac:dyDescent="0.3">
      <c r="A583" t="s">
        <v>4442</v>
      </c>
      <c r="B583" t="s">
        <v>4443</v>
      </c>
      <c r="C583" t="s">
        <v>1004</v>
      </c>
      <c r="D583" t="s">
        <v>4444</v>
      </c>
      <c r="E583" t="s">
        <v>4445</v>
      </c>
      <c r="F583" t="s">
        <v>918</v>
      </c>
      <c r="G583" t="s">
        <v>4446</v>
      </c>
      <c r="H583" t="s">
        <v>4447</v>
      </c>
      <c r="I583">
        <f t="shared" ca="1" si="36"/>
        <v>63</v>
      </c>
      <c r="J583" t="str">
        <f t="shared" ca="1" si="37"/>
        <v>60+</v>
      </c>
      <c r="K583">
        <v>89871.4</v>
      </c>
      <c r="L583" t="str">
        <f>IF(Workforce[[#This Row],[Salary]]&lt;50000,"30k-49k",IF(Workforce[[#This Row],[Salary]]&lt;70000,"50k-69k",IF(Workforce[[#This Row],[Salary]]&lt;90000,"70k-89k","90k+")))</f>
        <v>70k-89k</v>
      </c>
      <c r="M583" t="s">
        <v>3281</v>
      </c>
      <c r="N583">
        <f t="shared" ca="1" si="38"/>
        <v>3</v>
      </c>
      <c r="O583" t="str">
        <f t="shared" ca="1" si="39"/>
        <v>Intermediate level</v>
      </c>
    </row>
    <row r="584" spans="1:15" x14ac:dyDescent="0.3">
      <c r="A584" t="s">
        <v>4448</v>
      </c>
      <c r="B584" t="s">
        <v>4449</v>
      </c>
      <c r="C584" t="s">
        <v>160</v>
      </c>
      <c r="D584" t="s">
        <v>4450</v>
      </c>
      <c r="E584" t="s">
        <v>4451</v>
      </c>
      <c r="F584" t="s">
        <v>1880</v>
      </c>
      <c r="G584" t="s">
        <v>4452</v>
      </c>
      <c r="H584" t="s">
        <v>4453</v>
      </c>
      <c r="I584">
        <f t="shared" ca="1" si="36"/>
        <v>23</v>
      </c>
      <c r="J584" t="str">
        <f t="shared" ca="1" si="37"/>
        <v>18-29</v>
      </c>
      <c r="K584">
        <v>76898.31</v>
      </c>
      <c r="L584" t="str">
        <f>IF(Workforce[[#This Row],[Salary]]&lt;50000,"30k-49k",IF(Workforce[[#This Row],[Salary]]&lt;70000,"50k-69k",IF(Workforce[[#This Row],[Salary]]&lt;90000,"70k-89k","90k+")))</f>
        <v>70k-89k</v>
      </c>
      <c r="M584" t="s">
        <v>4454</v>
      </c>
      <c r="N584">
        <f t="shared" ca="1" si="38"/>
        <v>3</v>
      </c>
      <c r="O584" t="str">
        <f t="shared" ca="1" si="39"/>
        <v>Intermediate level</v>
      </c>
    </row>
    <row r="585" spans="1:15" x14ac:dyDescent="0.3">
      <c r="A585" t="s">
        <v>4455</v>
      </c>
      <c r="B585" t="s">
        <v>4456</v>
      </c>
      <c r="C585" t="s">
        <v>106</v>
      </c>
      <c r="D585" t="s">
        <v>4457</v>
      </c>
      <c r="E585" t="s">
        <v>4458</v>
      </c>
      <c r="F585" t="s">
        <v>4459</v>
      </c>
      <c r="G585" t="s">
        <v>4460</v>
      </c>
      <c r="H585" t="s">
        <v>4461</v>
      </c>
      <c r="I585">
        <f t="shared" ca="1" si="36"/>
        <v>19</v>
      </c>
      <c r="J585" t="str">
        <f t="shared" ca="1" si="37"/>
        <v>18-29</v>
      </c>
      <c r="K585">
        <v>72589.34</v>
      </c>
      <c r="L585" t="str">
        <f>IF(Workforce[[#This Row],[Salary]]&lt;50000,"30k-49k",IF(Workforce[[#This Row],[Salary]]&lt;70000,"50k-69k",IF(Workforce[[#This Row],[Salary]]&lt;90000,"70k-89k","90k+")))</f>
        <v>70k-89k</v>
      </c>
      <c r="M585" t="s">
        <v>4462</v>
      </c>
      <c r="N585">
        <f t="shared" ca="1" si="38"/>
        <v>1</v>
      </c>
      <c r="O585" t="str">
        <f t="shared" ca="1" si="39"/>
        <v>Beginner</v>
      </c>
    </row>
    <row r="586" spans="1:15" x14ac:dyDescent="0.3">
      <c r="A586" t="s">
        <v>4463</v>
      </c>
      <c r="B586" t="s">
        <v>4464</v>
      </c>
      <c r="C586" t="s">
        <v>748</v>
      </c>
      <c r="D586" t="s">
        <v>4465</v>
      </c>
      <c r="E586" t="s">
        <v>4466</v>
      </c>
      <c r="F586" t="s">
        <v>64</v>
      </c>
      <c r="G586" t="s">
        <v>4467</v>
      </c>
      <c r="H586" t="s">
        <v>4468</v>
      </c>
      <c r="I586">
        <f t="shared" ca="1" si="36"/>
        <v>63</v>
      </c>
      <c r="J586" t="str">
        <f t="shared" ca="1" si="37"/>
        <v>60+</v>
      </c>
      <c r="K586">
        <v>82544.350000000006</v>
      </c>
      <c r="L586" t="str">
        <f>IF(Workforce[[#This Row],[Salary]]&lt;50000,"30k-49k",IF(Workforce[[#This Row],[Salary]]&lt;70000,"50k-69k",IF(Workforce[[#This Row],[Salary]]&lt;90000,"70k-89k","90k+")))</f>
        <v>70k-89k</v>
      </c>
      <c r="M586" t="s">
        <v>4469</v>
      </c>
      <c r="N586">
        <f t="shared" ca="1" si="38"/>
        <v>3</v>
      </c>
      <c r="O586" t="str">
        <f t="shared" ca="1" si="39"/>
        <v>Intermediate level</v>
      </c>
    </row>
    <row r="587" spans="1:15" x14ac:dyDescent="0.3">
      <c r="A587" t="s">
        <v>4470</v>
      </c>
      <c r="B587" t="s">
        <v>4471</v>
      </c>
      <c r="C587" t="s">
        <v>757</v>
      </c>
      <c r="D587" t="s">
        <v>4472</v>
      </c>
      <c r="E587" t="s">
        <v>4473</v>
      </c>
      <c r="F587" t="s">
        <v>3456</v>
      </c>
      <c r="G587" t="s">
        <v>4474</v>
      </c>
      <c r="H587" t="s">
        <v>4475</v>
      </c>
      <c r="I587">
        <f t="shared" ca="1" si="36"/>
        <v>21</v>
      </c>
      <c r="J587" t="str">
        <f t="shared" ca="1" si="37"/>
        <v>18-29</v>
      </c>
      <c r="K587">
        <v>111559.61</v>
      </c>
      <c r="L587" t="str">
        <f>IF(Workforce[[#This Row],[Salary]]&lt;50000,"30k-49k",IF(Workforce[[#This Row],[Salary]]&lt;70000,"50k-69k",IF(Workforce[[#This Row],[Salary]]&lt;90000,"70k-89k","90k+")))</f>
        <v>90k+</v>
      </c>
      <c r="M587" t="s">
        <v>4476</v>
      </c>
      <c r="N587">
        <f t="shared" ca="1" si="38"/>
        <v>8</v>
      </c>
      <c r="O587" t="str">
        <f t="shared" ca="1" si="39"/>
        <v>Senior level</v>
      </c>
    </row>
    <row r="588" spans="1:15" x14ac:dyDescent="0.3">
      <c r="A588" t="s">
        <v>4477</v>
      </c>
      <c r="B588" t="s">
        <v>4478</v>
      </c>
      <c r="C588" t="s">
        <v>317</v>
      </c>
      <c r="D588" t="s">
        <v>4479</v>
      </c>
      <c r="E588" t="s">
        <v>4480</v>
      </c>
      <c r="F588" t="s">
        <v>2051</v>
      </c>
      <c r="G588" t="s">
        <v>4481</v>
      </c>
      <c r="H588" t="s">
        <v>4482</v>
      </c>
      <c r="I588">
        <f t="shared" ca="1" si="36"/>
        <v>64</v>
      </c>
      <c r="J588" t="str">
        <f t="shared" ca="1" si="37"/>
        <v>60+</v>
      </c>
      <c r="K588">
        <v>73081.62</v>
      </c>
      <c r="L588" t="str">
        <f>IF(Workforce[[#This Row],[Salary]]&lt;50000,"30k-49k",IF(Workforce[[#This Row],[Salary]]&lt;70000,"50k-69k",IF(Workforce[[#This Row],[Salary]]&lt;90000,"70k-89k","90k+")))</f>
        <v>70k-89k</v>
      </c>
      <c r="M588" t="s">
        <v>4483</v>
      </c>
      <c r="N588">
        <f t="shared" ca="1" si="38"/>
        <v>2</v>
      </c>
      <c r="O588" t="str">
        <f t="shared" ca="1" si="39"/>
        <v>Beginner</v>
      </c>
    </row>
    <row r="589" spans="1:15" x14ac:dyDescent="0.3">
      <c r="A589" t="s">
        <v>4484</v>
      </c>
      <c r="B589" t="s">
        <v>4485</v>
      </c>
      <c r="C589" t="s">
        <v>351</v>
      </c>
      <c r="D589" t="s">
        <v>4486</v>
      </c>
      <c r="E589" t="s">
        <v>4487</v>
      </c>
      <c r="F589" t="s">
        <v>4488</v>
      </c>
      <c r="G589" t="s">
        <v>4489</v>
      </c>
      <c r="H589" t="s">
        <v>4490</v>
      </c>
      <c r="I589">
        <f t="shared" ca="1" si="36"/>
        <v>59</v>
      </c>
      <c r="J589" t="str">
        <f t="shared" ca="1" si="37"/>
        <v>50-59</v>
      </c>
      <c r="K589">
        <v>71841</v>
      </c>
      <c r="L589" t="str">
        <f>IF(Workforce[[#This Row],[Salary]]&lt;50000,"30k-49k",IF(Workforce[[#This Row],[Salary]]&lt;70000,"50k-69k",IF(Workforce[[#This Row],[Salary]]&lt;90000,"70k-89k","90k+")))</f>
        <v>70k-89k</v>
      </c>
      <c r="M589" t="s">
        <v>4491</v>
      </c>
      <c r="N589">
        <f t="shared" ca="1" si="38"/>
        <v>8</v>
      </c>
      <c r="O589" t="str">
        <f t="shared" ca="1" si="39"/>
        <v>Senior level</v>
      </c>
    </row>
    <row r="590" spans="1:15" x14ac:dyDescent="0.3">
      <c r="A590" t="s">
        <v>4492</v>
      </c>
      <c r="B590" t="s">
        <v>4493</v>
      </c>
      <c r="C590" t="s">
        <v>257</v>
      </c>
      <c r="D590" t="s">
        <v>4494</v>
      </c>
      <c r="E590" t="s">
        <v>4495</v>
      </c>
      <c r="F590" t="s">
        <v>2901</v>
      </c>
      <c r="G590" t="s">
        <v>4496</v>
      </c>
      <c r="H590" t="s">
        <v>4497</v>
      </c>
      <c r="I590">
        <f t="shared" ca="1" si="36"/>
        <v>25</v>
      </c>
      <c r="J590" t="str">
        <f t="shared" ca="1" si="37"/>
        <v>18-29</v>
      </c>
      <c r="K590">
        <v>78516.72</v>
      </c>
      <c r="L590" t="str">
        <f>IF(Workforce[[#This Row],[Salary]]&lt;50000,"30k-49k",IF(Workforce[[#This Row],[Salary]]&lt;70000,"50k-69k",IF(Workforce[[#This Row],[Salary]]&lt;90000,"70k-89k","90k+")))</f>
        <v>70k-89k</v>
      </c>
      <c r="M590" t="s">
        <v>3706</v>
      </c>
      <c r="N590">
        <f t="shared" ca="1" si="38"/>
        <v>8</v>
      </c>
      <c r="O590" t="str">
        <f t="shared" ca="1" si="39"/>
        <v>Senior level</v>
      </c>
    </row>
    <row r="591" spans="1:15" x14ac:dyDescent="0.3">
      <c r="A591" t="s">
        <v>4498</v>
      </c>
      <c r="B591" t="s">
        <v>4499</v>
      </c>
      <c r="C591" t="s">
        <v>482</v>
      </c>
      <c r="D591" t="s">
        <v>4500</v>
      </c>
      <c r="E591" t="s">
        <v>4501</v>
      </c>
      <c r="F591" t="s">
        <v>4502</v>
      </c>
      <c r="G591" t="s">
        <v>4503</v>
      </c>
      <c r="H591" t="s">
        <v>4504</v>
      </c>
      <c r="I591">
        <f t="shared" ca="1" si="36"/>
        <v>26</v>
      </c>
      <c r="J591" t="str">
        <f t="shared" ca="1" si="37"/>
        <v>18-29</v>
      </c>
      <c r="K591">
        <v>50056.53</v>
      </c>
      <c r="L591" t="str">
        <f>IF(Workforce[[#This Row],[Salary]]&lt;50000,"30k-49k",IF(Workforce[[#This Row],[Salary]]&lt;70000,"50k-69k",IF(Workforce[[#This Row],[Salary]]&lt;90000,"70k-89k","90k+")))</f>
        <v>50k-69k</v>
      </c>
      <c r="M591" t="s">
        <v>4505</v>
      </c>
      <c r="N591">
        <f t="shared" ca="1" si="38"/>
        <v>4</v>
      </c>
      <c r="O591" t="str">
        <f t="shared" ca="1" si="39"/>
        <v>Intermediate level</v>
      </c>
    </row>
    <row r="592" spans="1:15" x14ac:dyDescent="0.3">
      <c r="A592" t="s">
        <v>4506</v>
      </c>
      <c r="B592" t="s">
        <v>4507</v>
      </c>
      <c r="C592" t="s">
        <v>97</v>
      </c>
      <c r="D592" t="s">
        <v>4508</v>
      </c>
      <c r="E592" t="s">
        <v>4509</v>
      </c>
      <c r="F592" t="s">
        <v>1704</v>
      </c>
      <c r="G592" t="s">
        <v>4510</v>
      </c>
      <c r="H592" t="s">
        <v>4511</v>
      </c>
      <c r="I592">
        <f t="shared" ca="1" si="36"/>
        <v>46</v>
      </c>
      <c r="J592" t="str">
        <f t="shared" ca="1" si="37"/>
        <v>40-49</v>
      </c>
      <c r="K592">
        <v>43612.84</v>
      </c>
      <c r="L592" t="str">
        <f>IF(Workforce[[#This Row],[Salary]]&lt;50000,"30k-49k",IF(Workforce[[#This Row],[Salary]]&lt;70000,"50k-69k",IF(Workforce[[#This Row],[Salary]]&lt;90000,"70k-89k","90k+")))</f>
        <v>30k-49k</v>
      </c>
      <c r="M592" t="s">
        <v>4512</v>
      </c>
      <c r="N592">
        <f t="shared" ca="1" si="38"/>
        <v>10</v>
      </c>
      <c r="O592" t="str">
        <f t="shared" ca="1" si="39"/>
        <v>Senior level</v>
      </c>
    </row>
    <row r="593" spans="1:15" x14ac:dyDescent="0.3">
      <c r="A593" t="s">
        <v>4513</v>
      </c>
      <c r="B593" t="s">
        <v>4514</v>
      </c>
      <c r="C593" t="s">
        <v>604</v>
      </c>
      <c r="D593" t="s">
        <v>4515</v>
      </c>
      <c r="E593" t="s">
        <v>4516</v>
      </c>
      <c r="F593" t="s">
        <v>4517</v>
      </c>
      <c r="G593" t="s">
        <v>4518</v>
      </c>
      <c r="H593" t="s">
        <v>4519</v>
      </c>
      <c r="I593">
        <f t="shared" ca="1" si="36"/>
        <v>48</v>
      </c>
      <c r="J593" t="str">
        <f t="shared" ca="1" si="37"/>
        <v>40-49</v>
      </c>
      <c r="K593">
        <v>50596.959999999999</v>
      </c>
      <c r="L593" t="str">
        <f>IF(Workforce[[#This Row],[Salary]]&lt;50000,"30k-49k",IF(Workforce[[#This Row],[Salary]]&lt;70000,"50k-69k",IF(Workforce[[#This Row],[Salary]]&lt;90000,"70k-89k","90k+")))</f>
        <v>50k-69k</v>
      </c>
      <c r="M593" t="s">
        <v>4520</v>
      </c>
      <c r="N593">
        <f t="shared" ca="1" si="38"/>
        <v>1</v>
      </c>
      <c r="O593" t="str">
        <f t="shared" ca="1" si="39"/>
        <v>Beginner</v>
      </c>
    </row>
    <row r="594" spans="1:15" x14ac:dyDescent="0.3">
      <c r="A594" t="s">
        <v>3203</v>
      </c>
      <c r="B594" t="s">
        <v>4521</v>
      </c>
      <c r="C594" t="s">
        <v>222</v>
      </c>
      <c r="D594" t="s">
        <v>4522</v>
      </c>
      <c r="E594" t="s">
        <v>4523</v>
      </c>
      <c r="F594" t="s">
        <v>1257</v>
      </c>
      <c r="G594" t="s">
        <v>4524</v>
      </c>
      <c r="H594" t="s">
        <v>4525</v>
      </c>
      <c r="I594">
        <f t="shared" ca="1" si="36"/>
        <v>23</v>
      </c>
      <c r="J594" t="str">
        <f t="shared" ca="1" si="37"/>
        <v>18-29</v>
      </c>
      <c r="K594">
        <v>99183.75</v>
      </c>
      <c r="L594" t="str">
        <f>IF(Workforce[[#This Row],[Salary]]&lt;50000,"30k-49k",IF(Workforce[[#This Row],[Salary]]&lt;70000,"50k-69k",IF(Workforce[[#This Row],[Salary]]&lt;90000,"70k-89k","90k+")))</f>
        <v>90k+</v>
      </c>
      <c r="M594" t="s">
        <v>4526</v>
      </c>
      <c r="N594">
        <f t="shared" ca="1" si="38"/>
        <v>4</v>
      </c>
      <c r="O594" t="str">
        <f t="shared" ca="1" si="39"/>
        <v>Intermediate level</v>
      </c>
    </row>
    <row r="595" spans="1:15" x14ac:dyDescent="0.3">
      <c r="A595" t="s">
        <v>4527</v>
      </c>
      <c r="B595" t="s">
        <v>4528</v>
      </c>
      <c r="C595" t="s">
        <v>142</v>
      </c>
      <c r="D595" t="s">
        <v>4529</v>
      </c>
      <c r="E595" t="s">
        <v>4530</v>
      </c>
      <c r="F595" t="s">
        <v>4045</v>
      </c>
      <c r="G595" t="s">
        <v>4531</v>
      </c>
      <c r="H595" t="s">
        <v>4532</v>
      </c>
      <c r="I595">
        <f t="shared" ca="1" si="36"/>
        <v>30</v>
      </c>
      <c r="J595" t="str">
        <f t="shared" ca="1" si="37"/>
        <v>30-39</v>
      </c>
      <c r="K595">
        <v>110314.37</v>
      </c>
      <c r="L595" t="str">
        <f>IF(Workforce[[#This Row],[Salary]]&lt;50000,"30k-49k",IF(Workforce[[#This Row],[Salary]]&lt;70000,"50k-69k",IF(Workforce[[#This Row],[Salary]]&lt;90000,"70k-89k","90k+")))</f>
        <v>90k+</v>
      </c>
      <c r="M595" t="s">
        <v>4533</v>
      </c>
      <c r="N595">
        <f t="shared" ca="1" si="38"/>
        <v>1</v>
      </c>
      <c r="O595" t="str">
        <f t="shared" ca="1" si="39"/>
        <v>Beginner</v>
      </c>
    </row>
    <row r="596" spans="1:15" x14ac:dyDescent="0.3">
      <c r="A596" t="s">
        <v>4534</v>
      </c>
      <c r="B596" t="s">
        <v>4535</v>
      </c>
      <c r="C596" t="s">
        <v>539</v>
      </c>
      <c r="D596" t="s">
        <v>4536</v>
      </c>
      <c r="E596" t="s">
        <v>4537</v>
      </c>
      <c r="F596" t="s">
        <v>4538</v>
      </c>
      <c r="G596" t="s">
        <v>4539</v>
      </c>
      <c r="H596" t="s">
        <v>4540</v>
      </c>
      <c r="I596">
        <f t="shared" ca="1" si="36"/>
        <v>31</v>
      </c>
      <c r="J596" t="str">
        <f t="shared" ca="1" si="37"/>
        <v>30-39</v>
      </c>
      <c r="K596">
        <v>83304.960000000006</v>
      </c>
      <c r="L596" t="str">
        <f>IF(Workforce[[#This Row],[Salary]]&lt;50000,"30k-49k",IF(Workforce[[#This Row],[Salary]]&lt;70000,"50k-69k",IF(Workforce[[#This Row],[Salary]]&lt;90000,"70k-89k","90k+")))</f>
        <v>70k-89k</v>
      </c>
      <c r="M596" t="s">
        <v>4541</v>
      </c>
      <c r="N596">
        <f t="shared" ca="1" si="38"/>
        <v>8</v>
      </c>
      <c r="O596" t="str">
        <f t="shared" ca="1" si="39"/>
        <v>Senior level</v>
      </c>
    </row>
    <row r="597" spans="1:15" x14ac:dyDescent="0.3">
      <c r="A597" t="s">
        <v>4542</v>
      </c>
      <c r="B597" t="s">
        <v>4543</v>
      </c>
      <c r="C597" t="s">
        <v>142</v>
      </c>
      <c r="D597" t="s">
        <v>4544</v>
      </c>
      <c r="E597" t="s">
        <v>4545</v>
      </c>
      <c r="F597" t="s">
        <v>4546</v>
      </c>
      <c r="G597" t="s">
        <v>4547</v>
      </c>
      <c r="H597" t="s">
        <v>4548</v>
      </c>
      <c r="I597">
        <f t="shared" ca="1" si="36"/>
        <v>30</v>
      </c>
      <c r="J597" t="str">
        <f t="shared" ca="1" si="37"/>
        <v>30-39</v>
      </c>
      <c r="K597">
        <v>55101.73</v>
      </c>
      <c r="L597" t="str">
        <f>IF(Workforce[[#This Row],[Salary]]&lt;50000,"30k-49k",IF(Workforce[[#This Row],[Salary]]&lt;70000,"50k-69k",IF(Workforce[[#This Row],[Salary]]&lt;90000,"70k-89k","90k+")))</f>
        <v>50k-69k</v>
      </c>
      <c r="M597" t="s">
        <v>4549</v>
      </c>
      <c r="N597">
        <f t="shared" ca="1" si="38"/>
        <v>9</v>
      </c>
      <c r="O597" t="str">
        <f t="shared" ca="1" si="39"/>
        <v>Senior level</v>
      </c>
    </row>
    <row r="598" spans="1:15" x14ac:dyDescent="0.3">
      <c r="A598" t="s">
        <v>4550</v>
      </c>
      <c r="B598" t="s">
        <v>4551</v>
      </c>
      <c r="C598" t="s">
        <v>580</v>
      </c>
      <c r="D598" t="s">
        <v>4552</v>
      </c>
      <c r="E598" t="s">
        <v>4553</v>
      </c>
      <c r="F598" t="s">
        <v>4554</v>
      </c>
      <c r="G598" t="s">
        <v>4555</v>
      </c>
      <c r="H598" t="s">
        <v>4556</v>
      </c>
      <c r="I598">
        <f t="shared" ca="1" si="36"/>
        <v>50</v>
      </c>
      <c r="J598" t="str">
        <f t="shared" ca="1" si="37"/>
        <v>50-59</v>
      </c>
      <c r="K598">
        <v>77583.070000000007</v>
      </c>
      <c r="L598" t="str">
        <f>IF(Workforce[[#This Row],[Salary]]&lt;50000,"30k-49k",IF(Workforce[[#This Row],[Salary]]&lt;70000,"50k-69k",IF(Workforce[[#This Row],[Salary]]&lt;90000,"70k-89k","90k+")))</f>
        <v>70k-89k</v>
      </c>
      <c r="M598" t="s">
        <v>4557</v>
      </c>
      <c r="N598">
        <f t="shared" ca="1" si="38"/>
        <v>8</v>
      </c>
      <c r="O598" t="str">
        <f t="shared" ca="1" si="39"/>
        <v>Senior level</v>
      </c>
    </row>
    <row r="599" spans="1:15" x14ac:dyDescent="0.3">
      <c r="A599" t="s">
        <v>4558</v>
      </c>
      <c r="B599" t="s">
        <v>4559</v>
      </c>
      <c r="C599" t="s">
        <v>653</v>
      </c>
      <c r="D599" t="s">
        <v>4560</v>
      </c>
      <c r="E599" t="s">
        <v>4561</v>
      </c>
      <c r="F599" t="s">
        <v>4286</v>
      </c>
      <c r="G599" t="s">
        <v>4562</v>
      </c>
      <c r="H599" t="s">
        <v>4563</v>
      </c>
      <c r="I599">
        <f t="shared" ca="1" si="36"/>
        <v>38</v>
      </c>
      <c r="J599" t="str">
        <f t="shared" ca="1" si="37"/>
        <v>30-39</v>
      </c>
      <c r="K599">
        <v>67763.490000000005</v>
      </c>
      <c r="L599" t="str">
        <f>IF(Workforce[[#This Row],[Salary]]&lt;50000,"30k-49k",IF(Workforce[[#This Row],[Salary]]&lt;70000,"50k-69k",IF(Workforce[[#This Row],[Salary]]&lt;90000,"70k-89k","90k+")))</f>
        <v>50k-69k</v>
      </c>
      <c r="M599" t="s">
        <v>4564</v>
      </c>
      <c r="N599">
        <f t="shared" ca="1" si="38"/>
        <v>9</v>
      </c>
      <c r="O599" t="str">
        <f t="shared" ca="1" si="39"/>
        <v>Senior level</v>
      </c>
    </row>
    <row r="600" spans="1:15" x14ac:dyDescent="0.3">
      <c r="A600" t="s">
        <v>4565</v>
      </c>
      <c r="B600" t="s">
        <v>4566</v>
      </c>
      <c r="C600" t="s">
        <v>580</v>
      </c>
      <c r="D600" t="s">
        <v>4567</v>
      </c>
      <c r="E600" t="s">
        <v>4568</v>
      </c>
      <c r="F600" t="s">
        <v>517</v>
      </c>
      <c r="G600" t="s">
        <v>4569</v>
      </c>
      <c r="H600" t="s">
        <v>4570</v>
      </c>
      <c r="I600">
        <f t="shared" ca="1" si="36"/>
        <v>37</v>
      </c>
      <c r="J600" t="str">
        <f t="shared" ca="1" si="37"/>
        <v>30-39</v>
      </c>
      <c r="K600">
        <v>68510.03</v>
      </c>
      <c r="L600" t="str">
        <f>IF(Workforce[[#This Row],[Salary]]&lt;50000,"30k-49k",IF(Workforce[[#This Row],[Salary]]&lt;70000,"50k-69k",IF(Workforce[[#This Row],[Salary]]&lt;90000,"70k-89k","90k+")))</f>
        <v>50k-69k</v>
      </c>
      <c r="M600" t="s">
        <v>4571</v>
      </c>
      <c r="N600">
        <f t="shared" ca="1" si="38"/>
        <v>10</v>
      </c>
      <c r="O600" t="str">
        <f t="shared" ca="1" si="39"/>
        <v>Senior level</v>
      </c>
    </row>
    <row r="601" spans="1:15" x14ac:dyDescent="0.3">
      <c r="A601" t="s">
        <v>4572</v>
      </c>
      <c r="B601" t="s">
        <v>4573</v>
      </c>
      <c r="C601" t="s">
        <v>539</v>
      </c>
      <c r="D601" t="s">
        <v>4574</v>
      </c>
      <c r="E601" t="s">
        <v>4575</v>
      </c>
      <c r="F601" t="s">
        <v>476</v>
      </c>
      <c r="G601" t="s">
        <v>4576</v>
      </c>
      <c r="H601" t="s">
        <v>4577</v>
      </c>
      <c r="I601">
        <f t="shared" ca="1" si="36"/>
        <v>61</v>
      </c>
      <c r="J601" t="str">
        <f t="shared" ca="1" si="37"/>
        <v>60+</v>
      </c>
      <c r="K601">
        <v>96827.77</v>
      </c>
      <c r="L601" t="str">
        <f>IF(Workforce[[#This Row],[Salary]]&lt;50000,"30k-49k",IF(Workforce[[#This Row],[Salary]]&lt;70000,"50k-69k",IF(Workforce[[#This Row],[Salary]]&lt;90000,"70k-89k","90k+")))</f>
        <v>90k+</v>
      </c>
      <c r="M601" t="s">
        <v>4578</v>
      </c>
      <c r="N601">
        <f t="shared" ca="1" si="38"/>
        <v>4</v>
      </c>
      <c r="O601" t="str">
        <f t="shared" ca="1" si="39"/>
        <v>Intermediate level</v>
      </c>
    </row>
    <row r="602" spans="1:15" x14ac:dyDescent="0.3">
      <c r="A602" t="s">
        <v>4579</v>
      </c>
      <c r="B602" t="s">
        <v>4580</v>
      </c>
      <c r="C602" t="s">
        <v>351</v>
      </c>
      <c r="D602" t="s">
        <v>4581</v>
      </c>
      <c r="E602" t="s">
        <v>4582</v>
      </c>
      <c r="F602" t="s">
        <v>2482</v>
      </c>
      <c r="G602" t="s">
        <v>4583</v>
      </c>
      <c r="H602" t="s">
        <v>4584</v>
      </c>
      <c r="I602">
        <f t="shared" ca="1" si="36"/>
        <v>47</v>
      </c>
      <c r="J602" t="str">
        <f t="shared" ca="1" si="37"/>
        <v>40-49</v>
      </c>
      <c r="K602">
        <v>49637</v>
      </c>
      <c r="L602" t="str">
        <f>IF(Workforce[[#This Row],[Salary]]&lt;50000,"30k-49k",IF(Workforce[[#This Row],[Salary]]&lt;70000,"50k-69k",IF(Workforce[[#This Row],[Salary]]&lt;90000,"70k-89k","90k+")))</f>
        <v>30k-49k</v>
      </c>
      <c r="M602" t="s">
        <v>4585</v>
      </c>
      <c r="N602">
        <f t="shared" ca="1" si="38"/>
        <v>2</v>
      </c>
      <c r="O602" t="str">
        <f t="shared" ca="1" si="39"/>
        <v>Beginner</v>
      </c>
    </row>
    <row r="603" spans="1:15" x14ac:dyDescent="0.3">
      <c r="A603" t="s">
        <v>4586</v>
      </c>
      <c r="B603" t="s">
        <v>4587</v>
      </c>
      <c r="C603" t="s">
        <v>196</v>
      </c>
      <c r="D603" t="s">
        <v>4588</v>
      </c>
      <c r="E603" t="s">
        <v>4589</v>
      </c>
      <c r="F603" t="s">
        <v>2297</v>
      </c>
      <c r="G603" t="s">
        <v>4590</v>
      </c>
      <c r="H603" t="s">
        <v>4591</v>
      </c>
      <c r="I603">
        <f t="shared" ca="1" si="36"/>
        <v>60</v>
      </c>
      <c r="J603" t="str">
        <f t="shared" ca="1" si="37"/>
        <v>60+</v>
      </c>
      <c r="K603">
        <v>30027.02</v>
      </c>
      <c r="L603" t="str">
        <f>IF(Workforce[[#This Row],[Salary]]&lt;50000,"30k-49k",IF(Workforce[[#This Row],[Salary]]&lt;70000,"50k-69k",IF(Workforce[[#This Row],[Salary]]&lt;90000,"70k-89k","90k+")))</f>
        <v>30k-49k</v>
      </c>
      <c r="M603" t="s">
        <v>4592</v>
      </c>
      <c r="N603">
        <f t="shared" ca="1" si="38"/>
        <v>9</v>
      </c>
      <c r="O603" t="str">
        <f t="shared" ca="1" si="39"/>
        <v>Senior level</v>
      </c>
    </row>
    <row r="604" spans="1:15" x14ac:dyDescent="0.3">
      <c r="A604" t="s">
        <v>4593</v>
      </c>
      <c r="B604" t="s">
        <v>4594</v>
      </c>
      <c r="C604" t="s">
        <v>1159</v>
      </c>
      <c r="D604" t="s">
        <v>4595</v>
      </c>
      <c r="E604" t="s">
        <v>4596</v>
      </c>
      <c r="F604" t="s">
        <v>287</v>
      </c>
      <c r="G604" t="s">
        <v>4597</v>
      </c>
      <c r="H604" t="s">
        <v>4598</v>
      </c>
      <c r="I604">
        <f t="shared" ca="1" si="36"/>
        <v>57</v>
      </c>
      <c r="J604" t="str">
        <f t="shared" ca="1" si="37"/>
        <v>50-59</v>
      </c>
      <c r="K604">
        <v>71761.119999999995</v>
      </c>
      <c r="L604" t="str">
        <f>IF(Workforce[[#This Row],[Salary]]&lt;50000,"30k-49k",IF(Workforce[[#This Row],[Salary]]&lt;70000,"50k-69k",IF(Workforce[[#This Row],[Salary]]&lt;90000,"70k-89k","90k+")))</f>
        <v>70k-89k</v>
      </c>
      <c r="M604" t="s">
        <v>4599</v>
      </c>
      <c r="N604">
        <f t="shared" ca="1" si="38"/>
        <v>10</v>
      </c>
      <c r="O604" t="str">
        <f t="shared" ca="1" si="39"/>
        <v>Senior level</v>
      </c>
    </row>
    <row r="605" spans="1:15" x14ac:dyDescent="0.3">
      <c r="A605" t="s">
        <v>4600</v>
      </c>
      <c r="B605" t="s">
        <v>4601</v>
      </c>
      <c r="C605" t="s">
        <v>604</v>
      </c>
      <c r="D605" t="s">
        <v>4602</v>
      </c>
      <c r="E605" t="s">
        <v>4603</v>
      </c>
      <c r="F605" t="s">
        <v>823</v>
      </c>
      <c r="G605" t="s">
        <v>4604</v>
      </c>
      <c r="H605" t="s">
        <v>4605</v>
      </c>
      <c r="I605">
        <f t="shared" ca="1" si="36"/>
        <v>66</v>
      </c>
      <c r="J605" t="str">
        <f t="shared" ca="1" si="37"/>
        <v>60+</v>
      </c>
      <c r="K605">
        <v>106858.41</v>
      </c>
      <c r="L605" t="str">
        <f>IF(Workforce[[#This Row],[Salary]]&lt;50000,"30k-49k",IF(Workforce[[#This Row],[Salary]]&lt;70000,"50k-69k",IF(Workforce[[#This Row],[Salary]]&lt;90000,"70k-89k","90k+")))</f>
        <v>90k+</v>
      </c>
      <c r="M605" t="s">
        <v>4606</v>
      </c>
      <c r="N605">
        <f t="shared" ca="1" si="38"/>
        <v>8</v>
      </c>
      <c r="O605" t="str">
        <f t="shared" ca="1" si="39"/>
        <v>Senior level</v>
      </c>
    </row>
    <row r="606" spans="1:15" x14ac:dyDescent="0.3">
      <c r="A606" t="s">
        <v>4607</v>
      </c>
      <c r="B606" t="s">
        <v>4608</v>
      </c>
      <c r="C606" t="s">
        <v>106</v>
      </c>
      <c r="D606" t="s">
        <v>4609</v>
      </c>
      <c r="E606" t="s">
        <v>4610</v>
      </c>
      <c r="F606" t="s">
        <v>2872</v>
      </c>
      <c r="G606" t="s">
        <v>4611</v>
      </c>
      <c r="H606" t="s">
        <v>4612</v>
      </c>
      <c r="I606">
        <f t="shared" ca="1" si="36"/>
        <v>43</v>
      </c>
      <c r="J606" t="str">
        <f t="shared" ca="1" si="37"/>
        <v>40-49</v>
      </c>
      <c r="K606">
        <v>61520.72</v>
      </c>
      <c r="L606" t="str">
        <f>IF(Workforce[[#This Row],[Salary]]&lt;50000,"30k-49k",IF(Workforce[[#This Row],[Salary]]&lt;70000,"50k-69k",IF(Workforce[[#This Row],[Salary]]&lt;90000,"70k-89k","90k+")))</f>
        <v>50k-69k</v>
      </c>
      <c r="M606" t="s">
        <v>4613</v>
      </c>
      <c r="N606">
        <f t="shared" ca="1" si="38"/>
        <v>1</v>
      </c>
      <c r="O606" t="str">
        <f t="shared" ca="1" si="39"/>
        <v>Beginner</v>
      </c>
    </row>
    <row r="607" spans="1:15" x14ac:dyDescent="0.3">
      <c r="A607" t="s">
        <v>4614</v>
      </c>
      <c r="B607" t="s">
        <v>4615</v>
      </c>
      <c r="C607" t="s">
        <v>160</v>
      </c>
      <c r="D607" t="s">
        <v>4616</v>
      </c>
      <c r="E607" t="s">
        <v>4617</v>
      </c>
      <c r="F607" t="s">
        <v>4618</v>
      </c>
      <c r="G607" t="s">
        <v>4619</v>
      </c>
      <c r="H607" t="s">
        <v>4620</v>
      </c>
      <c r="I607">
        <f t="shared" ca="1" si="36"/>
        <v>33</v>
      </c>
      <c r="J607" t="str">
        <f t="shared" ca="1" si="37"/>
        <v>30-39</v>
      </c>
      <c r="K607">
        <v>42670.55</v>
      </c>
      <c r="L607" t="str">
        <f>IF(Workforce[[#This Row],[Salary]]&lt;50000,"30k-49k",IF(Workforce[[#This Row],[Salary]]&lt;70000,"50k-69k",IF(Workforce[[#This Row],[Salary]]&lt;90000,"70k-89k","90k+")))</f>
        <v>30k-49k</v>
      </c>
      <c r="M607" t="s">
        <v>389</v>
      </c>
      <c r="N607">
        <f t="shared" ca="1" si="38"/>
        <v>9</v>
      </c>
      <c r="O607" t="str">
        <f t="shared" ca="1" si="39"/>
        <v>Senior level</v>
      </c>
    </row>
    <row r="608" spans="1:15" x14ac:dyDescent="0.3">
      <c r="A608" t="s">
        <v>4621</v>
      </c>
      <c r="B608" t="s">
        <v>4622</v>
      </c>
      <c r="C608" t="s">
        <v>317</v>
      </c>
      <c r="D608" t="s">
        <v>4623</v>
      </c>
      <c r="E608" t="s">
        <v>4624</v>
      </c>
      <c r="F608" t="s">
        <v>4625</v>
      </c>
      <c r="G608" t="s">
        <v>4626</v>
      </c>
      <c r="H608" t="s">
        <v>4627</v>
      </c>
      <c r="I608">
        <f t="shared" ca="1" si="36"/>
        <v>31</v>
      </c>
      <c r="J608" t="str">
        <f t="shared" ca="1" si="37"/>
        <v>30-39</v>
      </c>
      <c r="K608">
        <v>108503.97</v>
      </c>
      <c r="L608" t="str">
        <f>IF(Workforce[[#This Row],[Salary]]&lt;50000,"30k-49k",IF(Workforce[[#This Row],[Salary]]&lt;70000,"50k-69k",IF(Workforce[[#This Row],[Salary]]&lt;90000,"70k-89k","90k+")))</f>
        <v>90k+</v>
      </c>
      <c r="M608" t="s">
        <v>4628</v>
      </c>
      <c r="N608">
        <f t="shared" ca="1" si="38"/>
        <v>5</v>
      </c>
      <c r="O608" t="str">
        <f t="shared" ca="1" si="39"/>
        <v>Intermediate level</v>
      </c>
    </row>
    <row r="609" spans="1:15" x14ac:dyDescent="0.3">
      <c r="A609" t="s">
        <v>4629</v>
      </c>
      <c r="B609" t="s">
        <v>4630</v>
      </c>
      <c r="C609" t="s">
        <v>844</v>
      </c>
      <c r="D609" t="s">
        <v>4631</v>
      </c>
      <c r="E609" t="s">
        <v>4632</v>
      </c>
      <c r="F609" t="s">
        <v>1442</v>
      </c>
      <c r="G609" t="s">
        <v>4633</v>
      </c>
      <c r="H609" t="s">
        <v>4634</v>
      </c>
      <c r="I609">
        <f t="shared" ca="1" si="36"/>
        <v>54</v>
      </c>
      <c r="J609" t="str">
        <f t="shared" ca="1" si="37"/>
        <v>50-59</v>
      </c>
      <c r="K609">
        <v>54436.07</v>
      </c>
      <c r="L609" t="str">
        <f>IF(Workforce[[#This Row],[Salary]]&lt;50000,"30k-49k",IF(Workforce[[#This Row],[Salary]]&lt;70000,"50k-69k",IF(Workforce[[#This Row],[Salary]]&lt;90000,"70k-89k","90k+")))</f>
        <v>50k-69k</v>
      </c>
      <c r="M609" t="s">
        <v>4635</v>
      </c>
      <c r="N609">
        <f t="shared" ca="1" si="38"/>
        <v>6</v>
      </c>
      <c r="O609" t="str">
        <f t="shared" ca="1" si="39"/>
        <v>Intermediate level</v>
      </c>
    </row>
    <row r="610" spans="1:15" x14ac:dyDescent="0.3">
      <c r="A610" t="s">
        <v>4636</v>
      </c>
      <c r="B610" t="s">
        <v>4637</v>
      </c>
      <c r="C610" t="s">
        <v>44</v>
      </c>
      <c r="D610" t="s">
        <v>4638</v>
      </c>
      <c r="E610" t="s">
        <v>4639</v>
      </c>
      <c r="F610" t="s">
        <v>4198</v>
      </c>
      <c r="G610" t="s">
        <v>4640</v>
      </c>
      <c r="H610" t="s">
        <v>4641</v>
      </c>
      <c r="I610">
        <f t="shared" ca="1" si="36"/>
        <v>19</v>
      </c>
      <c r="J610" t="str">
        <f t="shared" ca="1" si="37"/>
        <v>18-29</v>
      </c>
      <c r="K610">
        <v>63690.02</v>
      </c>
      <c r="L610" t="str">
        <f>IF(Workforce[[#This Row],[Salary]]&lt;50000,"30k-49k",IF(Workforce[[#This Row],[Salary]]&lt;70000,"50k-69k",IF(Workforce[[#This Row],[Salary]]&lt;90000,"70k-89k","90k+")))</f>
        <v>50k-69k</v>
      </c>
      <c r="M610" t="s">
        <v>4642</v>
      </c>
      <c r="N610">
        <f t="shared" ca="1" si="38"/>
        <v>3</v>
      </c>
      <c r="O610" t="str">
        <f t="shared" ca="1" si="39"/>
        <v>Intermediate level</v>
      </c>
    </row>
    <row r="611" spans="1:15" x14ac:dyDescent="0.3">
      <c r="A611" t="s">
        <v>4643</v>
      </c>
      <c r="B611" t="s">
        <v>4644</v>
      </c>
      <c r="C611" t="s">
        <v>457</v>
      </c>
      <c r="D611" t="s">
        <v>4645</v>
      </c>
      <c r="E611" t="s">
        <v>4646</v>
      </c>
      <c r="F611" t="s">
        <v>2080</v>
      </c>
      <c r="G611" t="s">
        <v>4647</v>
      </c>
      <c r="H611" t="s">
        <v>4648</v>
      </c>
      <c r="I611">
        <f t="shared" ca="1" si="36"/>
        <v>31</v>
      </c>
      <c r="J611" t="str">
        <f t="shared" ca="1" si="37"/>
        <v>30-39</v>
      </c>
      <c r="K611">
        <v>78962.58</v>
      </c>
      <c r="L611" t="str">
        <f>IF(Workforce[[#This Row],[Salary]]&lt;50000,"30k-49k",IF(Workforce[[#This Row],[Salary]]&lt;70000,"50k-69k",IF(Workforce[[#This Row],[Salary]]&lt;90000,"70k-89k","90k+")))</f>
        <v>70k-89k</v>
      </c>
      <c r="M611" t="s">
        <v>4649</v>
      </c>
      <c r="N611">
        <f t="shared" ca="1" si="38"/>
        <v>7</v>
      </c>
      <c r="O611" t="str">
        <f t="shared" ca="1" si="39"/>
        <v>Senior level</v>
      </c>
    </row>
    <row r="612" spans="1:15" x14ac:dyDescent="0.3">
      <c r="A612" t="s">
        <v>4650</v>
      </c>
      <c r="B612" t="s">
        <v>4651</v>
      </c>
      <c r="C612" t="s">
        <v>240</v>
      </c>
      <c r="D612" t="s">
        <v>4652</v>
      </c>
      <c r="E612" t="s">
        <v>4653</v>
      </c>
      <c r="F612" t="s">
        <v>4654</v>
      </c>
      <c r="G612" t="s">
        <v>4655</v>
      </c>
      <c r="H612" t="s">
        <v>4656</v>
      </c>
      <c r="I612">
        <f t="shared" ca="1" si="36"/>
        <v>32</v>
      </c>
      <c r="J612" t="str">
        <f t="shared" ca="1" si="37"/>
        <v>30-39</v>
      </c>
      <c r="K612">
        <v>64505.23</v>
      </c>
      <c r="L612" t="str">
        <f>IF(Workforce[[#This Row],[Salary]]&lt;50000,"30k-49k",IF(Workforce[[#This Row],[Salary]]&lt;70000,"50k-69k",IF(Workforce[[#This Row],[Salary]]&lt;90000,"70k-89k","90k+")))</f>
        <v>50k-69k</v>
      </c>
      <c r="M612" t="s">
        <v>4657</v>
      </c>
      <c r="N612">
        <f t="shared" ca="1" si="38"/>
        <v>7</v>
      </c>
      <c r="O612" t="str">
        <f t="shared" ca="1" si="39"/>
        <v>Senior level</v>
      </c>
    </row>
    <row r="613" spans="1:15" x14ac:dyDescent="0.3">
      <c r="A613" t="s">
        <v>4658</v>
      </c>
      <c r="B613" t="s">
        <v>4659</v>
      </c>
      <c r="C613" t="s">
        <v>1223</v>
      </c>
      <c r="D613" t="s">
        <v>4660</v>
      </c>
      <c r="E613" t="s">
        <v>4661</v>
      </c>
      <c r="F613" t="s">
        <v>3360</v>
      </c>
      <c r="G613" t="s">
        <v>4662</v>
      </c>
      <c r="H613" t="s">
        <v>4663</v>
      </c>
      <c r="I613">
        <f t="shared" ca="1" si="36"/>
        <v>51</v>
      </c>
      <c r="J613" t="str">
        <f t="shared" ca="1" si="37"/>
        <v>50-59</v>
      </c>
      <c r="K613">
        <v>48263.89</v>
      </c>
      <c r="L613" t="str">
        <f>IF(Workforce[[#This Row],[Salary]]&lt;50000,"30k-49k",IF(Workforce[[#This Row],[Salary]]&lt;70000,"50k-69k",IF(Workforce[[#This Row],[Salary]]&lt;90000,"70k-89k","90k+")))</f>
        <v>30k-49k</v>
      </c>
      <c r="M613" t="s">
        <v>4664</v>
      </c>
      <c r="N613">
        <f t="shared" ca="1" si="38"/>
        <v>10</v>
      </c>
      <c r="O613" t="str">
        <f t="shared" ca="1" si="39"/>
        <v>Senior level</v>
      </c>
    </row>
    <row r="614" spans="1:15" x14ac:dyDescent="0.3">
      <c r="A614" t="s">
        <v>4665</v>
      </c>
      <c r="B614" t="s">
        <v>4666</v>
      </c>
      <c r="C614" t="s">
        <v>106</v>
      </c>
      <c r="D614" t="s">
        <v>4667</v>
      </c>
      <c r="E614" t="s">
        <v>4668</v>
      </c>
      <c r="F614" t="s">
        <v>4669</v>
      </c>
      <c r="G614" t="s">
        <v>3149</v>
      </c>
      <c r="H614" t="s">
        <v>4670</v>
      </c>
      <c r="I614">
        <f t="shared" ca="1" si="36"/>
        <v>38</v>
      </c>
      <c r="J614" t="str">
        <f t="shared" ca="1" si="37"/>
        <v>30-39</v>
      </c>
      <c r="K614">
        <v>117909.29</v>
      </c>
      <c r="L614" t="str">
        <f>IF(Workforce[[#This Row],[Salary]]&lt;50000,"30k-49k",IF(Workforce[[#This Row],[Salary]]&lt;70000,"50k-69k",IF(Workforce[[#This Row],[Salary]]&lt;90000,"70k-89k","90k+")))</f>
        <v>90k+</v>
      </c>
      <c r="M614" t="s">
        <v>4671</v>
      </c>
      <c r="N614">
        <f t="shared" ca="1" si="38"/>
        <v>9</v>
      </c>
      <c r="O614" t="str">
        <f t="shared" ca="1" si="39"/>
        <v>Senior level</v>
      </c>
    </row>
    <row r="615" spans="1:15" x14ac:dyDescent="0.3">
      <c r="A615" t="s">
        <v>4672</v>
      </c>
      <c r="B615" t="s">
        <v>4673</v>
      </c>
      <c r="C615" t="s">
        <v>79</v>
      </c>
      <c r="D615" t="s">
        <v>4674</v>
      </c>
      <c r="E615" t="s">
        <v>4675</v>
      </c>
      <c r="F615" t="s">
        <v>3598</v>
      </c>
      <c r="G615" t="s">
        <v>4676</v>
      </c>
      <c r="H615" t="s">
        <v>4677</v>
      </c>
      <c r="I615">
        <f t="shared" ca="1" si="36"/>
        <v>45</v>
      </c>
      <c r="J615" t="str">
        <f t="shared" ca="1" si="37"/>
        <v>40-49</v>
      </c>
      <c r="K615">
        <v>64347.44</v>
      </c>
      <c r="L615" t="str">
        <f>IF(Workforce[[#This Row],[Salary]]&lt;50000,"30k-49k",IF(Workforce[[#This Row],[Salary]]&lt;70000,"50k-69k",IF(Workforce[[#This Row],[Salary]]&lt;90000,"70k-89k","90k+")))</f>
        <v>50k-69k</v>
      </c>
      <c r="M615" t="s">
        <v>4678</v>
      </c>
      <c r="N615">
        <f t="shared" ca="1" si="38"/>
        <v>9</v>
      </c>
      <c r="O615" t="str">
        <f t="shared" ca="1" si="39"/>
        <v>Senior level</v>
      </c>
    </row>
    <row r="616" spans="1:15" x14ac:dyDescent="0.3">
      <c r="A616" t="s">
        <v>4679</v>
      </c>
      <c r="B616" t="s">
        <v>4680</v>
      </c>
      <c r="C616" t="s">
        <v>44</v>
      </c>
      <c r="D616" t="s">
        <v>4681</v>
      </c>
      <c r="E616" t="s">
        <v>4682</v>
      </c>
      <c r="F616" t="s">
        <v>2768</v>
      </c>
      <c r="G616" t="s">
        <v>4683</v>
      </c>
      <c r="H616" t="s">
        <v>4684</v>
      </c>
      <c r="I616">
        <f t="shared" ca="1" si="36"/>
        <v>66</v>
      </c>
      <c r="J616" t="str">
        <f t="shared" ca="1" si="37"/>
        <v>60+</v>
      </c>
      <c r="K616">
        <v>105039.6</v>
      </c>
      <c r="L616" t="str">
        <f>IF(Workforce[[#This Row],[Salary]]&lt;50000,"30k-49k",IF(Workforce[[#This Row],[Salary]]&lt;70000,"50k-69k",IF(Workforce[[#This Row],[Salary]]&lt;90000,"70k-89k","90k+")))</f>
        <v>90k+</v>
      </c>
      <c r="M616" t="s">
        <v>4685</v>
      </c>
      <c r="N616">
        <f t="shared" ca="1" si="38"/>
        <v>3</v>
      </c>
      <c r="O616" t="str">
        <f t="shared" ca="1" si="39"/>
        <v>Intermediate level</v>
      </c>
    </row>
    <row r="617" spans="1:15" x14ac:dyDescent="0.3">
      <c r="A617" t="s">
        <v>4686</v>
      </c>
      <c r="B617" t="s">
        <v>4687</v>
      </c>
      <c r="C617" t="s">
        <v>604</v>
      </c>
      <c r="D617" t="s">
        <v>4688</v>
      </c>
      <c r="E617" t="s">
        <v>4689</v>
      </c>
      <c r="F617" t="s">
        <v>4344</v>
      </c>
      <c r="G617" t="s">
        <v>4690</v>
      </c>
      <c r="H617" t="s">
        <v>4691</v>
      </c>
      <c r="I617">
        <f t="shared" ca="1" si="36"/>
        <v>34</v>
      </c>
      <c r="J617" t="str">
        <f t="shared" ca="1" si="37"/>
        <v>30-39</v>
      </c>
      <c r="K617">
        <v>35996.67</v>
      </c>
      <c r="L617" t="str">
        <f>IF(Workforce[[#This Row],[Salary]]&lt;50000,"30k-49k",IF(Workforce[[#This Row],[Salary]]&lt;70000,"50k-69k",IF(Workforce[[#This Row],[Salary]]&lt;90000,"70k-89k","90k+")))</f>
        <v>30k-49k</v>
      </c>
      <c r="M617" t="s">
        <v>4692</v>
      </c>
      <c r="N617">
        <f t="shared" ca="1" si="38"/>
        <v>3</v>
      </c>
      <c r="O617" t="str">
        <f t="shared" ca="1" si="39"/>
        <v>Intermediate level</v>
      </c>
    </row>
    <row r="618" spans="1:15" x14ac:dyDescent="0.3">
      <c r="A618" t="s">
        <v>4693</v>
      </c>
      <c r="B618" t="s">
        <v>4694</v>
      </c>
      <c r="C618" t="s">
        <v>97</v>
      </c>
      <c r="D618" t="s">
        <v>4695</v>
      </c>
      <c r="E618" t="s">
        <v>4696</v>
      </c>
      <c r="F618" t="s">
        <v>4697</v>
      </c>
      <c r="G618" t="s">
        <v>4698</v>
      </c>
      <c r="H618" t="s">
        <v>4699</v>
      </c>
      <c r="I618">
        <f t="shared" ca="1" si="36"/>
        <v>33</v>
      </c>
      <c r="J618" t="str">
        <f t="shared" ca="1" si="37"/>
        <v>30-39</v>
      </c>
      <c r="K618">
        <v>94920.94</v>
      </c>
      <c r="L618" t="str">
        <f>IF(Workforce[[#This Row],[Salary]]&lt;50000,"30k-49k",IF(Workforce[[#This Row],[Salary]]&lt;70000,"50k-69k",IF(Workforce[[#This Row],[Salary]]&lt;90000,"70k-89k","90k+")))</f>
        <v>90k+</v>
      </c>
      <c r="M618" t="s">
        <v>4700</v>
      </c>
      <c r="N618">
        <f t="shared" ca="1" si="38"/>
        <v>2</v>
      </c>
      <c r="O618" t="str">
        <f t="shared" ca="1" si="39"/>
        <v>Beginner</v>
      </c>
    </row>
    <row r="619" spans="1:15" x14ac:dyDescent="0.3">
      <c r="A619" t="s">
        <v>4701</v>
      </c>
      <c r="B619" t="s">
        <v>4702</v>
      </c>
      <c r="C619" t="s">
        <v>44</v>
      </c>
      <c r="D619" t="s">
        <v>4703</v>
      </c>
      <c r="E619" t="s">
        <v>4704</v>
      </c>
      <c r="F619" t="s">
        <v>2856</v>
      </c>
      <c r="G619" t="s">
        <v>4705</v>
      </c>
      <c r="H619" t="s">
        <v>4706</v>
      </c>
      <c r="I619">
        <f t="shared" ca="1" si="36"/>
        <v>63</v>
      </c>
      <c r="J619" t="str">
        <f t="shared" ca="1" si="37"/>
        <v>60+</v>
      </c>
      <c r="K619">
        <v>42166.28</v>
      </c>
      <c r="L619" t="str">
        <f>IF(Workforce[[#This Row],[Salary]]&lt;50000,"30k-49k",IF(Workforce[[#This Row],[Salary]]&lt;70000,"50k-69k",IF(Workforce[[#This Row],[Salary]]&lt;90000,"70k-89k","90k+")))</f>
        <v>30k-49k</v>
      </c>
      <c r="M619" t="s">
        <v>4707</v>
      </c>
      <c r="N619">
        <f t="shared" ca="1" si="38"/>
        <v>8</v>
      </c>
      <c r="O619" t="str">
        <f t="shared" ca="1" si="39"/>
        <v>Senior level</v>
      </c>
    </row>
    <row r="620" spans="1:15" x14ac:dyDescent="0.3">
      <c r="A620" t="s">
        <v>4708</v>
      </c>
      <c r="B620" t="s">
        <v>4709</v>
      </c>
      <c r="C620" t="s">
        <v>1223</v>
      </c>
      <c r="D620" t="s">
        <v>4710</v>
      </c>
      <c r="E620" t="s">
        <v>4711</v>
      </c>
      <c r="F620" t="s">
        <v>1351</v>
      </c>
      <c r="G620" t="s">
        <v>4712</v>
      </c>
      <c r="H620" t="s">
        <v>4713</v>
      </c>
      <c r="I620">
        <f t="shared" ca="1" si="36"/>
        <v>46</v>
      </c>
      <c r="J620" t="str">
        <f t="shared" ca="1" si="37"/>
        <v>40-49</v>
      </c>
      <c r="K620">
        <v>92925.96</v>
      </c>
      <c r="L620" t="str">
        <f>IF(Workforce[[#This Row],[Salary]]&lt;50000,"30k-49k",IF(Workforce[[#This Row],[Salary]]&lt;70000,"50k-69k",IF(Workforce[[#This Row],[Salary]]&lt;90000,"70k-89k","90k+")))</f>
        <v>90k+</v>
      </c>
      <c r="M620" t="s">
        <v>4714</v>
      </c>
      <c r="N620">
        <f t="shared" ca="1" si="38"/>
        <v>3</v>
      </c>
      <c r="O620" t="str">
        <f t="shared" ca="1" si="39"/>
        <v>Intermediate level</v>
      </c>
    </row>
    <row r="621" spans="1:15" x14ac:dyDescent="0.3">
      <c r="A621" t="s">
        <v>4715</v>
      </c>
      <c r="B621" t="s">
        <v>4716</v>
      </c>
      <c r="C621" t="s">
        <v>1159</v>
      </c>
      <c r="D621" t="s">
        <v>4717</v>
      </c>
      <c r="E621" t="s">
        <v>4718</v>
      </c>
      <c r="F621" t="s">
        <v>2028</v>
      </c>
      <c r="G621" t="s">
        <v>4719</v>
      </c>
      <c r="H621" t="s">
        <v>4720</v>
      </c>
      <c r="I621">
        <f t="shared" ca="1" si="36"/>
        <v>39</v>
      </c>
      <c r="J621" t="str">
        <f t="shared" ca="1" si="37"/>
        <v>30-39</v>
      </c>
      <c r="K621">
        <v>53477.74</v>
      </c>
      <c r="L621" t="str">
        <f>IF(Workforce[[#This Row],[Salary]]&lt;50000,"30k-49k",IF(Workforce[[#This Row],[Salary]]&lt;70000,"50k-69k",IF(Workforce[[#This Row],[Salary]]&lt;90000,"70k-89k","90k+")))</f>
        <v>50k-69k</v>
      </c>
      <c r="M621" t="s">
        <v>4721</v>
      </c>
      <c r="N621">
        <f t="shared" ca="1" si="38"/>
        <v>2</v>
      </c>
      <c r="O621" t="str">
        <f t="shared" ca="1" si="39"/>
        <v>Beginner</v>
      </c>
    </row>
    <row r="622" spans="1:15" x14ac:dyDescent="0.3">
      <c r="A622" t="s">
        <v>4722</v>
      </c>
      <c r="B622" t="s">
        <v>4723</v>
      </c>
      <c r="C622" t="s">
        <v>44</v>
      </c>
      <c r="D622" t="s">
        <v>4724</v>
      </c>
      <c r="E622" t="s">
        <v>4725</v>
      </c>
      <c r="F622" t="s">
        <v>4726</v>
      </c>
      <c r="G622" t="s">
        <v>4727</v>
      </c>
      <c r="H622" t="s">
        <v>4728</v>
      </c>
      <c r="I622">
        <f t="shared" ca="1" si="36"/>
        <v>65</v>
      </c>
      <c r="J622" t="str">
        <f t="shared" ca="1" si="37"/>
        <v>60+</v>
      </c>
      <c r="K622">
        <v>69679.09</v>
      </c>
      <c r="L622" t="str">
        <f>IF(Workforce[[#This Row],[Salary]]&lt;50000,"30k-49k",IF(Workforce[[#This Row],[Salary]]&lt;70000,"50k-69k",IF(Workforce[[#This Row],[Salary]]&lt;90000,"70k-89k","90k+")))</f>
        <v>50k-69k</v>
      </c>
      <c r="M622" t="s">
        <v>4729</v>
      </c>
      <c r="N622">
        <f t="shared" ca="1" si="38"/>
        <v>3</v>
      </c>
      <c r="O622" t="str">
        <f t="shared" ca="1" si="39"/>
        <v>Intermediate level</v>
      </c>
    </row>
    <row r="623" spans="1:15" x14ac:dyDescent="0.3">
      <c r="A623" t="s">
        <v>4730</v>
      </c>
      <c r="B623" t="s">
        <v>4731</v>
      </c>
      <c r="C623" t="s">
        <v>266</v>
      </c>
      <c r="D623" t="s">
        <v>4732</v>
      </c>
      <c r="E623" t="s">
        <v>4733</v>
      </c>
      <c r="F623" t="s">
        <v>4734</v>
      </c>
      <c r="G623" t="s">
        <v>4735</v>
      </c>
      <c r="H623" t="s">
        <v>4736</v>
      </c>
      <c r="I623">
        <f t="shared" ca="1" si="36"/>
        <v>59</v>
      </c>
      <c r="J623" t="str">
        <f t="shared" ca="1" si="37"/>
        <v>50-59</v>
      </c>
      <c r="K623">
        <v>52051.44</v>
      </c>
      <c r="L623" t="str">
        <f>IF(Workforce[[#This Row],[Salary]]&lt;50000,"30k-49k",IF(Workforce[[#This Row],[Salary]]&lt;70000,"50k-69k",IF(Workforce[[#This Row],[Salary]]&lt;90000,"70k-89k","90k+")))</f>
        <v>50k-69k</v>
      </c>
      <c r="M623" t="s">
        <v>4737</v>
      </c>
      <c r="N623">
        <f t="shared" ca="1" si="38"/>
        <v>8</v>
      </c>
      <c r="O623" t="str">
        <f t="shared" ca="1" si="39"/>
        <v>Senior level</v>
      </c>
    </row>
    <row r="624" spans="1:15" x14ac:dyDescent="0.3">
      <c r="A624" t="s">
        <v>4738</v>
      </c>
      <c r="B624" t="s">
        <v>4739</v>
      </c>
      <c r="C624" t="s">
        <v>351</v>
      </c>
      <c r="D624" t="s">
        <v>4740</v>
      </c>
      <c r="E624" t="s">
        <v>4741</v>
      </c>
      <c r="F624" t="s">
        <v>3389</v>
      </c>
      <c r="G624" t="s">
        <v>4742</v>
      </c>
      <c r="H624" t="s">
        <v>4743</v>
      </c>
      <c r="I624">
        <f t="shared" ca="1" si="36"/>
        <v>45</v>
      </c>
      <c r="J624" t="str">
        <f t="shared" ca="1" si="37"/>
        <v>40-49</v>
      </c>
      <c r="K624">
        <v>61253.72</v>
      </c>
      <c r="L624" t="str">
        <f>IF(Workforce[[#This Row],[Salary]]&lt;50000,"30k-49k",IF(Workforce[[#This Row],[Salary]]&lt;70000,"50k-69k",IF(Workforce[[#This Row],[Salary]]&lt;90000,"70k-89k","90k+")))</f>
        <v>50k-69k</v>
      </c>
      <c r="M624" t="s">
        <v>4744</v>
      </c>
      <c r="N624">
        <f t="shared" ca="1" si="38"/>
        <v>6</v>
      </c>
      <c r="O624" t="str">
        <f t="shared" ca="1" si="39"/>
        <v>Intermediate level</v>
      </c>
    </row>
    <row r="625" spans="1:15" x14ac:dyDescent="0.3">
      <c r="A625" t="s">
        <v>4745</v>
      </c>
      <c r="B625" t="s">
        <v>4746</v>
      </c>
      <c r="C625" t="s">
        <v>275</v>
      </c>
      <c r="D625" t="s">
        <v>4747</v>
      </c>
      <c r="E625" t="s">
        <v>4748</v>
      </c>
      <c r="F625" t="s">
        <v>4749</v>
      </c>
      <c r="G625" t="s">
        <v>4750</v>
      </c>
      <c r="H625" t="s">
        <v>4751</v>
      </c>
      <c r="I625">
        <f t="shared" ca="1" si="36"/>
        <v>44</v>
      </c>
      <c r="J625" t="str">
        <f t="shared" ca="1" si="37"/>
        <v>40-49</v>
      </c>
      <c r="K625">
        <v>53033.04</v>
      </c>
      <c r="L625" t="str">
        <f>IF(Workforce[[#This Row],[Salary]]&lt;50000,"30k-49k",IF(Workforce[[#This Row],[Salary]]&lt;70000,"50k-69k",IF(Workforce[[#This Row],[Salary]]&lt;90000,"70k-89k","90k+")))</f>
        <v>50k-69k</v>
      </c>
      <c r="M625" t="s">
        <v>4752</v>
      </c>
      <c r="N625">
        <f t="shared" ca="1" si="38"/>
        <v>4</v>
      </c>
      <c r="O625" t="str">
        <f t="shared" ca="1" si="39"/>
        <v>Intermediate level</v>
      </c>
    </row>
    <row r="626" spans="1:15" x14ac:dyDescent="0.3">
      <c r="A626" t="s">
        <v>4753</v>
      </c>
      <c r="B626" t="s">
        <v>4754</v>
      </c>
      <c r="C626" t="s">
        <v>17</v>
      </c>
      <c r="D626" t="s">
        <v>4755</v>
      </c>
      <c r="E626" t="s">
        <v>4756</v>
      </c>
      <c r="F626" t="s">
        <v>4757</v>
      </c>
      <c r="G626" t="s">
        <v>4758</v>
      </c>
      <c r="H626" t="s">
        <v>4759</v>
      </c>
      <c r="I626">
        <f t="shared" ca="1" si="36"/>
        <v>59</v>
      </c>
      <c r="J626" t="str">
        <f t="shared" ca="1" si="37"/>
        <v>50-59</v>
      </c>
      <c r="K626">
        <v>46123.97</v>
      </c>
      <c r="L626" t="str">
        <f>IF(Workforce[[#This Row],[Salary]]&lt;50000,"30k-49k",IF(Workforce[[#This Row],[Salary]]&lt;70000,"50k-69k",IF(Workforce[[#This Row],[Salary]]&lt;90000,"70k-89k","90k+")))</f>
        <v>30k-49k</v>
      </c>
      <c r="M626" t="s">
        <v>4760</v>
      </c>
      <c r="N626">
        <f t="shared" ca="1" si="38"/>
        <v>2</v>
      </c>
      <c r="O626" t="str">
        <f t="shared" ca="1" si="39"/>
        <v>Beginner</v>
      </c>
    </row>
    <row r="627" spans="1:15" x14ac:dyDescent="0.3">
      <c r="A627" t="s">
        <v>4761</v>
      </c>
      <c r="B627" t="s">
        <v>4762</v>
      </c>
      <c r="C627" t="s">
        <v>400</v>
      </c>
      <c r="D627" t="s">
        <v>4763</v>
      </c>
      <c r="E627" t="s">
        <v>4764</v>
      </c>
      <c r="F627" t="s">
        <v>181</v>
      </c>
      <c r="G627" t="s">
        <v>4765</v>
      </c>
      <c r="H627" t="s">
        <v>4766</v>
      </c>
      <c r="I627">
        <f t="shared" ca="1" si="36"/>
        <v>48</v>
      </c>
      <c r="J627" t="str">
        <f t="shared" ca="1" si="37"/>
        <v>40-49</v>
      </c>
      <c r="K627">
        <v>53430.31</v>
      </c>
      <c r="L627" t="str">
        <f>IF(Workforce[[#This Row],[Salary]]&lt;50000,"30k-49k",IF(Workforce[[#This Row],[Salary]]&lt;70000,"50k-69k",IF(Workforce[[#This Row],[Salary]]&lt;90000,"70k-89k","90k+")))</f>
        <v>50k-69k</v>
      </c>
      <c r="M627" t="s">
        <v>4767</v>
      </c>
      <c r="N627">
        <f t="shared" ca="1" si="38"/>
        <v>6</v>
      </c>
      <c r="O627" t="str">
        <f t="shared" ca="1" si="39"/>
        <v>Intermediate level</v>
      </c>
    </row>
    <row r="628" spans="1:15" x14ac:dyDescent="0.3">
      <c r="A628" t="s">
        <v>4768</v>
      </c>
      <c r="B628" t="s">
        <v>4769</v>
      </c>
      <c r="C628" t="s">
        <v>79</v>
      </c>
      <c r="D628" t="s">
        <v>4770</v>
      </c>
      <c r="E628" t="s">
        <v>4771</v>
      </c>
      <c r="F628" t="s">
        <v>4772</v>
      </c>
      <c r="G628" t="s">
        <v>4773</v>
      </c>
      <c r="H628" t="s">
        <v>4774</v>
      </c>
      <c r="I628">
        <f t="shared" ca="1" si="36"/>
        <v>24</v>
      </c>
      <c r="J628" t="str">
        <f t="shared" ca="1" si="37"/>
        <v>18-29</v>
      </c>
      <c r="K628">
        <v>114184.45</v>
      </c>
      <c r="L628" t="str">
        <f>IF(Workforce[[#This Row],[Salary]]&lt;50000,"30k-49k",IF(Workforce[[#This Row],[Salary]]&lt;70000,"50k-69k",IF(Workforce[[#This Row],[Salary]]&lt;90000,"70k-89k","90k+")))</f>
        <v>90k+</v>
      </c>
      <c r="M628" t="s">
        <v>4775</v>
      </c>
      <c r="N628">
        <f t="shared" ca="1" si="38"/>
        <v>10</v>
      </c>
      <c r="O628" t="str">
        <f t="shared" ca="1" si="39"/>
        <v>Senior level</v>
      </c>
    </row>
    <row r="629" spans="1:15" x14ac:dyDescent="0.3">
      <c r="A629" t="s">
        <v>4776</v>
      </c>
      <c r="B629" t="s">
        <v>4777</v>
      </c>
      <c r="C629" t="s">
        <v>17</v>
      </c>
      <c r="D629" t="s">
        <v>4778</v>
      </c>
      <c r="E629" t="s">
        <v>4779</v>
      </c>
      <c r="F629" t="s">
        <v>2051</v>
      </c>
      <c r="G629" t="s">
        <v>4780</v>
      </c>
      <c r="H629" t="s">
        <v>4781</v>
      </c>
      <c r="I629">
        <f t="shared" ca="1" si="36"/>
        <v>43</v>
      </c>
      <c r="J629" t="str">
        <f t="shared" ca="1" si="37"/>
        <v>40-49</v>
      </c>
      <c r="K629">
        <v>33478.660000000003</v>
      </c>
      <c r="L629" t="str">
        <f>IF(Workforce[[#This Row],[Salary]]&lt;50000,"30k-49k",IF(Workforce[[#This Row],[Salary]]&lt;70000,"50k-69k",IF(Workforce[[#This Row],[Salary]]&lt;90000,"70k-89k","90k+")))</f>
        <v>30k-49k</v>
      </c>
      <c r="M629" t="s">
        <v>4782</v>
      </c>
      <c r="N629">
        <f t="shared" ca="1" si="38"/>
        <v>4</v>
      </c>
      <c r="O629" t="str">
        <f t="shared" ca="1" si="39"/>
        <v>Intermediate level</v>
      </c>
    </row>
    <row r="630" spans="1:15" x14ac:dyDescent="0.3">
      <c r="A630" t="s">
        <v>4783</v>
      </c>
      <c r="B630" t="s">
        <v>4784</v>
      </c>
      <c r="C630" t="s">
        <v>44</v>
      </c>
      <c r="D630" t="s">
        <v>4785</v>
      </c>
      <c r="E630" t="s">
        <v>4786</v>
      </c>
      <c r="F630" t="s">
        <v>4787</v>
      </c>
      <c r="G630" t="s">
        <v>4788</v>
      </c>
      <c r="H630" t="s">
        <v>4789</v>
      </c>
      <c r="I630">
        <f t="shared" ca="1" si="36"/>
        <v>50</v>
      </c>
      <c r="J630" t="str">
        <f t="shared" ca="1" si="37"/>
        <v>50-59</v>
      </c>
      <c r="K630">
        <v>42905.95</v>
      </c>
      <c r="L630" t="str">
        <f>IF(Workforce[[#This Row],[Salary]]&lt;50000,"30k-49k",IF(Workforce[[#This Row],[Salary]]&lt;70000,"50k-69k",IF(Workforce[[#This Row],[Salary]]&lt;90000,"70k-89k","90k+")))</f>
        <v>30k-49k</v>
      </c>
      <c r="M630" t="s">
        <v>4790</v>
      </c>
      <c r="N630">
        <f t="shared" ca="1" si="38"/>
        <v>5</v>
      </c>
      <c r="O630" t="str">
        <f t="shared" ca="1" si="39"/>
        <v>Intermediate level</v>
      </c>
    </row>
    <row r="631" spans="1:15" x14ac:dyDescent="0.3">
      <c r="A631" t="s">
        <v>4791</v>
      </c>
      <c r="B631" t="s">
        <v>4792</v>
      </c>
      <c r="C631" t="s">
        <v>17</v>
      </c>
      <c r="D631" t="s">
        <v>4793</v>
      </c>
      <c r="E631" t="s">
        <v>4794</v>
      </c>
      <c r="F631" t="s">
        <v>3850</v>
      </c>
      <c r="G631" t="s">
        <v>4795</v>
      </c>
      <c r="H631" t="s">
        <v>4796</v>
      </c>
      <c r="I631">
        <f t="shared" ca="1" si="36"/>
        <v>52</v>
      </c>
      <c r="J631" t="str">
        <f t="shared" ca="1" si="37"/>
        <v>50-59</v>
      </c>
      <c r="K631">
        <v>84863.8</v>
      </c>
      <c r="L631" t="str">
        <f>IF(Workforce[[#This Row],[Salary]]&lt;50000,"30k-49k",IF(Workforce[[#This Row],[Salary]]&lt;70000,"50k-69k",IF(Workforce[[#This Row],[Salary]]&lt;90000,"70k-89k","90k+")))</f>
        <v>70k-89k</v>
      </c>
      <c r="M631" t="s">
        <v>4797</v>
      </c>
      <c r="N631">
        <f t="shared" ca="1" si="38"/>
        <v>7</v>
      </c>
      <c r="O631" t="str">
        <f t="shared" ca="1" si="39"/>
        <v>Senior level</v>
      </c>
    </row>
    <row r="632" spans="1:15" x14ac:dyDescent="0.3">
      <c r="A632" t="s">
        <v>4798</v>
      </c>
      <c r="B632" t="s">
        <v>4799</v>
      </c>
      <c r="C632" t="s">
        <v>653</v>
      </c>
      <c r="D632" t="s">
        <v>4800</v>
      </c>
      <c r="E632" t="s">
        <v>4801</v>
      </c>
      <c r="F632" t="s">
        <v>4802</v>
      </c>
      <c r="G632" t="s">
        <v>4803</v>
      </c>
      <c r="H632" t="s">
        <v>4242</v>
      </c>
      <c r="I632">
        <f t="shared" ca="1" si="36"/>
        <v>27</v>
      </c>
      <c r="J632" t="str">
        <f t="shared" ca="1" si="37"/>
        <v>18-29</v>
      </c>
      <c r="K632">
        <v>111839.44</v>
      </c>
      <c r="L632" t="str">
        <f>IF(Workforce[[#This Row],[Salary]]&lt;50000,"30k-49k",IF(Workforce[[#This Row],[Salary]]&lt;70000,"50k-69k",IF(Workforce[[#This Row],[Salary]]&lt;90000,"70k-89k","90k+")))</f>
        <v>90k+</v>
      </c>
      <c r="M632" t="s">
        <v>4462</v>
      </c>
      <c r="N632">
        <f t="shared" ca="1" si="38"/>
        <v>1</v>
      </c>
      <c r="O632" t="str">
        <f t="shared" ca="1" si="39"/>
        <v>Beginner</v>
      </c>
    </row>
    <row r="633" spans="1:15" x14ac:dyDescent="0.3">
      <c r="A633" t="s">
        <v>4804</v>
      </c>
      <c r="B633" t="s">
        <v>4805</v>
      </c>
      <c r="C633" t="s">
        <v>284</v>
      </c>
      <c r="D633" t="s">
        <v>4806</v>
      </c>
      <c r="E633" t="s">
        <v>4807</v>
      </c>
      <c r="F633" t="s">
        <v>1488</v>
      </c>
      <c r="G633" t="s">
        <v>4808</v>
      </c>
      <c r="H633" t="s">
        <v>4809</v>
      </c>
      <c r="I633">
        <f t="shared" ca="1" si="36"/>
        <v>53</v>
      </c>
      <c r="J633" t="str">
        <f t="shared" ca="1" si="37"/>
        <v>50-59</v>
      </c>
      <c r="K633">
        <v>67883.55</v>
      </c>
      <c r="L633" t="str">
        <f>IF(Workforce[[#This Row],[Salary]]&lt;50000,"30k-49k",IF(Workforce[[#This Row],[Salary]]&lt;70000,"50k-69k",IF(Workforce[[#This Row],[Salary]]&lt;90000,"70k-89k","90k+")))</f>
        <v>50k-69k</v>
      </c>
      <c r="M633" t="s">
        <v>3540</v>
      </c>
      <c r="N633">
        <f t="shared" ca="1" si="38"/>
        <v>9</v>
      </c>
      <c r="O633" t="str">
        <f t="shared" ca="1" si="39"/>
        <v>Senior level</v>
      </c>
    </row>
    <row r="634" spans="1:15" x14ac:dyDescent="0.3">
      <c r="A634" t="s">
        <v>4810</v>
      </c>
      <c r="B634" t="s">
        <v>4811</v>
      </c>
      <c r="C634" t="s">
        <v>284</v>
      </c>
      <c r="D634" t="s">
        <v>4812</v>
      </c>
      <c r="E634" t="s">
        <v>4813</v>
      </c>
      <c r="F634" t="s">
        <v>1289</v>
      </c>
      <c r="G634" t="s">
        <v>4814</v>
      </c>
      <c r="H634" t="s">
        <v>4815</v>
      </c>
      <c r="I634">
        <f t="shared" ca="1" si="36"/>
        <v>45</v>
      </c>
      <c r="J634" t="str">
        <f t="shared" ca="1" si="37"/>
        <v>40-49</v>
      </c>
      <c r="K634">
        <v>69036.36</v>
      </c>
      <c r="L634" t="str">
        <f>IF(Workforce[[#This Row],[Salary]]&lt;50000,"30k-49k",IF(Workforce[[#This Row],[Salary]]&lt;70000,"50k-69k",IF(Workforce[[#This Row],[Salary]]&lt;90000,"70k-89k","90k+")))</f>
        <v>50k-69k</v>
      </c>
      <c r="M634" t="s">
        <v>4816</v>
      </c>
      <c r="N634">
        <f t="shared" ca="1" si="38"/>
        <v>5</v>
      </c>
      <c r="O634" t="str">
        <f t="shared" ca="1" si="39"/>
        <v>Intermediate level</v>
      </c>
    </row>
    <row r="635" spans="1:15" x14ac:dyDescent="0.3">
      <c r="A635" t="s">
        <v>4817</v>
      </c>
      <c r="B635" t="s">
        <v>4818</v>
      </c>
      <c r="C635" t="s">
        <v>275</v>
      </c>
      <c r="D635" t="s">
        <v>4819</v>
      </c>
      <c r="E635" t="s">
        <v>4820</v>
      </c>
      <c r="F635" t="s">
        <v>4821</v>
      </c>
      <c r="G635" t="s">
        <v>4822</v>
      </c>
      <c r="H635" t="s">
        <v>4823</v>
      </c>
      <c r="I635">
        <f t="shared" ca="1" si="36"/>
        <v>27</v>
      </c>
      <c r="J635" t="str">
        <f t="shared" ca="1" si="37"/>
        <v>18-29</v>
      </c>
      <c r="K635">
        <v>78870.22</v>
      </c>
      <c r="L635" t="str">
        <f>IF(Workforce[[#This Row],[Salary]]&lt;50000,"30k-49k",IF(Workforce[[#This Row],[Salary]]&lt;70000,"50k-69k",IF(Workforce[[#This Row],[Salary]]&lt;90000,"70k-89k","90k+")))</f>
        <v>70k-89k</v>
      </c>
      <c r="M635" t="s">
        <v>4824</v>
      </c>
      <c r="N635">
        <f t="shared" ca="1" si="38"/>
        <v>2</v>
      </c>
      <c r="O635" t="str">
        <f t="shared" ca="1" si="39"/>
        <v>Beginner</v>
      </c>
    </row>
    <row r="636" spans="1:15" x14ac:dyDescent="0.3">
      <c r="A636" t="s">
        <v>4825</v>
      </c>
      <c r="B636" t="s">
        <v>4826</v>
      </c>
      <c r="C636" t="s">
        <v>222</v>
      </c>
      <c r="D636" t="s">
        <v>4827</v>
      </c>
      <c r="E636" t="s">
        <v>4828</v>
      </c>
      <c r="F636" t="s">
        <v>4697</v>
      </c>
      <c r="G636" t="s">
        <v>4829</v>
      </c>
      <c r="H636" t="s">
        <v>4830</v>
      </c>
      <c r="I636">
        <f t="shared" ca="1" si="36"/>
        <v>61</v>
      </c>
      <c r="J636" t="str">
        <f t="shared" ca="1" si="37"/>
        <v>60+</v>
      </c>
      <c r="K636">
        <v>96653.28</v>
      </c>
      <c r="L636" t="str">
        <f>IF(Workforce[[#This Row],[Salary]]&lt;50000,"30k-49k",IF(Workforce[[#This Row],[Salary]]&lt;70000,"50k-69k",IF(Workforce[[#This Row],[Salary]]&lt;90000,"70k-89k","90k+")))</f>
        <v>90k+</v>
      </c>
      <c r="M636" t="s">
        <v>4831</v>
      </c>
      <c r="N636">
        <f t="shared" ca="1" si="38"/>
        <v>7</v>
      </c>
      <c r="O636" t="str">
        <f t="shared" ca="1" si="39"/>
        <v>Senior level</v>
      </c>
    </row>
    <row r="637" spans="1:15" x14ac:dyDescent="0.3">
      <c r="A637" t="s">
        <v>4832</v>
      </c>
      <c r="B637" t="s">
        <v>4833</v>
      </c>
      <c r="C637" t="s">
        <v>26</v>
      </c>
      <c r="D637" t="s">
        <v>4834</v>
      </c>
      <c r="E637" t="s">
        <v>4835</v>
      </c>
      <c r="F637" t="s">
        <v>4836</v>
      </c>
      <c r="G637" t="s">
        <v>4837</v>
      </c>
      <c r="H637" t="s">
        <v>4838</v>
      </c>
      <c r="I637">
        <f t="shared" ca="1" si="36"/>
        <v>27</v>
      </c>
      <c r="J637" t="str">
        <f t="shared" ca="1" si="37"/>
        <v>18-29</v>
      </c>
      <c r="K637">
        <v>119795.44</v>
      </c>
      <c r="L637" t="str">
        <f>IF(Workforce[[#This Row],[Salary]]&lt;50000,"30k-49k",IF(Workforce[[#This Row],[Salary]]&lt;70000,"50k-69k",IF(Workforce[[#This Row],[Salary]]&lt;90000,"70k-89k","90k+")))</f>
        <v>90k+</v>
      </c>
      <c r="M637" t="s">
        <v>4692</v>
      </c>
      <c r="N637">
        <f t="shared" ca="1" si="38"/>
        <v>3</v>
      </c>
      <c r="O637" t="str">
        <f t="shared" ca="1" si="39"/>
        <v>Intermediate level</v>
      </c>
    </row>
    <row r="638" spans="1:15" x14ac:dyDescent="0.3">
      <c r="A638" t="s">
        <v>4839</v>
      </c>
      <c r="B638" t="s">
        <v>4840</v>
      </c>
      <c r="C638" t="s">
        <v>160</v>
      </c>
      <c r="D638" t="s">
        <v>4841</v>
      </c>
      <c r="E638" t="s">
        <v>4842</v>
      </c>
      <c r="F638" t="s">
        <v>4843</v>
      </c>
      <c r="G638" t="s">
        <v>4844</v>
      </c>
      <c r="H638" t="s">
        <v>4845</v>
      </c>
      <c r="I638">
        <f t="shared" ca="1" si="36"/>
        <v>49</v>
      </c>
      <c r="J638" t="str">
        <f t="shared" ca="1" si="37"/>
        <v>40-49</v>
      </c>
      <c r="K638">
        <v>105973.73</v>
      </c>
      <c r="L638" t="str">
        <f>IF(Workforce[[#This Row],[Salary]]&lt;50000,"30k-49k",IF(Workforce[[#This Row],[Salary]]&lt;70000,"50k-69k",IF(Workforce[[#This Row],[Salary]]&lt;90000,"70k-89k","90k+")))</f>
        <v>90k+</v>
      </c>
      <c r="M638" t="s">
        <v>4846</v>
      </c>
      <c r="N638">
        <f t="shared" ca="1" si="38"/>
        <v>7</v>
      </c>
      <c r="O638" t="str">
        <f t="shared" ca="1" si="39"/>
        <v>Senior level</v>
      </c>
    </row>
    <row r="639" spans="1:15" x14ac:dyDescent="0.3">
      <c r="A639" t="s">
        <v>4847</v>
      </c>
      <c r="B639" t="s">
        <v>4848</v>
      </c>
      <c r="C639" t="s">
        <v>580</v>
      </c>
      <c r="D639" t="s">
        <v>4849</v>
      </c>
      <c r="E639" t="s">
        <v>4850</v>
      </c>
      <c r="F639" t="s">
        <v>64</v>
      </c>
      <c r="G639" t="s">
        <v>4851</v>
      </c>
      <c r="H639" t="s">
        <v>4852</v>
      </c>
      <c r="I639">
        <f t="shared" ca="1" si="36"/>
        <v>36</v>
      </c>
      <c r="J639" t="str">
        <f t="shared" ca="1" si="37"/>
        <v>30-39</v>
      </c>
      <c r="K639">
        <v>32842.04</v>
      </c>
      <c r="L639" t="str">
        <f>IF(Workforce[[#This Row],[Salary]]&lt;50000,"30k-49k",IF(Workforce[[#This Row],[Salary]]&lt;70000,"50k-69k",IF(Workforce[[#This Row],[Salary]]&lt;90000,"70k-89k","90k+")))</f>
        <v>30k-49k</v>
      </c>
      <c r="M639" t="s">
        <v>4853</v>
      </c>
      <c r="N639">
        <f t="shared" ca="1" si="38"/>
        <v>1</v>
      </c>
      <c r="O639" t="str">
        <f t="shared" ca="1" si="39"/>
        <v>Beginner</v>
      </c>
    </row>
    <row r="640" spans="1:15" x14ac:dyDescent="0.3">
      <c r="A640" t="s">
        <v>4854</v>
      </c>
      <c r="B640" t="s">
        <v>4855</v>
      </c>
      <c r="C640" t="s">
        <v>457</v>
      </c>
      <c r="D640" t="s">
        <v>4856</v>
      </c>
      <c r="E640" t="s">
        <v>4857</v>
      </c>
      <c r="F640" t="s">
        <v>4858</v>
      </c>
      <c r="G640" t="s">
        <v>4859</v>
      </c>
      <c r="H640" t="s">
        <v>4860</v>
      </c>
      <c r="I640">
        <f t="shared" ca="1" si="36"/>
        <v>37</v>
      </c>
      <c r="J640" t="str">
        <f t="shared" ca="1" si="37"/>
        <v>30-39</v>
      </c>
      <c r="K640">
        <v>96078.05</v>
      </c>
      <c r="L640" t="str">
        <f>IF(Workforce[[#This Row],[Salary]]&lt;50000,"30k-49k",IF(Workforce[[#This Row],[Salary]]&lt;70000,"50k-69k",IF(Workforce[[#This Row],[Salary]]&lt;90000,"70k-89k","90k+")))</f>
        <v>90k+</v>
      </c>
      <c r="M640" t="s">
        <v>4861</v>
      </c>
      <c r="N640">
        <f t="shared" ca="1" si="38"/>
        <v>7</v>
      </c>
      <c r="O640" t="str">
        <f t="shared" ca="1" si="39"/>
        <v>Senior level</v>
      </c>
    </row>
    <row r="641" spans="1:15" x14ac:dyDescent="0.3">
      <c r="A641" t="s">
        <v>4862</v>
      </c>
      <c r="B641" t="s">
        <v>4863</v>
      </c>
      <c r="C641" t="s">
        <v>284</v>
      </c>
      <c r="D641" t="s">
        <v>4864</v>
      </c>
      <c r="E641" t="s">
        <v>4865</v>
      </c>
      <c r="F641" t="s">
        <v>3820</v>
      </c>
      <c r="G641" t="s">
        <v>4866</v>
      </c>
      <c r="H641" t="s">
        <v>4867</v>
      </c>
      <c r="I641">
        <f t="shared" ca="1" si="36"/>
        <v>54</v>
      </c>
      <c r="J641" t="str">
        <f t="shared" ca="1" si="37"/>
        <v>50-59</v>
      </c>
      <c r="K641">
        <v>66940.649999999994</v>
      </c>
      <c r="L641" t="str">
        <f>IF(Workforce[[#This Row],[Salary]]&lt;50000,"30k-49k",IF(Workforce[[#This Row],[Salary]]&lt;70000,"50k-69k",IF(Workforce[[#This Row],[Salary]]&lt;90000,"70k-89k","90k+")))</f>
        <v>50k-69k</v>
      </c>
      <c r="M641" t="s">
        <v>4868</v>
      </c>
      <c r="N641">
        <f t="shared" ca="1" si="38"/>
        <v>6</v>
      </c>
      <c r="O641" t="str">
        <f t="shared" ca="1" si="39"/>
        <v>Intermediate level</v>
      </c>
    </row>
    <row r="642" spans="1:15" x14ac:dyDescent="0.3">
      <c r="A642" t="s">
        <v>4869</v>
      </c>
      <c r="B642" t="s">
        <v>4870</v>
      </c>
      <c r="C642" t="s">
        <v>151</v>
      </c>
      <c r="D642" t="s">
        <v>4871</v>
      </c>
      <c r="E642" t="s">
        <v>4872</v>
      </c>
      <c r="F642" t="s">
        <v>4873</v>
      </c>
      <c r="G642" t="s">
        <v>4874</v>
      </c>
      <c r="H642" t="s">
        <v>4875</v>
      </c>
      <c r="I642">
        <f t="shared" ref="I642:I705" ca="1" si="40">DATEDIF(H642,TODAY(),"y")</f>
        <v>39</v>
      </c>
      <c r="J642" t="str">
        <f t="shared" ref="J642:J705" ca="1" si="41">IF(I642&lt;30,"18-29",IF(I642&lt;40,"30-39",IF(I642&lt;50,"40-49",IF(I642&lt;60,"50-59","60+"))))</f>
        <v>30-39</v>
      </c>
      <c r="K642">
        <v>119945.86</v>
      </c>
      <c r="L642" t="str">
        <f>IF(Workforce[[#This Row],[Salary]]&lt;50000,"30k-49k",IF(Workforce[[#This Row],[Salary]]&lt;70000,"50k-69k",IF(Workforce[[#This Row],[Salary]]&lt;90000,"70k-89k","90k+")))</f>
        <v>90k+</v>
      </c>
      <c r="M642" t="s">
        <v>4876</v>
      </c>
      <c r="N642">
        <f t="shared" ref="N642:N705" ca="1" si="42">DATEDIF(M642,TODAY(),"y")</f>
        <v>5</v>
      </c>
      <c r="O642" t="str">
        <f t="shared" ref="O642:O705" ca="1" si="43">IF(N642&lt;=2,"Beginner",IF(N642&lt;=6,"Intermediate level","Senior level"))</f>
        <v>Intermediate level</v>
      </c>
    </row>
    <row r="643" spans="1:15" x14ac:dyDescent="0.3">
      <c r="A643" t="s">
        <v>4877</v>
      </c>
      <c r="B643" t="s">
        <v>4878</v>
      </c>
      <c r="C643" t="s">
        <v>17</v>
      </c>
      <c r="D643" t="s">
        <v>4879</v>
      </c>
      <c r="E643" t="s">
        <v>4880</v>
      </c>
      <c r="F643" t="s">
        <v>1712</v>
      </c>
      <c r="G643" t="s">
        <v>4881</v>
      </c>
      <c r="H643" t="s">
        <v>4882</v>
      </c>
      <c r="I643">
        <f t="shared" ca="1" si="40"/>
        <v>41</v>
      </c>
      <c r="J643" t="str">
        <f t="shared" ca="1" si="41"/>
        <v>40-49</v>
      </c>
      <c r="K643">
        <v>109328.04</v>
      </c>
      <c r="L643" t="str">
        <f>IF(Workforce[[#This Row],[Salary]]&lt;50000,"30k-49k",IF(Workforce[[#This Row],[Salary]]&lt;70000,"50k-69k",IF(Workforce[[#This Row],[Salary]]&lt;90000,"70k-89k","90k+")))</f>
        <v>90k+</v>
      </c>
      <c r="M643" t="s">
        <v>929</v>
      </c>
      <c r="N643">
        <f t="shared" ca="1" si="42"/>
        <v>10</v>
      </c>
      <c r="O643" t="str">
        <f t="shared" ca="1" si="43"/>
        <v>Senior level</v>
      </c>
    </row>
    <row r="644" spans="1:15" x14ac:dyDescent="0.3">
      <c r="A644" t="s">
        <v>4883</v>
      </c>
      <c r="B644" t="s">
        <v>4884</v>
      </c>
      <c r="C644" t="s">
        <v>17</v>
      </c>
      <c r="D644" t="s">
        <v>4885</v>
      </c>
      <c r="E644" t="s">
        <v>4886</v>
      </c>
      <c r="F644" t="s">
        <v>4887</v>
      </c>
      <c r="G644" t="s">
        <v>4888</v>
      </c>
      <c r="H644" t="s">
        <v>4889</v>
      </c>
      <c r="I644">
        <f t="shared" ca="1" si="40"/>
        <v>37</v>
      </c>
      <c r="J644" t="str">
        <f t="shared" ca="1" si="41"/>
        <v>30-39</v>
      </c>
      <c r="K644">
        <v>82081.679999999993</v>
      </c>
      <c r="L644" t="str">
        <f>IF(Workforce[[#This Row],[Salary]]&lt;50000,"30k-49k",IF(Workforce[[#This Row],[Salary]]&lt;70000,"50k-69k",IF(Workforce[[#This Row],[Salary]]&lt;90000,"70k-89k","90k+")))</f>
        <v>70k-89k</v>
      </c>
      <c r="M644" t="s">
        <v>4890</v>
      </c>
      <c r="N644">
        <f t="shared" ca="1" si="42"/>
        <v>7</v>
      </c>
      <c r="O644" t="str">
        <f t="shared" ca="1" si="43"/>
        <v>Senior level</v>
      </c>
    </row>
    <row r="645" spans="1:15" x14ac:dyDescent="0.3">
      <c r="A645" t="s">
        <v>4891</v>
      </c>
      <c r="B645" t="s">
        <v>4892</v>
      </c>
      <c r="C645" t="s">
        <v>17</v>
      </c>
      <c r="D645" t="s">
        <v>4893</v>
      </c>
      <c r="E645" t="s">
        <v>4894</v>
      </c>
      <c r="F645" t="s">
        <v>4895</v>
      </c>
      <c r="G645" t="s">
        <v>4896</v>
      </c>
      <c r="H645" t="s">
        <v>4897</v>
      </c>
      <c r="I645">
        <f t="shared" ca="1" si="40"/>
        <v>42</v>
      </c>
      <c r="J645" t="str">
        <f t="shared" ca="1" si="41"/>
        <v>40-49</v>
      </c>
      <c r="K645">
        <v>119615.02</v>
      </c>
      <c r="L645" t="str">
        <f>IF(Workforce[[#This Row],[Salary]]&lt;50000,"30k-49k",IF(Workforce[[#This Row],[Salary]]&lt;70000,"50k-69k",IF(Workforce[[#This Row],[Salary]]&lt;90000,"70k-89k","90k+")))</f>
        <v>90k+</v>
      </c>
      <c r="M645" t="s">
        <v>4898</v>
      </c>
      <c r="N645">
        <f t="shared" ca="1" si="42"/>
        <v>2</v>
      </c>
      <c r="O645" t="str">
        <f t="shared" ca="1" si="43"/>
        <v>Beginner</v>
      </c>
    </row>
    <row r="646" spans="1:15" x14ac:dyDescent="0.3">
      <c r="A646" t="s">
        <v>4899</v>
      </c>
      <c r="B646" t="s">
        <v>4900</v>
      </c>
      <c r="C646" t="s">
        <v>1223</v>
      </c>
      <c r="D646" t="s">
        <v>4901</v>
      </c>
      <c r="E646" t="s">
        <v>4902</v>
      </c>
      <c r="F646" t="s">
        <v>1162</v>
      </c>
      <c r="G646" t="s">
        <v>4903</v>
      </c>
      <c r="H646" t="s">
        <v>4904</v>
      </c>
      <c r="I646">
        <f t="shared" ca="1" si="40"/>
        <v>49</v>
      </c>
      <c r="J646" t="str">
        <f t="shared" ca="1" si="41"/>
        <v>40-49</v>
      </c>
      <c r="K646">
        <v>35375.22</v>
      </c>
      <c r="L646" t="str">
        <f>IF(Workforce[[#This Row],[Salary]]&lt;50000,"30k-49k",IF(Workforce[[#This Row],[Salary]]&lt;70000,"50k-69k",IF(Workforce[[#This Row],[Salary]]&lt;90000,"70k-89k","90k+")))</f>
        <v>30k-49k</v>
      </c>
      <c r="M646" t="s">
        <v>4905</v>
      </c>
      <c r="N646">
        <f t="shared" ca="1" si="42"/>
        <v>10</v>
      </c>
      <c r="O646" t="str">
        <f t="shared" ca="1" si="43"/>
        <v>Senior level</v>
      </c>
    </row>
    <row r="647" spans="1:15" x14ac:dyDescent="0.3">
      <c r="A647" t="s">
        <v>4906</v>
      </c>
      <c r="B647" t="s">
        <v>4907</v>
      </c>
      <c r="C647" t="s">
        <v>26</v>
      </c>
      <c r="D647" t="s">
        <v>4908</v>
      </c>
      <c r="E647" t="s">
        <v>4909</v>
      </c>
      <c r="F647" t="s">
        <v>3567</v>
      </c>
      <c r="G647" t="s">
        <v>4910</v>
      </c>
      <c r="H647" t="s">
        <v>4911</v>
      </c>
      <c r="I647">
        <f t="shared" ca="1" si="40"/>
        <v>30</v>
      </c>
      <c r="J647" t="str">
        <f t="shared" ca="1" si="41"/>
        <v>30-39</v>
      </c>
      <c r="K647">
        <v>61106.58</v>
      </c>
      <c r="L647" t="str">
        <f>IF(Workforce[[#This Row],[Salary]]&lt;50000,"30k-49k",IF(Workforce[[#This Row],[Salary]]&lt;70000,"50k-69k",IF(Workforce[[#This Row],[Salary]]&lt;90000,"70k-89k","90k+")))</f>
        <v>50k-69k</v>
      </c>
      <c r="M647" t="s">
        <v>4295</v>
      </c>
      <c r="N647">
        <f t="shared" ca="1" si="42"/>
        <v>9</v>
      </c>
      <c r="O647" t="str">
        <f t="shared" ca="1" si="43"/>
        <v>Senior level</v>
      </c>
    </row>
    <row r="648" spans="1:15" x14ac:dyDescent="0.3">
      <c r="A648" t="s">
        <v>4912</v>
      </c>
      <c r="B648" t="s">
        <v>4913</v>
      </c>
      <c r="C648" t="s">
        <v>35</v>
      </c>
      <c r="D648" t="s">
        <v>4914</v>
      </c>
      <c r="E648" t="s">
        <v>4915</v>
      </c>
      <c r="F648" t="s">
        <v>73</v>
      </c>
      <c r="G648" t="s">
        <v>4916</v>
      </c>
      <c r="H648" t="s">
        <v>4917</v>
      </c>
      <c r="I648">
        <f t="shared" ca="1" si="40"/>
        <v>62</v>
      </c>
      <c r="J648" t="str">
        <f t="shared" ca="1" si="41"/>
        <v>60+</v>
      </c>
      <c r="K648">
        <v>110518.01</v>
      </c>
      <c r="L648" t="str">
        <f>IF(Workforce[[#This Row],[Salary]]&lt;50000,"30k-49k",IF(Workforce[[#This Row],[Salary]]&lt;70000,"50k-69k",IF(Workforce[[#This Row],[Salary]]&lt;90000,"70k-89k","90k+")))</f>
        <v>90k+</v>
      </c>
      <c r="M648" t="s">
        <v>4918</v>
      </c>
      <c r="N648">
        <f t="shared" ca="1" si="42"/>
        <v>8</v>
      </c>
      <c r="O648" t="str">
        <f t="shared" ca="1" si="43"/>
        <v>Senior level</v>
      </c>
    </row>
    <row r="649" spans="1:15" x14ac:dyDescent="0.3">
      <c r="A649" t="s">
        <v>4919</v>
      </c>
      <c r="B649" t="s">
        <v>4920</v>
      </c>
      <c r="C649" t="s">
        <v>748</v>
      </c>
      <c r="D649" t="s">
        <v>4921</v>
      </c>
      <c r="E649" t="s">
        <v>4922</v>
      </c>
      <c r="F649" t="s">
        <v>2768</v>
      </c>
      <c r="G649" t="s">
        <v>4923</v>
      </c>
      <c r="H649" t="s">
        <v>1164</v>
      </c>
      <c r="I649">
        <f t="shared" ca="1" si="40"/>
        <v>37</v>
      </c>
      <c r="J649" t="str">
        <f t="shared" ca="1" si="41"/>
        <v>30-39</v>
      </c>
      <c r="K649">
        <v>44079.34</v>
      </c>
      <c r="L649" t="str">
        <f>IF(Workforce[[#This Row],[Salary]]&lt;50000,"30k-49k",IF(Workforce[[#This Row],[Salary]]&lt;70000,"50k-69k",IF(Workforce[[#This Row],[Salary]]&lt;90000,"70k-89k","90k+")))</f>
        <v>30k-49k</v>
      </c>
      <c r="M649" t="s">
        <v>1064</v>
      </c>
      <c r="N649">
        <f t="shared" ca="1" si="42"/>
        <v>1</v>
      </c>
      <c r="O649" t="str">
        <f t="shared" ca="1" si="43"/>
        <v>Beginner</v>
      </c>
    </row>
    <row r="650" spans="1:15" x14ac:dyDescent="0.3">
      <c r="A650" t="s">
        <v>4924</v>
      </c>
      <c r="B650" t="s">
        <v>4925</v>
      </c>
      <c r="C650" t="s">
        <v>88</v>
      </c>
      <c r="D650" t="s">
        <v>4926</v>
      </c>
      <c r="E650" t="s">
        <v>4927</v>
      </c>
      <c r="F650" t="s">
        <v>64</v>
      </c>
      <c r="G650" t="s">
        <v>4928</v>
      </c>
      <c r="H650" t="s">
        <v>4929</v>
      </c>
      <c r="I650">
        <f t="shared" ca="1" si="40"/>
        <v>66</v>
      </c>
      <c r="J650" t="str">
        <f t="shared" ca="1" si="41"/>
        <v>60+</v>
      </c>
      <c r="K650">
        <v>91381.39</v>
      </c>
      <c r="L650" t="str">
        <f>IF(Workforce[[#This Row],[Salary]]&lt;50000,"30k-49k",IF(Workforce[[#This Row],[Salary]]&lt;70000,"50k-69k",IF(Workforce[[#This Row],[Salary]]&lt;90000,"70k-89k","90k+")))</f>
        <v>90k+</v>
      </c>
      <c r="M650" t="s">
        <v>4930</v>
      </c>
      <c r="N650">
        <f t="shared" ca="1" si="42"/>
        <v>10</v>
      </c>
      <c r="O650" t="str">
        <f t="shared" ca="1" si="43"/>
        <v>Senior level</v>
      </c>
    </row>
    <row r="651" spans="1:15" x14ac:dyDescent="0.3">
      <c r="A651" t="s">
        <v>4931</v>
      </c>
      <c r="B651" t="s">
        <v>4932</v>
      </c>
      <c r="C651" t="s">
        <v>266</v>
      </c>
      <c r="D651" t="s">
        <v>4933</v>
      </c>
      <c r="E651" t="s">
        <v>4934</v>
      </c>
      <c r="F651" t="s">
        <v>2117</v>
      </c>
      <c r="G651" t="s">
        <v>4935</v>
      </c>
      <c r="H651" t="s">
        <v>4936</v>
      </c>
      <c r="I651">
        <f t="shared" ca="1" si="40"/>
        <v>30</v>
      </c>
      <c r="J651" t="str">
        <f t="shared" ca="1" si="41"/>
        <v>30-39</v>
      </c>
      <c r="K651">
        <v>88156.3</v>
      </c>
      <c r="L651" t="str">
        <f>IF(Workforce[[#This Row],[Salary]]&lt;50000,"30k-49k",IF(Workforce[[#This Row],[Salary]]&lt;70000,"50k-69k",IF(Workforce[[#This Row],[Salary]]&lt;90000,"70k-89k","90k+")))</f>
        <v>70k-89k</v>
      </c>
      <c r="M651" t="s">
        <v>2940</v>
      </c>
      <c r="N651">
        <f t="shared" ca="1" si="42"/>
        <v>0</v>
      </c>
      <c r="O651" t="str">
        <f t="shared" ca="1" si="43"/>
        <v>Beginner</v>
      </c>
    </row>
    <row r="652" spans="1:15" x14ac:dyDescent="0.3">
      <c r="A652" t="s">
        <v>4937</v>
      </c>
      <c r="B652" t="s">
        <v>4938</v>
      </c>
      <c r="C652" t="s">
        <v>142</v>
      </c>
      <c r="D652" t="s">
        <v>4939</v>
      </c>
      <c r="E652" t="s">
        <v>4940</v>
      </c>
      <c r="F652" t="s">
        <v>4941</v>
      </c>
      <c r="G652" t="s">
        <v>4942</v>
      </c>
      <c r="H652" t="s">
        <v>4943</v>
      </c>
      <c r="I652">
        <f t="shared" ca="1" si="40"/>
        <v>33</v>
      </c>
      <c r="J652" t="str">
        <f t="shared" ca="1" si="41"/>
        <v>30-39</v>
      </c>
      <c r="K652">
        <v>62491.360000000001</v>
      </c>
      <c r="L652" t="str">
        <f>IF(Workforce[[#This Row],[Salary]]&lt;50000,"30k-49k",IF(Workforce[[#This Row],[Salary]]&lt;70000,"50k-69k",IF(Workforce[[#This Row],[Salary]]&lt;90000,"70k-89k","90k+")))</f>
        <v>50k-69k</v>
      </c>
      <c r="M652" t="s">
        <v>4944</v>
      </c>
      <c r="N652">
        <f t="shared" ca="1" si="42"/>
        <v>0</v>
      </c>
      <c r="O652" t="str">
        <f t="shared" ca="1" si="43"/>
        <v>Beginner</v>
      </c>
    </row>
    <row r="653" spans="1:15" x14ac:dyDescent="0.3">
      <c r="A653" t="s">
        <v>4945</v>
      </c>
      <c r="B653" t="s">
        <v>4946</v>
      </c>
      <c r="C653" t="s">
        <v>44</v>
      </c>
      <c r="D653" t="s">
        <v>4947</v>
      </c>
      <c r="E653" t="s">
        <v>4948</v>
      </c>
      <c r="F653" t="s">
        <v>1241</v>
      </c>
      <c r="G653" t="s">
        <v>1427</v>
      </c>
      <c r="H653" t="s">
        <v>4949</v>
      </c>
      <c r="I653">
        <f t="shared" ca="1" si="40"/>
        <v>22</v>
      </c>
      <c r="J653" t="str">
        <f t="shared" ca="1" si="41"/>
        <v>18-29</v>
      </c>
      <c r="K653">
        <v>78302.36</v>
      </c>
      <c r="L653" t="str">
        <f>IF(Workforce[[#This Row],[Salary]]&lt;50000,"30k-49k",IF(Workforce[[#This Row],[Salary]]&lt;70000,"50k-69k",IF(Workforce[[#This Row],[Salary]]&lt;90000,"70k-89k","90k+")))</f>
        <v>70k-89k</v>
      </c>
      <c r="M653" t="s">
        <v>4950</v>
      </c>
      <c r="N653">
        <f t="shared" ca="1" si="42"/>
        <v>2</v>
      </c>
      <c r="O653" t="str">
        <f t="shared" ca="1" si="43"/>
        <v>Beginner</v>
      </c>
    </row>
    <row r="654" spans="1:15" x14ac:dyDescent="0.3">
      <c r="A654" t="s">
        <v>4951</v>
      </c>
      <c r="B654" t="s">
        <v>4952</v>
      </c>
      <c r="C654" t="s">
        <v>115</v>
      </c>
      <c r="D654" t="s">
        <v>4953</v>
      </c>
      <c r="E654" t="s">
        <v>4954</v>
      </c>
      <c r="F654" t="s">
        <v>4148</v>
      </c>
      <c r="G654" t="s">
        <v>4955</v>
      </c>
      <c r="H654" t="s">
        <v>4956</v>
      </c>
      <c r="I654">
        <f t="shared" ca="1" si="40"/>
        <v>50</v>
      </c>
      <c r="J654" t="str">
        <f t="shared" ca="1" si="41"/>
        <v>50-59</v>
      </c>
      <c r="K654">
        <v>97356.77</v>
      </c>
      <c r="L654" t="str">
        <f>IF(Workforce[[#This Row],[Salary]]&lt;50000,"30k-49k",IF(Workforce[[#This Row],[Salary]]&lt;70000,"50k-69k",IF(Workforce[[#This Row],[Salary]]&lt;90000,"70k-89k","90k+")))</f>
        <v>90k+</v>
      </c>
      <c r="M654" t="s">
        <v>4957</v>
      </c>
      <c r="N654">
        <f t="shared" ca="1" si="42"/>
        <v>4</v>
      </c>
      <c r="O654" t="str">
        <f t="shared" ca="1" si="43"/>
        <v>Intermediate level</v>
      </c>
    </row>
    <row r="655" spans="1:15" x14ac:dyDescent="0.3">
      <c r="A655" t="s">
        <v>4958</v>
      </c>
      <c r="B655" t="s">
        <v>4959</v>
      </c>
      <c r="C655" t="s">
        <v>317</v>
      </c>
      <c r="D655" t="s">
        <v>4960</v>
      </c>
      <c r="E655" t="s">
        <v>4961</v>
      </c>
      <c r="F655" t="s">
        <v>3308</v>
      </c>
      <c r="G655" t="s">
        <v>4962</v>
      </c>
      <c r="H655" t="s">
        <v>4963</v>
      </c>
      <c r="I655">
        <f t="shared" ca="1" si="40"/>
        <v>60</v>
      </c>
      <c r="J655" t="str">
        <f t="shared" ca="1" si="41"/>
        <v>60+</v>
      </c>
      <c r="K655">
        <v>64575.09</v>
      </c>
      <c r="L655" t="str">
        <f>IF(Workforce[[#This Row],[Salary]]&lt;50000,"30k-49k",IF(Workforce[[#This Row],[Salary]]&lt;70000,"50k-69k",IF(Workforce[[#This Row],[Salary]]&lt;90000,"70k-89k","90k+")))</f>
        <v>50k-69k</v>
      </c>
      <c r="M655" t="s">
        <v>4964</v>
      </c>
      <c r="N655">
        <f t="shared" ca="1" si="42"/>
        <v>10</v>
      </c>
      <c r="O655" t="str">
        <f t="shared" ca="1" si="43"/>
        <v>Senior level</v>
      </c>
    </row>
    <row r="656" spans="1:15" x14ac:dyDescent="0.3">
      <c r="A656" t="s">
        <v>4965</v>
      </c>
      <c r="B656" t="s">
        <v>4966</v>
      </c>
      <c r="C656" t="s">
        <v>26</v>
      </c>
      <c r="D656" t="s">
        <v>4967</v>
      </c>
      <c r="E656" t="s">
        <v>4968</v>
      </c>
      <c r="F656" t="s">
        <v>4344</v>
      </c>
      <c r="G656" t="s">
        <v>4969</v>
      </c>
      <c r="H656" t="s">
        <v>4970</v>
      </c>
      <c r="I656">
        <f t="shared" ca="1" si="40"/>
        <v>46</v>
      </c>
      <c r="J656" t="str">
        <f t="shared" ca="1" si="41"/>
        <v>40-49</v>
      </c>
      <c r="K656">
        <v>60765.33</v>
      </c>
      <c r="L656" t="str">
        <f>IF(Workforce[[#This Row],[Salary]]&lt;50000,"30k-49k",IF(Workforce[[#This Row],[Salary]]&lt;70000,"50k-69k",IF(Workforce[[#This Row],[Salary]]&lt;90000,"70k-89k","90k+")))</f>
        <v>50k-69k</v>
      </c>
      <c r="M656" t="s">
        <v>4971</v>
      </c>
      <c r="N656">
        <f t="shared" ca="1" si="42"/>
        <v>10</v>
      </c>
      <c r="O656" t="str">
        <f t="shared" ca="1" si="43"/>
        <v>Senior level</v>
      </c>
    </row>
    <row r="657" spans="1:15" x14ac:dyDescent="0.3">
      <c r="A657" t="s">
        <v>4972</v>
      </c>
      <c r="B657" t="s">
        <v>4973</v>
      </c>
      <c r="C657" t="s">
        <v>326</v>
      </c>
      <c r="D657" t="s">
        <v>4974</v>
      </c>
      <c r="E657" t="s">
        <v>4975</v>
      </c>
      <c r="F657" t="s">
        <v>1107</v>
      </c>
      <c r="G657" t="s">
        <v>4976</v>
      </c>
      <c r="H657" t="s">
        <v>4977</v>
      </c>
      <c r="I657">
        <f t="shared" ca="1" si="40"/>
        <v>52</v>
      </c>
      <c r="J657" t="str">
        <f t="shared" ca="1" si="41"/>
        <v>50-59</v>
      </c>
      <c r="K657">
        <v>32239.84</v>
      </c>
      <c r="L657" t="str">
        <f>IF(Workforce[[#This Row],[Salary]]&lt;50000,"30k-49k",IF(Workforce[[#This Row],[Salary]]&lt;70000,"50k-69k",IF(Workforce[[#This Row],[Salary]]&lt;90000,"70k-89k","90k+")))</f>
        <v>30k-49k</v>
      </c>
      <c r="M657" t="s">
        <v>4978</v>
      </c>
      <c r="N657">
        <f t="shared" ca="1" si="42"/>
        <v>10</v>
      </c>
      <c r="O657" t="str">
        <f t="shared" ca="1" si="43"/>
        <v>Senior level</v>
      </c>
    </row>
    <row r="658" spans="1:15" x14ac:dyDescent="0.3">
      <c r="A658" t="s">
        <v>4979</v>
      </c>
      <c r="B658" t="s">
        <v>4980</v>
      </c>
      <c r="C658" t="s">
        <v>317</v>
      </c>
      <c r="D658" t="s">
        <v>4981</v>
      </c>
      <c r="E658" t="s">
        <v>4982</v>
      </c>
      <c r="F658" t="s">
        <v>4983</v>
      </c>
      <c r="G658" t="s">
        <v>4984</v>
      </c>
      <c r="H658" t="s">
        <v>4985</v>
      </c>
      <c r="I658">
        <f t="shared" ca="1" si="40"/>
        <v>39</v>
      </c>
      <c r="J658" t="str">
        <f t="shared" ca="1" si="41"/>
        <v>30-39</v>
      </c>
      <c r="K658">
        <v>66471.460000000006</v>
      </c>
      <c r="L658" t="str">
        <f>IF(Workforce[[#This Row],[Salary]]&lt;50000,"30k-49k",IF(Workforce[[#This Row],[Salary]]&lt;70000,"50k-69k",IF(Workforce[[#This Row],[Salary]]&lt;90000,"70k-89k","90k+")))</f>
        <v>50k-69k</v>
      </c>
      <c r="M658" t="s">
        <v>4986</v>
      </c>
      <c r="N658">
        <f t="shared" ca="1" si="42"/>
        <v>7</v>
      </c>
      <c r="O658" t="str">
        <f t="shared" ca="1" si="43"/>
        <v>Senior level</v>
      </c>
    </row>
    <row r="659" spans="1:15" x14ac:dyDescent="0.3">
      <c r="A659" t="s">
        <v>4987</v>
      </c>
      <c r="B659" t="s">
        <v>4988</v>
      </c>
      <c r="C659" t="s">
        <v>284</v>
      </c>
      <c r="D659" t="s">
        <v>4989</v>
      </c>
      <c r="E659" t="s">
        <v>4990</v>
      </c>
      <c r="F659" t="s">
        <v>4991</v>
      </c>
      <c r="G659" t="s">
        <v>518</v>
      </c>
      <c r="H659" t="s">
        <v>4992</v>
      </c>
      <c r="I659">
        <f t="shared" ca="1" si="40"/>
        <v>61</v>
      </c>
      <c r="J659" t="str">
        <f t="shared" ca="1" si="41"/>
        <v>60+</v>
      </c>
      <c r="K659">
        <v>58437.73</v>
      </c>
      <c r="L659" t="str">
        <f>IF(Workforce[[#This Row],[Salary]]&lt;50000,"30k-49k",IF(Workforce[[#This Row],[Salary]]&lt;70000,"50k-69k",IF(Workforce[[#This Row],[Salary]]&lt;90000,"70k-89k","90k+")))</f>
        <v>50k-69k</v>
      </c>
      <c r="M659" t="s">
        <v>779</v>
      </c>
      <c r="N659">
        <f t="shared" ca="1" si="42"/>
        <v>10</v>
      </c>
      <c r="O659" t="str">
        <f t="shared" ca="1" si="43"/>
        <v>Senior level</v>
      </c>
    </row>
    <row r="660" spans="1:15" x14ac:dyDescent="0.3">
      <c r="A660" t="s">
        <v>4993</v>
      </c>
      <c r="B660" t="s">
        <v>4994</v>
      </c>
      <c r="C660" t="s">
        <v>2086</v>
      </c>
      <c r="D660" t="s">
        <v>4995</v>
      </c>
      <c r="E660" t="s">
        <v>4996</v>
      </c>
      <c r="F660" t="s">
        <v>4546</v>
      </c>
      <c r="G660" t="s">
        <v>4997</v>
      </c>
      <c r="H660" t="s">
        <v>2542</v>
      </c>
      <c r="I660">
        <f t="shared" ca="1" si="40"/>
        <v>52</v>
      </c>
      <c r="J660" t="str">
        <f t="shared" ca="1" si="41"/>
        <v>50-59</v>
      </c>
      <c r="K660">
        <v>44911.45</v>
      </c>
      <c r="L660" t="str">
        <f>IF(Workforce[[#This Row],[Salary]]&lt;50000,"30k-49k",IF(Workforce[[#This Row],[Salary]]&lt;70000,"50k-69k",IF(Workforce[[#This Row],[Salary]]&lt;90000,"70k-89k","90k+")))</f>
        <v>30k-49k</v>
      </c>
      <c r="M660" t="s">
        <v>4998</v>
      </c>
      <c r="N660">
        <f t="shared" ca="1" si="42"/>
        <v>1</v>
      </c>
      <c r="O660" t="str">
        <f t="shared" ca="1" si="43"/>
        <v>Beginner</v>
      </c>
    </row>
    <row r="661" spans="1:15" x14ac:dyDescent="0.3">
      <c r="A661" t="s">
        <v>4999</v>
      </c>
      <c r="B661" t="s">
        <v>5000</v>
      </c>
      <c r="C661" t="s">
        <v>17</v>
      </c>
      <c r="D661" t="s">
        <v>5001</v>
      </c>
      <c r="E661" t="s">
        <v>5002</v>
      </c>
      <c r="F661" t="s">
        <v>784</v>
      </c>
      <c r="G661" t="s">
        <v>5003</v>
      </c>
      <c r="H661" t="s">
        <v>5004</v>
      </c>
      <c r="I661">
        <f t="shared" ca="1" si="40"/>
        <v>45</v>
      </c>
      <c r="J661" t="str">
        <f t="shared" ca="1" si="41"/>
        <v>40-49</v>
      </c>
      <c r="K661">
        <v>32126.68</v>
      </c>
      <c r="L661" t="str">
        <f>IF(Workforce[[#This Row],[Salary]]&lt;50000,"30k-49k",IF(Workforce[[#This Row],[Salary]]&lt;70000,"50k-69k",IF(Workforce[[#This Row],[Salary]]&lt;90000,"70k-89k","90k+")))</f>
        <v>30k-49k</v>
      </c>
      <c r="M661" t="s">
        <v>5005</v>
      </c>
      <c r="N661">
        <f t="shared" ca="1" si="42"/>
        <v>8</v>
      </c>
      <c r="O661" t="str">
        <f t="shared" ca="1" si="43"/>
        <v>Senior level</v>
      </c>
    </row>
    <row r="662" spans="1:15" x14ac:dyDescent="0.3">
      <c r="A662" t="s">
        <v>5006</v>
      </c>
      <c r="B662" t="s">
        <v>5007</v>
      </c>
      <c r="C662" t="s">
        <v>160</v>
      </c>
      <c r="D662" t="s">
        <v>5008</v>
      </c>
      <c r="E662" t="s">
        <v>5009</v>
      </c>
      <c r="F662" t="s">
        <v>5010</v>
      </c>
      <c r="G662" t="s">
        <v>5011</v>
      </c>
      <c r="H662" t="s">
        <v>5012</v>
      </c>
      <c r="I662">
        <f t="shared" ca="1" si="40"/>
        <v>59</v>
      </c>
      <c r="J662" t="str">
        <f t="shared" ca="1" si="41"/>
        <v>50-59</v>
      </c>
      <c r="K662">
        <v>57047.65</v>
      </c>
      <c r="L662" t="str">
        <f>IF(Workforce[[#This Row],[Salary]]&lt;50000,"30k-49k",IF(Workforce[[#This Row],[Salary]]&lt;70000,"50k-69k",IF(Workforce[[#This Row],[Salary]]&lt;90000,"70k-89k","90k+")))</f>
        <v>50k-69k</v>
      </c>
      <c r="M662" t="s">
        <v>5013</v>
      </c>
      <c r="N662">
        <f t="shared" ca="1" si="42"/>
        <v>9</v>
      </c>
      <c r="O662" t="str">
        <f t="shared" ca="1" si="43"/>
        <v>Senior level</v>
      </c>
    </row>
    <row r="663" spans="1:15" x14ac:dyDescent="0.3">
      <c r="A663" t="s">
        <v>5014</v>
      </c>
      <c r="B663" t="s">
        <v>5015</v>
      </c>
      <c r="C663" t="s">
        <v>326</v>
      </c>
      <c r="D663" t="s">
        <v>5016</v>
      </c>
      <c r="E663" t="s">
        <v>5017</v>
      </c>
      <c r="F663" t="s">
        <v>3264</v>
      </c>
      <c r="G663" t="s">
        <v>5018</v>
      </c>
      <c r="H663" t="s">
        <v>5019</v>
      </c>
      <c r="I663">
        <f t="shared" ca="1" si="40"/>
        <v>25</v>
      </c>
      <c r="J663" t="str">
        <f t="shared" ca="1" si="41"/>
        <v>18-29</v>
      </c>
      <c r="K663">
        <v>79598.259999999995</v>
      </c>
      <c r="L663" t="str">
        <f>IF(Workforce[[#This Row],[Salary]]&lt;50000,"30k-49k",IF(Workforce[[#This Row],[Salary]]&lt;70000,"50k-69k",IF(Workforce[[#This Row],[Salary]]&lt;90000,"70k-89k","90k+")))</f>
        <v>70k-89k</v>
      </c>
      <c r="M663" t="s">
        <v>5020</v>
      </c>
      <c r="N663">
        <f t="shared" ca="1" si="42"/>
        <v>6</v>
      </c>
      <c r="O663" t="str">
        <f t="shared" ca="1" si="43"/>
        <v>Intermediate level</v>
      </c>
    </row>
    <row r="664" spans="1:15" x14ac:dyDescent="0.3">
      <c r="A664" t="s">
        <v>5021</v>
      </c>
      <c r="B664" t="s">
        <v>5022</v>
      </c>
      <c r="C664" t="s">
        <v>1223</v>
      </c>
      <c r="D664" t="s">
        <v>5023</v>
      </c>
      <c r="E664" t="s">
        <v>5024</v>
      </c>
      <c r="F664" t="s">
        <v>615</v>
      </c>
      <c r="G664" t="s">
        <v>5025</v>
      </c>
      <c r="H664" t="s">
        <v>5026</v>
      </c>
      <c r="I664">
        <f t="shared" ca="1" si="40"/>
        <v>66</v>
      </c>
      <c r="J664" t="str">
        <f t="shared" ca="1" si="41"/>
        <v>60+</v>
      </c>
      <c r="K664">
        <v>56755.14</v>
      </c>
      <c r="L664" t="str">
        <f>IF(Workforce[[#This Row],[Salary]]&lt;50000,"30k-49k",IF(Workforce[[#This Row],[Salary]]&lt;70000,"50k-69k",IF(Workforce[[#This Row],[Salary]]&lt;90000,"70k-89k","90k+")))</f>
        <v>50k-69k</v>
      </c>
      <c r="M664" t="s">
        <v>4964</v>
      </c>
      <c r="N664">
        <f t="shared" ca="1" si="42"/>
        <v>10</v>
      </c>
      <c r="O664" t="str">
        <f t="shared" ca="1" si="43"/>
        <v>Senior level</v>
      </c>
    </row>
    <row r="665" spans="1:15" x14ac:dyDescent="0.3">
      <c r="A665" t="s">
        <v>5027</v>
      </c>
      <c r="B665" t="s">
        <v>5028</v>
      </c>
      <c r="C665" t="s">
        <v>61</v>
      </c>
      <c r="D665" t="s">
        <v>5029</v>
      </c>
      <c r="E665" t="s">
        <v>5030</v>
      </c>
      <c r="F665" t="s">
        <v>5031</v>
      </c>
      <c r="G665" t="s">
        <v>5032</v>
      </c>
      <c r="H665" t="s">
        <v>5033</v>
      </c>
      <c r="I665">
        <f t="shared" ca="1" si="40"/>
        <v>24</v>
      </c>
      <c r="J665" t="str">
        <f t="shared" ca="1" si="41"/>
        <v>18-29</v>
      </c>
      <c r="K665">
        <v>59326.05</v>
      </c>
      <c r="L665" t="str">
        <f>IF(Workforce[[#This Row],[Salary]]&lt;50000,"30k-49k",IF(Workforce[[#This Row],[Salary]]&lt;70000,"50k-69k",IF(Workforce[[#This Row],[Salary]]&lt;90000,"70k-89k","90k+")))</f>
        <v>50k-69k</v>
      </c>
      <c r="M665" t="s">
        <v>5034</v>
      </c>
      <c r="N665">
        <f t="shared" ca="1" si="42"/>
        <v>4</v>
      </c>
      <c r="O665" t="str">
        <f t="shared" ca="1" si="43"/>
        <v>Intermediate level</v>
      </c>
    </row>
    <row r="666" spans="1:15" x14ac:dyDescent="0.3">
      <c r="A666" t="s">
        <v>5035</v>
      </c>
      <c r="B666" t="s">
        <v>5036</v>
      </c>
      <c r="C666" t="s">
        <v>1223</v>
      </c>
      <c r="D666" t="s">
        <v>5037</v>
      </c>
      <c r="E666" t="s">
        <v>5038</v>
      </c>
      <c r="F666" t="s">
        <v>4734</v>
      </c>
      <c r="G666" t="s">
        <v>5039</v>
      </c>
      <c r="H666" t="s">
        <v>5040</v>
      </c>
      <c r="I666">
        <f t="shared" ca="1" si="40"/>
        <v>51</v>
      </c>
      <c r="J666" t="str">
        <f t="shared" ca="1" si="41"/>
        <v>50-59</v>
      </c>
      <c r="K666">
        <v>49853.77</v>
      </c>
      <c r="L666" t="str">
        <f>IF(Workforce[[#This Row],[Salary]]&lt;50000,"30k-49k",IF(Workforce[[#This Row],[Salary]]&lt;70000,"50k-69k",IF(Workforce[[#This Row],[Salary]]&lt;90000,"70k-89k","90k+")))</f>
        <v>30k-49k</v>
      </c>
      <c r="M666" t="s">
        <v>5041</v>
      </c>
      <c r="N666">
        <f t="shared" ca="1" si="42"/>
        <v>10</v>
      </c>
      <c r="O666" t="str">
        <f t="shared" ca="1" si="43"/>
        <v>Senior level</v>
      </c>
    </row>
    <row r="667" spans="1:15" x14ac:dyDescent="0.3">
      <c r="A667" t="s">
        <v>5042</v>
      </c>
      <c r="B667" t="s">
        <v>5043</v>
      </c>
      <c r="C667" t="s">
        <v>231</v>
      </c>
      <c r="D667" t="s">
        <v>5044</v>
      </c>
      <c r="E667" t="s">
        <v>5045</v>
      </c>
      <c r="F667" t="s">
        <v>2848</v>
      </c>
      <c r="G667" t="s">
        <v>5046</v>
      </c>
      <c r="H667" t="s">
        <v>5047</v>
      </c>
      <c r="I667">
        <f t="shared" ca="1" si="40"/>
        <v>62</v>
      </c>
      <c r="J667" t="str">
        <f t="shared" ca="1" si="41"/>
        <v>60+</v>
      </c>
      <c r="K667">
        <v>72125.94</v>
      </c>
      <c r="L667" t="str">
        <f>IF(Workforce[[#This Row],[Salary]]&lt;50000,"30k-49k",IF(Workforce[[#This Row],[Salary]]&lt;70000,"50k-69k",IF(Workforce[[#This Row],[Salary]]&lt;90000,"70k-89k","90k+")))</f>
        <v>70k-89k</v>
      </c>
      <c r="M667" t="s">
        <v>5048</v>
      </c>
      <c r="N667">
        <f t="shared" ca="1" si="42"/>
        <v>1</v>
      </c>
      <c r="O667" t="str">
        <f t="shared" ca="1" si="43"/>
        <v>Beginner</v>
      </c>
    </row>
    <row r="668" spans="1:15" x14ac:dyDescent="0.3">
      <c r="A668" t="s">
        <v>5049</v>
      </c>
      <c r="B668" t="s">
        <v>5050</v>
      </c>
      <c r="C668" t="s">
        <v>653</v>
      </c>
      <c r="D668" t="s">
        <v>5051</v>
      </c>
      <c r="E668" t="s">
        <v>5052</v>
      </c>
      <c r="F668" t="s">
        <v>5053</v>
      </c>
      <c r="G668" t="s">
        <v>5054</v>
      </c>
      <c r="H668" t="s">
        <v>5055</v>
      </c>
      <c r="I668">
        <f t="shared" ca="1" si="40"/>
        <v>29</v>
      </c>
      <c r="J668" t="str">
        <f t="shared" ca="1" si="41"/>
        <v>18-29</v>
      </c>
      <c r="K668">
        <v>97161.37</v>
      </c>
      <c r="L668" t="str">
        <f>IF(Workforce[[#This Row],[Salary]]&lt;50000,"30k-49k",IF(Workforce[[#This Row],[Salary]]&lt;70000,"50k-69k",IF(Workforce[[#This Row],[Salary]]&lt;90000,"70k-89k","90k+")))</f>
        <v>90k+</v>
      </c>
      <c r="M668" t="s">
        <v>5056</v>
      </c>
      <c r="N668">
        <f t="shared" ca="1" si="42"/>
        <v>3</v>
      </c>
      <c r="O668" t="str">
        <f t="shared" ca="1" si="43"/>
        <v>Intermediate level</v>
      </c>
    </row>
    <row r="669" spans="1:15" x14ac:dyDescent="0.3">
      <c r="A669" t="s">
        <v>5057</v>
      </c>
      <c r="B669" t="s">
        <v>5058</v>
      </c>
      <c r="C669" t="s">
        <v>457</v>
      </c>
      <c r="D669" t="s">
        <v>5059</v>
      </c>
      <c r="E669" t="s">
        <v>5060</v>
      </c>
      <c r="F669" t="s">
        <v>1841</v>
      </c>
      <c r="G669" t="s">
        <v>5061</v>
      </c>
      <c r="H669" t="s">
        <v>5062</v>
      </c>
      <c r="I669">
        <f t="shared" ca="1" si="40"/>
        <v>35</v>
      </c>
      <c r="J669" t="str">
        <f t="shared" ca="1" si="41"/>
        <v>30-39</v>
      </c>
      <c r="K669">
        <v>70072.81</v>
      </c>
      <c r="L669" t="str">
        <f>IF(Workforce[[#This Row],[Salary]]&lt;50000,"30k-49k",IF(Workforce[[#This Row],[Salary]]&lt;70000,"50k-69k",IF(Workforce[[#This Row],[Salary]]&lt;90000,"70k-89k","90k+")))</f>
        <v>70k-89k</v>
      </c>
      <c r="M669" t="s">
        <v>5063</v>
      </c>
      <c r="N669">
        <f t="shared" ca="1" si="42"/>
        <v>4</v>
      </c>
      <c r="O669" t="str">
        <f t="shared" ca="1" si="43"/>
        <v>Intermediate level</v>
      </c>
    </row>
    <row r="670" spans="1:15" x14ac:dyDescent="0.3">
      <c r="A670" t="s">
        <v>5064</v>
      </c>
      <c r="B670" t="s">
        <v>5065</v>
      </c>
      <c r="C670" t="s">
        <v>61</v>
      </c>
      <c r="D670" t="s">
        <v>5066</v>
      </c>
      <c r="E670" t="s">
        <v>5067</v>
      </c>
      <c r="F670" t="s">
        <v>145</v>
      </c>
      <c r="G670" t="s">
        <v>5068</v>
      </c>
      <c r="H670" t="s">
        <v>5069</v>
      </c>
      <c r="I670">
        <f t="shared" ca="1" si="40"/>
        <v>65</v>
      </c>
      <c r="J670" t="str">
        <f t="shared" ca="1" si="41"/>
        <v>60+</v>
      </c>
      <c r="K670">
        <v>91530.42</v>
      </c>
      <c r="L670" t="str">
        <f>IF(Workforce[[#This Row],[Salary]]&lt;50000,"30k-49k",IF(Workforce[[#This Row],[Salary]]&lt;70000,"50k-69k",IF(Workforce[[#This Row],[Salary]]&lt;90000,"70k-89k","90k+")))</f>
        <v>90k+</v>
      </c>
      <c r="M670" t="s">
        <v>5070</v>
      </c>
      <c r="N670">
        <f t="shared" ca="1" si="42"/>
        <v>5</v>
      </c>
      <c r="O670" t="str">
        <f t="shared" ca="1" si="43"/>
        <v>Intermediate level</v>
      </c>
    </row>
    <row r="671" spans="1:15" x14ac:dyDescent="0.3">
      <c r="A671" t="s">
        <v>5071</v>
      </c>
      <c r="B671" t="s">
        <v>5072</v>
      </c>
      <c r="C671" t="s">
        <v>88</v>
      </c>
      <c r="D671" t="s">
        <v>5073</v>
      </c>
      <c r="E671" t="s">
        <v>5074</v>
      </c>
      <c r="F671" t="s">
        <v>3746</v>
      </c>
      <c r="G671" t="s">
        <v>5075</v>
      </c>
      <c r="H671" t="s">
        <v>5076</v>
      </c>
      <c r="I671">
        <f t="shared" ca="1" si="40"/>
        <v>21</v>
      </c>
      <c r="J671" t="str">
        <f t="shared" ca="1" si="41"/>
        <v>18-29</v>
      </c>
      <c r="K671">
        <v>74304.67</v>
      </c>
      <c r="L671" t="str">
        <f>IF(Workforce[[#This Row],[Salary]]&lt;50000,"30k-49k",IF(Workforce[[#This Row],[Salary]]&lt;70000,"50k-69k",IF(Workforce[[#This Row],[Salary]]&lt;90000,"70k-89k","90k+")))</f>
        <v>70k-89k</v>
      </c>
      <c r="M671" t="s">
        <v>5077</v>
      </c>
      <c r="N671">
        <f t="shared" ca="1" si="42"/>
        <v>10</v>
      </c>
      <c r="O671" t="str">
        <f t="shared" ca="1" si="43"/>
        <v>Senior level</v>
      </c>
    </row>
    <row r="672" spans="1:15" x14ac:dyDescent="0.3">
      <c r="A672" t="s">
        <v>5078</v>
      </c>
      <c r="B672" t="s">
        <v>5079</v>
      </c>
      <c r="C672" t="s">
        <v>17</v>
      </c>
      <c r="D672" t="s">
        <v>5080</v>
      </c>
      <c r="E672" t="s">
        <v>5081</v>
      </c>
      <c r="F672" t="s">
        <v>574</v>
      </c>
      <c r="G672" t="s">
        <v>5082</v>
      </c>
      <c r="H672" t="s">
        <v>5083</v>
      </c>
      <c r="I672">
        <f t="shared" ca="1" si="40"/>
        <v>21</v>
      </c>
      <c r="J672" t="str">
        <f t="shared" ca="1" si="41"/>
        <v>18-29</v>
      </c>
      <c r="K672">
        <v>38458.019999999997</v>
      </c>
      <c r="L672" t="str">
        <f>IF(Workforce[[#This Row],[Salary]]&lt;50000,"30k-49k",IF(Workforce[[#This Row],[Salary]]&lt;70000,"50k-69k",IF(Workforce[[#This Row],[Salary]]&lt;90000,"70k-89k","90k+")))</f>
        <v>30k-49k</v>
      </c>
      <c r="M672" t="s">
        <v>2726</v>
      </c>
      <c r="N672">
        <f t="shared" ca="1" si="42"/>
        <v>10</v>
      </c>
      <c r="O672" t="str">
        <f t="shared" ca="1" si="43"/>
        <v>Senior level</v>
      </c>
    </row>
    <row r="673" spans="1:15" x14ac:dyDescent="0.3">
      <c r="A673" t="s">
        <v>5084</v>
      </c>
      <c r="B673" t="s">
        <v>5085</v>
      </c>
      <c r="C673" t="s">
        <v>580</v>
      </c>
      <c r="D673" t="s">
        <v>5086</v>
      </c>
      <c r="E673" t="s">
        <v>5087</v>
      </c>
      <c r="F673" t="s">
        <v>5088</v>
      </c>
      <c r="G673" t="s">
        <v>5089</v>
      </c>
      <c r="H673" t="s">
        <v>5090</v>
      </c>
      <c r="I673">
        <f t="shared" ca="1" si="40"/>
        <v>39</v>
      </c>
      <c r="J673" t="str">
        <f t="shared" ca="1" si="41"/>
        <v>30-39</v>
      </c>
      <c r="K673">
        <v>80650.67</v>
      </c>
      <c r="L673" t="str">
        <f>IF(Workforce[[#This Row],[Salary]]&lt;50000,"30k-49k",IF(Workforce[[#This Row],[Salary]]&lt;70000,"50k-69k",IF(Workforce[[#This Row],[Salary]]&lt;90000,"70k-89k","90k+")))</f>
        <v>70k-89k</v>
      </c>
      <c r="M673" t="s">
        <v>5091</v>
      </c>
      <c r="N673">
        <f t="shared" ca="1" si="42"/>
        <v>9</v>
      </c>
      <c r="O673" t="str">
        <f t="shared" ca="1" si="43"/>
        <v>Senior level</v>
      </c>
    </row>
    <row r="674" spans="1:15" x14ac:dyDescent="0.3">
      <c r="A674" t="s">
        <v>5092</v>
      </c>
      <c r="B674" t="s">
        <v>5093</v>
      </c>
      <c r="C674" t="s">
        <v>26</v>
      </c>
      <c r="D674" t="s">
        <v>5094</v>
      </c>
      <c r="E674" t="s">
        <v>5095</v>
      </c>
      <c r="F674" t="s">
        <v>1162</v>
      </c>
      <c r="G674" t="s">
        <v>5096</v>
      </c>
      <c r="H674" t="s">
        <v>5097</v>
      </c>
      <c r="I674">
        <f t="shared" ca="1" si="40"/>
        <v>36</v>
      </c>
      <c r="J674" t="str">
        <f t="shared" ca="1" si="41"/>
        <v>30-39</v>
      </c>
      <c r="K674">
        <v>85752.72</v>
      </c>
      <c r="L674" t="str">
        <f>IF(Workforce[[#This Row],[Salary]]&lt;50000,"30k-49k",IF(Workforce[[#This Row],[Salary]]&lt;70000,"50k-69k",IF(Workforce[[#This Row],[Salary]]&lt;90000,"70k-89k","90k+")))</f>
        <v>70k-89k</v>
      </c>
      <c r="M674" t="s">
        <v>5098</v>
      </c>
      <c r="N674">
        <f t="shared" ca="1" si="42"/>
        <v>3</v>
      </c>
      <c r="O674" t="str">
        <f t="shared" ca="1" si="43"/>
        <v>Intermediate level</v>
      </c>
    </row>
    <row r="675" spans="1:15" x14ac:dyDescent="0.3">
      <c r="A675" t="s">
        <v>5099</v>
      </c>
      <c r="B675" t="s">
        <v>5100</v>
      </c>
      <c r="C675" t="s">
        <v>275</v>
      </c>
      <c r="D675" t="s">
        <v>5101</v>
      </c>
      <c r="E675" t="s">
        <v>5102</v>
      </c>
      <c r="F675" t="s">
        <v>5103</v>
      </c>
      <c r="G675" t="s">
        <v>5104</v>
      </c>
      <c r="H675" t="s">
        <v>5105</v>
      </c>
      <c r="I675">
        <f t="shared" ca="1" si="40"/>
        <v>43</v>
      </c>
      <c r="J675" t="str">
        <f t="shared" ca="1" si="41"/>
        <v>40-49</v>
      </c>
      <c r="K675">
        <v>36558.26</v>
      </c>
      <c r="L675" t="str">
        <f>IF(Workforce[[#This Row],[Salary]]&lt;50000,"30k-49k",IF(Workforce[[#This Row],[Salary]]&lt;70000,"50k-69k",IF(Workforce[[#This Row],[Salary]]&lt;90000,"70k-89k","90k+")))</f>
        <v>30k-49k</v>
      </c>
      <c r="M675" t="s">
        <v>5106</v>
      </c>
      <c r="N675">
        <f t="shared" ca="1" si="42"/>
        <v>10</v>
      </c>
      <c r="O675" t="str">
        <f t="shared" ca="1" si="43"/>
        <v>Senior level</v>
      </c>
    </row>
    <row r="676" spans="1:15" x14ac:dyDescent="0.3">
      <c r="A676" t="s">
        <v>5107</v>
      </c>
      <c r="B676" t="s">
        <v>5108</v>
      </c>
      <c r="C676" t="s">
        <v>115</v>
      </c>
      <c r="D676" t="s">
        <v>5109</v>
      </c>
      <c r="E676" t="s">
        <v>5110</v>
      </c>
      <c r="F676" t="s">
        <v>5111</v>
      </c>
      <c r="G676" t="s">
        <v>5112</v>
      </c>
      <c r="H676" t="s">
        <v>5113</v>
      </c>
      <c r="I676">
        <f t="shared" ca="1" si="40"/>
        <v>66</v>
      </c>
      <c r="J676" t="str">
        <f t="shared" ca="1" si="41"/>
        <v>60+</v>
      </c>
      <c r="K676">
        <v>49746.2</v>
      </c>
      <c r="L676" t="str">
        <f>IF(Workforce[[#This Row],[Salary]]&lt;50000,"30k-49k",IF(Workforce[[#This Row],[Salary]]&lt;70000,"50k-69k",IF(Workforce[[#This Row],[Salary]]&lt;90000,"70k-89k","90k+")))</f>
        <v>30k-49k</v>
      </c>
      <c r="M676" t="s">
        <v>5114</v>
      </c>
      <c r="N676">
        <f t="shared" ca="1" si="42"/>
        <v>1</v>
      </c>
      <c r="O676" t="str">
        <f t="shared" ca="1" si="43"/>
        <v>Beginner</v>
      </c>
    </row>
    <row r="677" spans="1:15" x14ac:dyDescent="0.3">
      <c r="A677" t="s">
        <v>5115</v>
      </c>
      <c r="B677" t="s">
        <v>5116</v>
      </c>
      <c r="C677" t="s">
        <v>351</v>
      </c>
      <c r="D677" t="s">
        <v>5117</v>
      </c>
      <c r="E677" t="s">
        <v>5118</v>
      </c>
      <c r="F677" t="s">
        <v>1343</v>
      </c>
      <c r="G677" t="s">
        <v>5119</v>
      </c>
      <c r="H677" t="s">
        <v>5120</v>
      </c>
      <c r="I677">
        <f t="shared" ca="1" si="40"/>
        <v>47</v>
      </c>
      <c r="J677" t="str">
        <f t="shared" ca="1" si="41"/>
        <v>40-49</v>
      </c>
      <c r="K677">
        <v>90401.1</v>
      </c>
      <c r="L677" t="str">
        <f>IF(Workforce[[#This Row],[Salary]]&lt;50000,"30k-49k",IF(Workforce[[#This Row],[Salary]]&lt;70000,"50k-69k",IF(Workforce[[#This Row],[Salary]]&lt;90000,"70k-89k","90k+")))</f>
        <v>90k+</v>
      </c>
      <c r="M677" t="s">
        <v>5121</v>
      </c>
      <c r="N677">
        <f t="shared" ca="1" si="42"/>
        <v>3</v>
      </c>
      <c r="O677" t="str">
        <f t="shared" ca="1" si="43"/>
        <v>Intermediate level</v>
      </c>
    </row>
    <row r="678" spans="1:15" x14ac:dyDescent="0.3">
      <c r="A678" t="s">
        <v>5122</v>
      </c>
      <c r="B678" t="s">
        <v>5123</v>
      </c>
      <c r="C678" t="s">
        <v>213</v>
      </c>
      <c r="D678" t="s">
        <v>5124</v>
      </c>
      <c r="E678" t="s">
        <v>5125</v>
      </c>
      <c r="F678" t="s">
        <v>5126</v>
      </c>
      <c r="G678" t="s">
        <v>5127</v>
      </c>
      <c r="H678" t="s">
        <v>5128</v>
      </c>
      <c r="I678">
        <f t="shared" ca="1" si="40"/>
        <v>51</v>
      </c>
      <c r="J678" t="str">
        <f t="shared" ca="1" si="41"/>
        <v>50-59</v>
      </c>
      <c r="K678">
        <v>62608.97</v>
      </c>
      <c r="L678" t="str">
        <f>IF(Workforce[[#This Row],[Salary]]&lt;50000,"30k-49k",IF(Workforce[[#This Row],[Salary]]&lt;70000,"50k-69k",IF(Workforce[[#This Row],[Salary]]&lt;90000,"70k-89k","90k+")))</f>
        <v>50k-69k</v>
      </c>
      <c r="M678" t="s">
        <v>5129</v>
      </c>
      <c r="N678">
        <f t="shared" ca="1" si="42"/>
        <v>10</v>
      </c>
      <c r="O678" t="str">
        <f t="shared" ca="1" si="43"/>
        <v>Senior level</v>
      </c>
    </row>
    <row r="679" spans="1:15" x14ac:dyDescent="0.3">
      <c r="A679" t="s">
        <v>5130</v>
      </c>
      <c r="B679" t="s">
        <v>5131</v>
      </c>
      <c r="C679" t="s">
        <v>275</v>
      </c>
      <c r="D679" t="s">
        <v>5132</v>
      </c>
      <c r="E679" t="s">
        <v>5133</v>
      </c>
      <c r="F679" t="s">
        <v>5134</v>
      </c>
      <c r="G679" t="s">
        <v>5135</v>
      </c>
      <c r="H679" t="s">
        <v>5136</v>
      </c>
      <c r="I679">
        <f t="shared" ca="1" si="40"/>
        <v>55</v>
      </c>
      <c r="J679" t="str">
        <f t="shared" ca="1" si="41"/>
        <v>50-59</v>
      </c>
      <c r="K679">
        <v>32456.59</v>
      </c>
      <c r="L679" t="str">
        <f>IF(Workforce[[#This Row],[Salary]]&lt;50000,"30k-49k",IF(Workforce[[#This Row],[Salary]]&lt;70000,"50k-69k",IF(Workforce[[#This Row],[Salary]]&lt;90000,"70k-89k","90k+")))</f>
        <v>30k-49k</v>
      </c>
      <c r="M679" t="s">
        <v>5137</v>
      </c>
      <c r="N679">
        <f t="shared" ca="1" si="42"/>
        <v>1</v>
      </c>
      <c r="O679" t="str">
        <f t="shared" ca="1" si="43"/>
        <v>Beginner</v>
      </c>
    </row>
    <row r="680" spans="1:15" x14ac:dyDescent="0.3">
      <c r="A680" t="s">
        <v>5138</v>
      </c>
      <c r="B680" t="s">
        <v>5139</v>
      </c>
      <c r="C680" t="s">
        <v>580</v>
      </c>
      <c r="D680" t="s">
        <v>5140</v>
      </c>
      <c r="E680" t="s">
        <v>5141</v>
      </c>
      <c r="F680" t="s">
        <v>1076</v>
      </c>
      <c r="G680" t="s">
        <v>5142</v>
      </c>
      <c r="H680" t="s">
        <v>5143</v>
      </c>
      <c r="I680">
        <f t="shared" ca="1" si="40"/>
        <v>58</v>
      </c>
      <c r="J680" t="str">
        <f t="shared" ca="1" si="41"/>
        <v>50-59</v>
      </c>
      <c r="K680">
        <v>95190.94</v>
      </c>
      <c r="L680" t="str">
        <f>IF(Workforce[[#This Row],[Salary]]&lt;50000,"30k-49k",IF(Workforce[[#This Row],[Salary]]&lt;70000,"50k-69k",IF(Workforce[[#This Row],[Salary]]&lt;90000,"70k-89k","90k+")))</f>
        <v>90k+</v>
      </c>
      <c r="M680" t="s">
        <v>5144</v>
      </c>
      <c r="N680">
        <f t="shared" ca="1" si="42"/>
        <v>9</v>
      </c>
      <c r="O680" t="str">
        <f t="shared" ca="1" si="43"/>
        <v>Senior level</v>
      </c>
    </row>
    <row r="681" spans="1:15" x14ac:dyDescent="0.3">
      <c r="A681" t="s">
        <v>5145</v>
      </c>
      <c r="B681" t="s">
        <v>5146</v>
      </c>
      <c r="C681" t="s">
        <v>335</v>
      </c>
      <c r="D681" t="s">
        <v>5147</v>
      </c>
      <c r="E681" t="s">
        <v>5148</v>
      </c>
      <c r="F681" t="s">
        <v>2872</v>
      </c>
      <c r="G681" t="s">
        <v>5149</v>
      </c>
      <c r="H681" t="s">
        <v>5150</v>
      </c>
      <c r="I681">
        <f t="shared" ca="1" si="40"/>
        <v>53</v>
      </c>
      <c r="J681" t="str">
        <f t="shared" ca="1" si="41"/>
        <v>50-59</v>
      </c>
      <c r="K681">
        <v>116727.78</v>
      </c>
      <c r="L681" t="str">
        <f>IF(Workforce[[#This Row],[Salary]]&lt;50000,"30k-49k",IF(Workforce[[#This Row],[Salary]]&lt;70000,"50k-69k",IF(Workforce[[#This Row],[Salary]]&lt;90000,"70k-89k","90k+")))</f>
        <v>90k+</v>
      </c>
      <c r="M681" t="s">
        <v>5151</v>
      </c>
      <c r="N681">
        <f t="shared" ca="1" si="42"/>
        <v>0</v>
      </c>
      <c r="O681" t="str">
        <f t="shared" ca="1" si="43"/>
        <v>Beginner</v>
      </c>
    </row>
    <row r="682" spans="1:15" x14ac:dyDescent="0.3">
      <c r="A682" t="s">
        <v>5152</v>
      </c>
      <c r="B682" t="s">
        <v>5153</v>
      </c>
      <c r="C682" t="s">
        <v>240</v>
      </c>
      <c r="D682" t="s">
        <v>5154</v>
      </c>
      <c r="E682" t="s">
        <v>5155</v>
      </c>
      <c r="F682" t="s">
        <v>2983</v>
      </c>
      <c r="G682" t="s">
        <v>5156</v>
      </c>
      <c r="H682" t="s">
        <v>5157</v>
      </c>
      <c r="I682">
        <f t="shared" ca="1" si="40"/>
        <v>20</v>
      </c>
      <c r="J682" t="str">
        <f t="shared" ca="1" si="41"/>
        <v>18-29</v>
      </c>
      <c r="K682">
        <v>99590.59</v>
      </c>
      <c r="L682" t="str">
        <f>IF(Workforce[[#This Row],[Salary]]&lt;50000,"30k-49k",IF(Workforce[[#This Row],[Salary]]&lt;70000,"50k-69k",IF(Workforce[[#This Row],[Salary]]&lt;90000,"70k-89k","90k+")))</f>
        <v>90k+</v>
      </c>
      <c r="M682" t="s">
        <v>1906</v>
      </c>
      <c r="N682">
        <f t="shared" ca="1" si="42"/>
        <v>3</v>
      </c>
      <c r="O682" t="str">
        <f t="shared" ca="1" si="43"/>
        <v>Intermediate level</v>
      </c>
    </row>
    <row r="683" spans="1:15" x14ac:dyDescent="0.3">
      <c r="A683" t="s">
        <v>5158</v>
      </c>
      <c r="B683" t="s">
        <v>5159</v>
      </c>
      <c r="C683" t="s">
        <v>1159</v>
      </c>
      <c r="D683" t="s">
        <v>5160</v>
      </c>
      <c r="E683" t="s">
        <v>5161</v>
      </c>
      <c r="F683" t="s">
        <v>5162</v>
      </c>
      <c r="G683" t="s">
        <v>5163</v>
      </c>
      <c r="H683" t="s">
        <v>5164</v>
      </c>
      <c r="I683">
        <f t="shared" ca="1" si="40"/>
        <v>52</v>
      </c>
      <c r="J683" t="str">
        <f t="shared" ca="1" si="41"/>
        <v>50-59</v>
      </c>
      <c r="K683">
        <v>36711.949999999997</v>
      </c>
      <c r="L683" t="str">
        <f>IF(Workforce[[#This Row],[Salary]]&lt;50000,"30k-49k",IF(Workforce[[#This Row],[Salary]]&lt;70000,"50k-69k",IF(Workforce[[#This Row],[Salary]]&lt;90000,"70k-89k","90k+")))</f>
        <v>30k-49k</v>
      </c>
      <c r="M683" t="s">
        <v>610</v>
      </c>
      <c r="N683">
        <f t="shared" ca="1" si="42"/>
        <v>7</v>
      </c>
      <c r="O683" t="str">
        <f t="shared" ca="1" si="43"/>
        <v>Senior level</v>
      </c>
    </row>
    <row r="684" spans="1:15" x14ac:dyDescent="0.3">
      <c r="A684" t="s">
        <v>5165</v>
      </c>
      <c r="B684" t="s">
        <v>5166</v>
      </c>
      <c r="C684" t="s">
        <v>604</v>
      </c>
      <c r="D684" t="s">
        <v>5167</v>
      </c>
      <c r="E684" t="s">
        <v>5168</v>
      </c>
      <c r="F684" t="s">
        <v>4170</v>
      </c>
      <c r="G684" t="s">
        <v>5169</v>
      </c>
      <c r="H684" t="s">
        <v>5170</v>
      </c>
      <c r="I684">
        <f t="shared" ca="1" si="40"/>
        <v>24</v>
      </c>
      <c r="J684" t="str">
        <f t="shared" ca="1" si="41"/>
        <v>18-29</v>
      </c>
      <c r="K684">
        <v>37806.71</v>
      </c>
      <c r="L684" t="str">
        <f>IF(Workforce[[#This Row],[Salary]]&lt;50000,"30k-49k",IF(Workforce[[#This Row],[Salary]]&lt;70000,"50k-69k",IF(Workforce[[#This Row],[Salary]]&lt;90000,"70k-89k","90k+")))</f>
        <v>30k-49k</v>
      </c>
      <c r="M684" t="s">
        <v>5171</v>
      </c>
      <c r="N684">
        <f t="shared" ca="1" si="42"/>
        <v>4</v>
      </c>
      <c r="O684" t="str">
        <f t="shared" ca="1" si="43"/>
        <v>Intermediate level</v>
      </c>
    </row>
    <row r="685" spans="1:15" x14ac:dyDescent="0.3">
      <c r="A685" t="s">
        <v>5172</v>
      </c>
      <c r="B685" t="s">
        <v>5173</v>
      </c>
      <c r="C685" t="s">
        <v>539</v>
      </c>
      <c r="D685" t="s">
        <v>5174</v>
      </c>
      <c r="E685" t="s">
        <v>5175</v>
      </c>
      <c r="F685" t="s">
        <v>5176</v>
      </c>
      <c r="G685" t="s">
        <v>5177</v>
      </c>
      <c r="H685" t="s">
        <v>5178</v>
      </c>
      <c r="I685">
        <f t="shared" ca="1" si="40"/>
        <v>62</v>
      </c>
      <c r="J685" t="str">
        <f t="shared" ca="1" si="41"/>
        <v>60+</v>
      </c>
      <c r="K685">
        <v>35814.31</v>
      </c>
      <c r="L685" t="str">
        <f>IF(Workforce[[#This Row],[Salary]]&lt;50000,"30k-49k",IF(Workforce[[#This Row],[Salary]]&lt;70000,"50k-69k",IF(Workforce[[#This Row],[Salary]]&lt;90000,"70k-89k","90k+")))</f>
        <v>30k-49k</v>
      </c>
      <c r="M685" t="s">
        <v>5179</v>
      </c>
      <c r="N685">
        <f t="shared" ca="1" si="42"/>
        <v>9</v>
      </c>
      <c r="O685" t="str">
        <f t="shared" ca="1" si="43"/>
        <v>Senior level</v>
      </c>
    </row>
    <row r="686" spans="1:15" x14ac:dyDescent="0.3">
      <c r="A686" t="s">
        <v>5180</v>
      </c>
      <c r="B686" t="s">
        <v>5181</v>
      </c>
      <c r="C686" t="s">
        <v>995</v>
      </c>
      <c r="D686" t="s">
        <v>5182</v>
      </c>
      <c r="E686" t="s">
        <v>5183</v>
      </c>
      <c r="F686" t="s">
        <v>2840</v>
      </c>
      <c r="G686" t="s">
        <v>5184</v>
      </c>
      <c r="H686" t="s">
        <v>5185</v>
      </c>
      <c r="I686">
        <f t="shared" ca="1" si="40"/>
        <v>56</v>
      </c>
      <c r="J686" t="str">
        <f t="shared" ca="1" si="41"/>
        <v>50-59</v>
      </c>
      <c r="K686">
        <v>79665.27</v>
      </c>
      <c r="L686" t="str">
        <f>IF(Workforce[[#This Row],[Salary]]&lt;50000,"30k-49k",IF(Workforce[[#This Row],[Salary]]&lt;70000,"50k-69k",IF(Workforce[[#This Row],[Salary]]&lt;90000,"70k-89k","90k+")))</f>
        <v>70k-89k</v>
      </c>
      <c r="M686" t="s">
        <v>5186</v>
      </c>
      <c r="N686">
        <f t="shared" ca="1" si="42"/>
        <v>10</v>
      </c>
      <c r="O686" t="str">
        <f t="shared" ca="1" si="43"/>
        <v>Senior level</v>
      </c>
    </row>
    <row r="687" spans="1:15" x14ac:dyDescent="0.3">
      <c r="A687" t="s">
        <v>5187</v>
      </c>
      <c r="B687" t="s">
        <v>5188</v>
      </c>
      <c r="C687" t="s">
        <v>142</v>
      </c>
      <c r="D687" t="s">
        <v>5189</v>
      </c>
      <c r="E687" t="s">
        <v>5190</v>
      </c>
      <c r="F687" t="s">
        <v>5191</v>
      </c>
      <c r="G687" t="s">
        <v>5192</v>
      </c>
      <c r="H687" t="s">
        <v>5193</v>
      </c>
      <c r="I687">
        <f t="shared" ca="1" si="40"/>
        <v>49</v>
      </c>
      <c r="J687" t="str">
        <f t="shared" ca="1" si="41"/>
        <v>40-49</v>
      </c>
      <c r="K687">
        <v>50868.160000000003</v>
      </c>
      <c r="L687" t="str">
        <f>IF(Workforce[[#This Row],[Salary]]&lt;50000,"30k-49k",IF(Workforce[[#This Row],[Salary]]&lt;70000,"50k-69k",IF(Workforce[[#This Row],[Salary]]&lt;90000,"70k-89k","90k+")))</f>
        <v>50k-69k</v>
      </c>
      <c r="M687" t="s">
        <v>5194</v>
      </c>
      <c r="N687">
        <f t="shared" ca="1" si="42"/>
        <v>3</v>
      </c>
      <c r="O687" t="str">
        <f t="shared" ca="1" si="43"/>
        <v>Intermediate level</v>
      </c>
    </row>
    <row r="688" spans="1:15" x14ac:dyDescent="0.3">
      <c r="A688" t="s">
        <v>5195</v>
      </c>
      <c r="B688" t="s">
        <v>5196</v>
      </c>
      <c r="C688" t="s">
        <v>61</v>
      </c>
      <c r="D688" t="s">
        <v>5197</v>
      </c>
      <c r="E688" t="s">
        <v>5198</v>
      </c>
      <c r="F688" t="s">
        <v>4625</v>
      </c>
      <c r="G688" t="s">
        <v>5199</v>
      </c>
      <c r="H688" t="s">
        <v>5200</v>
      </c>
      <c r="I688">
        <f t="shared" ca="1" si="40"/>
        <v>65</v>
      </c>
      <c r="J688" t="str">
        <f t="shared" ca="1" si="41"/>
        <v>60+</v>
      </c>
      <c r="K688">
        <v>59951.199999999997</v>
      </c>
      <c r="L688" t="str">
        <f>IF(Workforce[[#This Row],[Salary]]&lt;50000,"30k-49k",IF(Workforce[[#This Row],[Salary]]&lt;70000,"50k-69k",IF(Workforce[[#This Row],[Salary]]&lt;90000,"70k-89k","90k+")))</f>
        <v>50k-69k</v>
      </c>
      <c r="M688" t="s">
        <v>5201</v>
      </c>
      <c r="N688">
        <f t="shared" ca="1" si="42"/>
        <v>7</v>
      </c>
      <c r="O688" t="str">
        <f t="shared" ca="1" si="43"/>
        <v>Senior level</v>
      </c>
    </row>
    <row r="689" spans="1:15" x14ac:dyDescent="0.3">
      <c r="A689" t="s">
        <v>5202</v>
      </c>
      <c r="B689" t="s">
        <v>5203</v>
      </c>
      <c r="C689" t="s">
        <v>351</v>
      </c>
      <c r="D689" t="s">
        <v>5204</v>
      </c>
      <c r="E689" t="s">
        <v>5205</v>
      </c>
      <c r="F689" t="s">
        <v>5206</v>
      </c>
      <c r="G689" t="s">
        <v>5207</v>
      </c>
      <c r="H689" t="s">
        <v>5208</v>
      </c>
      <c r="I689">
        <f t="shared" ca="1" si="40"/>
        <v>40</v>
      </c>
      <c r="J689" t="str">
        <f t="shared" ca="1" si="41"/>
        <v>40-49</v>
      </c>
      <c r="K689">
        <v>117994.17</v>
      </c>
      <c r="L689" t="str">
        <f>IF(Workforce[[#This Row],[Salary]]&lt;50000,"30k-49k",IF(Workforce[[#This Row],[Salary]]&lt;70000,"50k-69k",IF(Workforce[[#This Row],[Salary]]&lt;90000,"70k-89k","90k+")))</f>
        <v>90k+</v>
      </c>
      <c r="M689" t="s">
        <v>5209</v>
      </c>
      <c r="N689">
        <f t="shared" ca="1" si="42"/>
        <v>5</v>
      </c>
      <c r="O689" t="str">
        <f t="shared" ca="1" si="43"/>
        <v>Intermediate level</v>
      </c>
    </row>
    <row r="690" spans="1:15" x14ac:dyDescent="0.3">
      <c r="A690" t="s">
        <v>5210</v>
      </c>
      <c r="B690" t="s">
        <v>5211</v>
      </c>
      <c r="C690" t="s">
        <v>539</v>
      </c>
      <c r="D690" t="s">
        <v>5212</v>
      </c>
      <c r="E690" t="s">
        <v>5213</v>
      </c>
      <c r="F690" t="s">
        <v>5214</v>
      </c>
      <c r="G690" t="s">
        <v>5215</v>
      </c>
      <c r="H690" t="s">
        <v>5216</v>
      </c>
      <c r="I690">
        <f t="shared" ca="1" si="40"/>
        <v>47</v>
      </c>
      <c r="J690" t="str">
        <f t="shared" ca="1" si="41"/>
        <v>40-49</v>
      </c>
      <c r="K690">
        <v>53845.599999999999</v>
      </c>
      <c r="L690" t="str">
        <f>IF(Workforce[[#This Row],[Salary]]&lt;50000,"30k-49k",IF(Workforce[[#This Row],[Salary]]&lt;70000,"50k-69k",IF(Workforce[[#This Row],[Salary]]&lt;90000,"70k-89k","90k+")))</f>
        <v>50k-69k</v>
      </c>
      <c r="M690" t="s">
        <v>5217</v>
      </c>
      <c r="N690">
        <f t="shared" ca="1" si="42"/>
        <v>8</v>
      </c>
      <c r="O690" t="str">
        <f t="shared" ca="1" si="43"/>
        <v>Senior level</v>
      </c>
    </row>
    <row r="691" spans="1:15" x14ac:dyDescent="0.3">
      <c r="A691" t="s">
        <v>5218</v>
      </c>
      <c r="B691" t="s">
        <v>5219</v>
      </c>
      <c r="C691" t="s">
        <v>604</v>
      </c>
      <c r="D691" t="s">
        <v>5220</v>
      </c>
      <c r="E691" t="s">
        <v>5221</v>
      </c>
      <c r="F691" t="s">
        <v>5222</v>
      </c>
      <c r="G691" t="s">
        <v>5223</v>
      </c>
      <c r="H691" t="s">
        <v>5224</v>
      </c>
      <c r="I691">
        <f t="shared" ca="1" si="40"/>
        <v>52</v>
      </c>
      <c r="J691" t="str">
        <f t="shared" ca="1" si="41"/>
        <v>50-59</v>
      </c>
      <c r="K691">
        <v>106229.23</v>
      </c>
      <c r="L691" t="str">
        <f>IF(Workforce[[#This Row],[Salary]]&lt;50000,"30k-49k",IF(Workforce[[#This Row],[Salary]]&lt;70000,"50k-69k",IF(Workforce[[#This Row],[Salary]]&lt;90000,"70k-89k","90k+")))</f>
        <v>90k+</v>
      </c>
      <c r="M691" t="s">
        <v>5225</v>
      </c>
      <c r="N691">
        <f t="shared" ca="1" si="42"/>
        <v>1</v>
      </c>
      <c r="O691" t="str">
        <f t="shared" ca="1" si="43"/>
        <v>Beginner</v>
      </c>
    </row>
    <row r="692" spans="1:15" x14ac:dyDescent="0.3">
      <c r="A692" t="s">
        <v>5226</v>
      </c>
      <c r="B692" t="s">
        <v>5227</v>
      </c>
      <c r="C692" t="s">
        <v>88</v>
      </c>
      <c r="D692" t="s">
        <v>5228</v>
      </c>
      <c r="E692" t="s">
        <v>5229</v>
      </c>
      <c r="F692" t="s">
        <v>1704</v>
      </c>
      <c r="G692" t="s">
        <v>5230</v>
      </c>
      <c r="H692" t="s">
        <v>2097</v>
      </c>
      <c r="I692">
        <f t="shared" ca="1" si="40"/>
        <v>47</v>
      </c>
      <c r="J692" t="str">
        <f t="shared" ca="1" si="41"/>
        <v>40-49</v>
      </c>
      <c r="K692">
        <v>57778.23</v>
      </c>
      <c r="L692" t="str">
        <f>IF(Workforce[[#This Row],[Salary]]&lt;50000,"30k-49k",IF(Workforce[[#This Row],[Salary]]&lt;70000,"50k-69k",IF(Workforce[[#This Row],[Salary]]&lt;90000,"70k-89k","90k+")))</f>
        <v>50k-69k</v>
      </c>
      <c r="M692" t="s">
        <v>5231</v>
      </c>
      <c r="N692">
        <f t="shared" ca="1" si="42"/>
        <v>4</v>
      </c>
      <c r="O692" t="str">
        <f t="shared" ca="1" si="43"/>
        <v>Intermediate level</v>
      </c>
    </row>
    <row r="693" spans="1:15" x14ac:dyDescent="0.3">
      <c r="A693" t="s">
        <v>5232</v>
      </c>
      <c r="B693" t="s">
        <v>5233</v>
      </c>
      <c r="C693" t="s">
        <v>1043</v>
      </c>
      <c r="D693" t="s">
        <v>5234</v>
      </c>
      <c r="E693" t="s">
        <v>5235</v>
      </c>
      <c r="F693" t="s">
        <v>1927</v>
      </c>
      <c r="G693" t="s">
        <v>5236</v>
      </c>
      <c r="H693" t="s">
        <v>5237</v>
      </c>
      <c r="I693">
        <f t="shared" ca="1" si="40"/>
        <v>33</v>
      </c>
      <c r="J693" t="str">
        <f t="shared" ca="1" si="41"/>
        <v>30-39</v>
      </c>
      <c r="K693">
        <v>107176.62</v>
      </c>
      <c r="L693" t="str">
        <f>IF(Workforce[[#This Row],[Salary]]&lt;50000,"30k-49k",IF(Workforce[[#This Row],[Salary]]&lt;70000,"50k-69k",IF(Workforce[[#This Row],[Salary]]&lt;90000,"70k-89k","90k+")))</f>
        <v>90k+</v>
      </c>
      <c r="M693" t="s">
        <v>5238</v>
      </c>
      <c r="N693">
        <f t="shared" ca="1" si="42"/>
        <v>8</v>
      </c>
      <c r="O693" t="str">
        <f t="shared" ca="1" si="43"/>
        <v>Senior level</v>
      </c>
    </row>
    <row r="694" spans="1:15" x14ac:dyDescent="0.3">
      <c r="A694" t="s">
        <v>5239</v>
      </c>
      <c r="B694" t="s">
        <v>5240</v>
      </c>
      <c r="C694" t="s">
        <v>79</v>
      </c>
      <c r="D694" t="s">
        <v>5241</v>
      </c>
      <c r="E694" t="s">
        <v>5242</v>
      </c>
      <c r="F694" t="s">
        <v>5243</v>
      </c>
      <c r="G694" t="s">
        <v>5244</v>
      </c>
      <c r="H694" t="s">
        <v>5245</v>
      </c>
      <c r="I694">
        <f t="shared" ca="1" si="40"/>
        <v>39</v>
      </c>
      <c r="J694" t="str">
        <f t="shared" ca="1" si="41"/>
        <v>30-39</v>
      </c>
      <c r="K694">
        <v>44512.33</v>
      </c>
      <c r="L694" t="str">
        <f>IF(Workforce[[#This Row],[Salary]]&lt;50000,"30k-49k",IF(Workforce[[#This Row],[Salary]]&lt;70000,"50k-69k",IF(Workforce[[#This Row],[Salary]]&lt;90000,"70k-89k","90k+")))</f>
        <v>30k-49k</v>
      </c>
      <c r="M694" t="s">
        <v>5246</v>
      </c>
      <c r="N694">
        <f t="shared" ca="1" si="42"/>
        <v>6</v>
      </c>
      <c r="O694" t="str">
        <f t="shared" ca="1" si="43"/>
        <v>Intermediate level</v>
      </c>
    </row>
    <row r="695" spans="1:15" x14ac:dyDescent="0.3">
      <c r="A695" t="s">
        <v>5247</v>
      </c>
      <c r="B695" t="s">
        <v>5248</v>
      </c>
      <c r="C695" t="s">
        <v>580</v>
      </c>
      <c r="D695" t="s">
        <v>5249</v>
      </c>
      <c r="E695" t="s">
        <v>5250</v>
      </c>
      <c r="F695" t="s">
        <v>1841</v>
      </c>
      <c r="G695" t="s">
        <v>5251</v>
      </c>
      <c r="H695" t="s">
        <v>5252</v>
      </c>
      <c r="I695">
        <f t="shared" ca="1" si="40"/>
        <v>49</v>
      </c>
      <c r="J695" t="str">
        <f t="shared" ca="1" si="41"/>
        <v>40-49</v>
      </c>
      <c r="K695">
        <v>83865.39</v>
      </c>
      <c r="L695" t="str">
        <f>IF(Workforce[[#This Row],[Salary]]&lt;50000,"30k-49k",IF(Workforce[[#This Row],[Salary]]&lt;70000,"50k-69k",IF(Workforce[[#This Row],[Salary]]&lt;90000,"70k-89k","90k+")))</f>
        <v>70k-89k</v>
      </c>
      <c r="M695" t="s">
        <v>5253</v>
      </c>
      <c r="N695">
        <f t="shared" ca="1" si="42"/>
        <v>2</v>
      </c>
      <c r="O695" t="str">
        <f t="shared" ca="1" si="43"/>
        <v>Beginner</v>
      </c>
    </row>
    <row r="696" spans="1:15" x14ac:dyDescent="0.3">
      <c r="A696" t="s">
        <v>5254</v>
      </c>
      <c r="B696" t="s">
        <v>5255</v>
      </c>
      <c r="C696" t="s">
        <v>400</v>
      </c>
      <c r="D696" t="s">
        <v>5256</v>
      </c>
      <c r="E696" t="s">
        <v>5257</v>
      </c>
      <c r="F696" t="s">
        <v>1265</v>
      </c>
      <c r="G696" t="s">
        <v>5258</v>
      </c>
      <c r="H696" t="s">
        <v>5259</v>
      </c>
      <c r="I696">
        <f t="shared" ca="1" si="40"/>
        <v>38</v>
      </c>
      <c r="J696" t="str">
        <f t="shared" ca="1" si="41"/>
        <v>30-39</v>
      </c>
      <c r="K696">
        <v>107050.52</v>
      </c>
      <c r="L696" t="str">
        <f>IF(Workforce[[#This Row],[Salary]]&lt;50000,"30k-49k",IF(Workforce[[#This Row],[Salary]]&lt;70000,"50k-69k",IF(Workforce[[#This Row],[Salary]]&lt;90000,"70k-89k","90k+")))</f>
        <v>90k+</v>
      </c>
      <c r="M696" t="s">
        <v>5260</v>
      </c>
      <c r="N696">
        <f t="shared" ca="1" si="42"/>
        <v>10</v>
      </c>
      <c r="O696" t="str">
        <f t="shared" ca="1" si="43"/>
        <v>Senior level</v>
      </c>
    </row>
    <row r="697" spans="1:15" x14ac:dyDescent="0.3">
      <c r="A697" t="s">
        <v>5261</v>
      </c>
      <c r="B697" t="s">
        <v>5262</v>
      </c>
      <c r="C697" t="s">
        <v>1223</v>
      </c>
      <c r="D697" t="s">
        <v>5263</v>
      </c>
      <c r="E697" t="s">
        <v>5264</v>
      </c>
      <c r="F697" t="s">
        <v>1226</v>
      </c>
      <c r="G697" t="s">
        <v>5265</v>
      </c>
      <c r="H697" t="s">
        <v>5266</v>
      </c>
      <c r="I697">
        <f t="shared" ca="1" si="40"/>
        <v>48</v>
      </c>
      <c r="J697" t="str">
        <f t="shared" ca="1" si="41"/>
        <v>40-49</v>
      </c>
      <c r="K697">
        <v>70945.759999999995</v>
      </c>
      <c r="L697" t="str">
        <f>IF(Workforce[[#This Row],[Salary]]&lt;50000,"30k-49k",IF(Workforce[[#This Row],[Salary]]&lt;70000,"50k-69k",IF(Workforce[[#This Row],[Salary]]&lt;90000,"70k-89k","90k+")))</f>
        <v>70k-89k</v>
      </c>
      <c r="M697" t="s">
        <v>5267</v>
      </c>
      <c r="N697">
        <f t="shared" ca="1" si="42"/>
        <v>9</v>
      </c>
      <c r="O697" t="str">
        <f t="shared" ca="1" si="43"/>
        <v>Senior level</v>
      </c>
    </row>
    <row r="698" spans="1:15" x14ac:dyDescent="0.3">
      <c r="A698" t="s">
        <v>5268</v>
      </c>
      <c r="B698" t="s">
        <v>5269</v>
      </c>
      <c r="C698" t="s">
        <v>17</v>
      </c>
      <c r="D698" t="s">
        <v>5270</v>
      </c>
      <c r="E698" t="s">
        <v>5271</v>
      </c>
      <c r="F698" t="s">
        <v>2953</v>
      </c>
      <c r="G698" t="s">
        <v>5272</v>
      </c>
      <c r="H698" t="s">
        <v>5273</v>
      </c>
      <c r="I698">
        <f t="shared" ca="1" si="40"/>
        <v>36</v>
      </c>
      <c r="J698" t="str">
        <f t="shared" ca="1" si="41"/>
        <v>30-39</v>
      </c>
      <c r="K698">
        <v>86794.12</v>
      </c>
      <c r="L698" t="str">
        <f>IF(Workforce[[#This Row],[Salary]]&lt;50000,"30k-49k",IF(Workforce[[#This Row],[Salary]]&lt;70000,"50k-69k",IF(Workforce[[#This Row],[Salary]]&lt;90000,"70k-89k","90k+")))</f>
        <v>70k-89k</v>
      </c>
      <c r="M698" t="s">
        <v>5274</v>
      </c>
      <c r="N698">
        <f t="shared" ca="1" si="42"/>
        <v>7</v>
      </c>
      <c r="O698" t="str">
        <f t="shared" ca="1" si="43"/>
        <v>Senior level</v>
      </c>
    </row>
    <row r="699" spans="1:15" x14ac:dyDescent="0.3">
      <c r="A699" t="s">
        <v>5275</v>
      </c>
      <c r="B699" t="s">
        <v>5276</v>
      </c>
      <c r="C699" t="s">
        <v>196</v>
      </c>
      <c r="D699" t="s">
        <v>5277</v>
      </c>
      <c r="E699" t="s">
        <v>5278</v>
      </c>
      <c r="F699" t="s">
        <v>4305</v>
      </c>
      <c r="G699" t="s">
        <v>5279</v>
      </c>
      <c r="H699" t="s">
        <v>5280</v>
      </c>
      <c r="I699">
        <f t="shared" ca="1" si="40"/>
        <v>18</v>
      </c>
      <c r="J699" t="str">
        <f t="shared" ca="1" si="41"/>
        <v>18-29</v>
      </c>
      <c r="K699">
        <v>103557.91</v>
      </c>
      <c r="L699" t="str">
        <f>IF(Workforce[[#This Row],[Salary]]&lt;50000,"30k-49k",IF(Workforce[[#This Row],[Salary]]&lt;70000,"50k-69k",IF(Workforce[[#This Row],[Salary]]&lt;90000,"70k-89k","90k+")))</f>
        <v>90k+</v>
      </c>
      <c r="M699" t="s">
        <v>5281</v>
      </c>
      <c r="N699">
        <f t="shared" ca="1" si="42"/>
        <v>8</v>
      </c>
      <c r="O699" t="str">
        <f t="shared" ca="1" si="43"/>
        <v>Senior level</v>
      </c>
    </row>
    <row r="700" spans="1:15" x14ac:dyDescent="0.3">
      <c r="A700" t="s">
        <v>5282</v>
      </c>
      <c r="B700" t="s">
        <v>5283</v>
      </c>
      <c r="C700" t="s">
        <v>160</v>
      </c>
      <c r="D700" t="s">
        <v>5284</v>
      </c>
      <c r="E700" t="s">
        <v>5285</v>
      </c>
      <c r="F700" t="s">
        <v>2036</v>
      </c>
      <c r="G700" t="s">
        <v>5286</v>
      </c>
      <c r="H700" t="s">
        <v>5287</v>
      </c>
      <c r="I700">
        <f t="shared" ca="1" si="40"/>
        <v>25</v>
      </c>
      <c r="J700" t="str">
        <f t="shared" ca="1" si="41"/>
        <v>18-29</v>
      </c>
      <c r="K700">
        <v>83421.41</v>
      </c>
      <c r="L700" t="str">
        <f>IF(Workforce[[#This Row],[Salary]]&lt;50000,"30k-49k",IF(Workforce[[#This Row],[Salary]]&lt;70000,"50k-69k",IF(Workforce[[#This Row],[Salary]]&lt;90000,"70k-89k","90k+")))</f>
        <v>70k-89k</v>
      </c>
      <c r="M700" t="s">
        <v>5288</v>
      </c>
      <c r="N700">
        <f t="shared" ca="1" si="42"/>
        <v>9</v>
      </c>
      <c r="O700" t="str">
        <f t="shared" ca="1" si="43"/>
        <v>Senior level</v>
      </c>
    </row>
    <row r="701" spans="1:15" x14ac:dyDescent="0.3">
      <c r="A701" t="s">
        <v>5289</v>
      </c>
      <c r="B701" t="s">
        <v>5290</v>
      </c>
      <c r="C701" t="s">
        <v>266</v>
      </c>
      <c r="D701" t="s">
        <v>5291</v>
      </c>
      <c r="E701" t="s">
        <v>5292</v>
      </c>
      <c r="F701" t="s">
        <v>5293</v>
      </c>
      <c r="G701" t="s">
        <v>5294</v>
      </c>
      <c r="H701" t="s">
        <v>5295</v>
      </c>
      <c r="I701">
        <f t="shared" ca="1" si="40"/>
        <v>40</v>
      </c>
      <c r="J701" t="str">
        <f t="shared" ca="1" si="41"/>
        <v>40-49</v>
      </c>
      <c r="K701">
        <v>96306</v>
      </c>
      <c r="L701" t="str">
        <f>IF(Workforce[[#This Row],[Salary]]&lt;50000,"30k-49k",IF(Workforce[[#This Row],[Salary]]&lt;70000,"50k-69k",IF(Workforce[[#This Row],[Salary]]&lt;90000,"70k-89k","90k+")))</f>
        <v>90k+</v>
      </c>
      <c r="M701" t="s">
        <v>5296</v>
      </c>
      <c r="N701">
        <f t="shared" ca="1" si="42"/>
        <v>3</v>
      </c>
      <c r="O701" t="str">
        <f t="shared" ca="1" si="43"/>
        <v>Intermediate level</v>
      </c>
    </row>
    <row r="702" spans="1:15" x14ac:dyDescent="0.3">
      <c r="A702" t="s">
        <v>5297</v>
      </c>
      <c r="B702" t="s">
        <v>5298</v>
      </c>
      <c r="C702" t="s">
        <v>257</v>
      </c>
      <c r="D702" t="s">
        <v>5299</v>
      </c>
      <c r="E702" t="s">
        <v>5300</v>
      </c>
      <c r="F702" t="s">
        <v>278</v>
      </c>
      <c r="G702" t="s">
        <v>5301</v>
      </c>
      <c r="H702" t="s">
        <v>5302</v>
      </c>
      <c r="I702">
        <f t="shared" ca="1" si="40"/>
        <v>55</v>
      </c>
      <c r="J702" t="str">
        <f t="shared" ca="1" si="41"/>
        <v>50-59</v>
      </c>
      <c r="K702">
        <v>59803.13</v>
      </c>
      <c r="L702" t="str">
        <f>IF(Workforce[[#This Row],[Salary]]&lt;50000,"30k-49k",IF(Workforce[[#This Row],[Salary]]&lt;70000,"50k-69k",IF(Workforce[[#This Row],[Salary]]&lt;90000,"70k-89k","90k+")))</f>
        <v>50k-69k</v>
      </c>
      <c r="M702" t="s">
        <v>4729</v>
      </c>
      <c r="N702">
        <f t="shared" ca="1" si="42"/>
        <v>3</v>
      </c>
      <c r="O702" t="str">
        <f t="shared" ca="1" si="43"/>
        <v>Intermediate level</v>
      </c>
    </row>
    <row r="703" spans="1:15" x14ac:dyDescent="0.3">
      <c r="A703" t="s">
        <v>5303</v>
      </c>
      <c r="B703" t="s">
        <v>5304</v>
      </c>
      <c r="C703" t="s">
        <v>844</v>
      </c>
      <c r="D703" t="s">
        <v>5305</v>
      </c>
      <c r="E703" t="s">
        <v>5306</v>
      </c>
      <c r="F703" t="s">
        <v>5307</v>
      </c>
      <c r="G703" t="s">
        <v>5308</v>
      </c>
      <c r="H703" t="s">
        <v>5309</v>
      </c>
      <c r="I703">
        <f t="shared" ca="1" si="40"/>
        <v>32</v>
      </c>
      <c r="J703" t="str">
        <f t="shared" ca="1" si="41"/>
        <v>30-39</v>
      </c>
      <c r="K703">
        <v>65010.33</v>
      </c>
      <c r="L703" t="str">
        <f>IF(Workforce[[#This Row],[Salary]]&lt;50000,"30k-49k",IF(Workforce[[#This Row],[Salary]]&lt;70000,"50k-69k",IF(Workforce[[#This Row],[Salary]]&lt;90000,"70k-89k","90k+")))</f>
        <v>50k-69k</v>
      </c>
      <c r="M703" t="s">
        <v>5310</v>
      </c>
      <c r="N703">
        <f t="shared" ca="1" si="42"/>
        <v>3</v>
      </c>
      <c r="O703" t="str">
        <f t="shared" ca="1" si="43"/>
        <v>Intermediate level</v>
      </c>
    </row>
    <row r="704" spans="1:15" x14ac:dyDescent="0.3">
      <c r="A704" t="s">
        <v>5311</v>
      </c>
      <c r="B704" t="s">
        <v>5312</v>
      </c>
      <c r="C704" t="s">
        <v>196</v>
      </c>
      <c r="D704" t="s">
        <v>5313</v>
      </c>
      <c r="E704" t="s">
        <v>5314</v>
      </c>
      <c r="F704" t="s">
        <v>3753</v>
      </c>
      <c r="G704" t="s">
        <v>5315</v>
      </c>
      <c r="H704" t="s">
        <v>5316</v>
      </c>
      <c r="I704">
        <f t="shared" ca="1" si="40"/>
        <v>52</v>
      </c>
      <c r="J704" t="str">
        <f t="shared" ca="1" si="41"/>
        <v>50-59</v>
      </c>
      <c r="K704">
        <v>49234.39</v>
      </c>
      <c r="L704" t="str">
        <f>IF(Workforce[[#This Row],[Salary]]&lt;50000,"30k-49k",IF(Workforce[[#This Row],[Salary]]&lt;70000,"50k-69k",IF(Workforce[[#This Row],[Salary]]&lt;90000,"70k-89k","90k+")))</f>
        <v>30k-49k</v>
      </c>
      <c r="M704" t="s">
        <v>5317</v>
      </c>
      <c r="N704">
        <f t="shared" ca="1" si="42"/>
        <v>6</v>
      </c>
      <c r="O704" t="str">
        <f t="shared" ca="1" si="43"/>
        <v>Intermediate level</v>
      </c>
    </row>
    <row r="705" spans="1:15" x14ac:dyDescent="0.3">
      <c r="A705" t="s">
        <v>5318</v>
      </c>
      <c r="B705" t="s">
        <v>5319</v>
      </c>
      <c r="C705" t="s">
        <v>213</v>
      </c>
      <c r="D705" t="s">
        <v>5320</v>
      </c>
      <c r="E705" t="s">
        <v>5321</v>
      </c>
      <c r="F705" t="s">
        <v>5322</v>
      </c>
      <c r="G705" t="s">
        <v>5323</v>
      </c>
      <c r="H705" t="s">
        <v>5324</v>
      </c>
      <c r="I705">
        <f t="shared" ca="1" si="40"/>
        <v>60</v>
      </c>
      <c r="J705" t="str">
        <f t="shared" ca="1" si="41"/>
        <v>60+</v>
      </c>
      <c r="K705">
        <v>88763.47</v>
      </c>
      <c r="L705" t="str">
        <f>IF(Workforce[[#This Row],[Salary]]&lt;50000,"30k-49k",IF(Workforce[[#This Row],[Salary]]&lt;70000,"50k-69k",IF(Workforce[[#This Row],[Salary]]&lt;90000,"70k-89k","90k+")))</f>
        <v>70k-89k</v>
      </c>
      <c r="M705" t="s">
        <v>5325</v>
      </c>
      <c r="N705">
        <f t="shared" ca="1" si="42"/>
        <v>3</v>
      </c>
      <c r="O705" t="str">
        <f t="shared" ca="1" si="43"/>
        <v>Intermediate level</v>
      </c>
    </row>
    <row r="706" spans="1:15" x14ac:dyDescent="0.3">
      <c r="A706" t="s">
        <v>5326</v>
      </c>
      <c r="B706" t="s">
        <v>5327</v>
      </c>
      <c r="C706" t="s">
        <v>178</v>
      </c>
      <c r="D706" t="s">
        <v>5328</v>
      </c>
      <c r="E706" t="s">
        <v>5329</v>
      </c>
      <c r="F706" t="s">
        <v>5330</v>
      </c>
      <c r="G706" t="s">
        <v>5331</v>
      </c>
      <c r="H706" t="s">
        <v>5332</v>
      </c>
      <c r="I706">
        <f t="shared" ref="I706:I769" ca="1" si="44">DATEDIF(H706,TODAY(),"y")</f>
        <v>27</v>
      </c>
      <c r="J706" t="str">
        <f t="shared" ref="J706:J769" ca="1" si="45">IF(I706&lt;30,"18-29",IF(I706&lt;40,"30-39",IF(I706&lt;50,"40-49",IF(I706&lt;60,"50-59","60+"))))</f>
        <v>18-29</v>
      </c>
      <c r="K706">
        <v>59807.82</v>
      </c>
      <c r="L706" t="str">
        <f>IF(Workforce[[#This Row],[Salary]]&lt;50000,"30k-49k",IF(Workforce[[#This Row],[Salary]]&lt;70000,"50k-69k",IF(Workforce[[#This Row],[Salary]]&lt;90000,"70k-89k","90k+")))</f>
        <v>50k-69k</v>
      </c>
      <c r="M706" t="s">
        <v>5333</v>
      </c>
      <c r="N706">
        <f t="shared" ref="N706:N769" ca="1" si="46">DATEDIF(M706,TODAY(),"y")</f>
        <v>10</v>
      </c>
      <c r="O706" t="str">
        <f t="shared" ref="O706:O769" ca="1" si="47">IF(N706&lt;=2,"Beginner",IF(N706&lt;=6,"Intermediate level","Senior level"))</f>
        <v>Senior level</v>
      </c>
    </row>
    <row r="707" spans="1:15" x14ac:dyDescent="0.3">
      <c r="A707" t="s">
        <v>5334</v>
      </c>
      <c r="B707" t="s">
        <v>5335</v>
      </c>
      <c r="C707" t="s">
        <v>1004</v>
      </c>
      <c r="D707" t="s">
        <v>5336</v>
      </c>
      <c r="E707" t="s">
        <v>5337</v>
      </c>
      <c r="F707" t="s">
        <v>710</v>
      </c>
      <c r="G707" t="s">
        <v>5338</v>
      </c>
      <c r="H707" t="s">
        <v>5339</v>
      </c>
      <c r="I707">
        <f t="shared" ca="1" si="44"/>
        <v>33</v>
      </c>
      <c r="J707" t="str">
        <f t="shared" ca="1" si="45"/>
        <v>30-39</v>
      </c>
      <c r="K707">
        <v>72609.83</v>
      </c>
      <c r="L707" t="str">
        <f>IF(Workforce[[#This Row],[Salary]]&lt;50000,"30k-49k",IF(Workforce[[#This Row],[Salary]]&lt;70000,"50k-69k",IF(Workforce[[#This Row],[Salary]]&lt;90000,"70k-89k","90k+")))</f>
        <v>70k-89k</v>
      </c>
      <c r="M707" t="s">
        <v>5340</v>
      </c>
      <c r="N707">
        <f t="shared" ca="1" si="46"/>
        <v>4</v>
      </c>
      <c r="O707" t="str">
        <f t="shared" ca="1" si="47"/>
        <v>Intermediate level</v>
      </c>
    </row>
    <row r="708" spans="1:15" x14ac:dyDescent="0.3">
      <c r="A708" t="s">
        <v>5341</v>
      </c>
      <c r="B708" t="s">
        <v>5342</v>
      </c>
      <c r="C708" t="s">
        <v>79</v>
      </c>
      <c r="D708" t="s">
        <v>5343</v>
      </c>
      <c r="E708" t="s">
        <v>5344</v>
      </c>
      <c r="F708" t="s">
        <v>5345</v>
      </c>
      <c r="G708" t="s">
        <v>5346</v>
      </c>
      <c r="H708" t="s">
        <v>5347</v>
      </c>
      <c r="I708">
        <f t="shared" ca="1" si="44"/>
        <v>44</v>
      </c>
      <c r="J708" t="str">
        <f t="shared" ca="1" si="45"/>
        <v>40-49</v>
      </c>
      <c r="K708">
        <v>81874.23</v>
      </c>
      <c r="L708" t="str">
        <f>IF(Workforce[[#This Row],[Salary]]&lt;50000,"30k-49k",IF(Workforce[[#This Row],[Salary]]&lt;70000,"50k-69k",IF(Workforce[[#This Row],[Salary]]&lt;90000,"70k-89k","90k+")))</f>
        <v>70k-89k</v>
      </c>
      <c r="M708" t="s">
        <v>5348</v>
      </c>
      <c r="N708">
        <f t="shared" ca="1" si="46"/>
        <v>1</v>
      </c>
      <c r="O708" t="str">
        <f t="shared" ca="1" si="47"/>
        <v>Beginner</v>
      </c>
    </row>
    <row r="709" spans="1:15" x14ac:dyDescent="0.3">
      <c r="A709" t="s">
        <v>5349</v>
      </c>
      <c r="B709" t="s">
        <v>5350</v>
      </c>
      <c r="C709" t="s">
        <v>88</v>
      </c>
      <c r="D709" t="s">
        <v>5351</v>
      </c>
      <c r="E709" t="s">
        <v>5352</v>
      </c>
      <c r="F709" t="s">
        <v>1131</v>
      </c>
      <c r="G709" t="s">
        <v>5353</v>
      </c>
      <c r="H709" t="s">
        <v>5354</v>
      </c>
      <c r="I709">
        <f t="shared" ca="1" si="44"/>
        <v>51</v>
      </c>
      <c r="J709" t="str">
        <f t="shared" ca="1" si="45"/>
        <v>50-59</v>
      </c>
      <c r="K709">
        <v>112237.47</v>
      </c>
      <c r="L709" t="str">
        <f>IF(Workforce[[#This Row],[Salary]]&lt;50000,"30k-49k",IF(Workforce[[#This Row],[Salary]]&lt;70000,"50k-69k",IF(Workforce[[#This Row],[Salary]]&lt;90000,"70k-89k","90k+")))</f>
        <v>90k+</v>
      </c>
      <c r="M709" t="s">
        <v>1899</v>
      </c>
      <c r="N709">
        <f t="shared" ca="1" si="46"/>
        <v>4</v>
      </c>
      <c r="O709" t="str">
        <f t="shared" ca="1" si="47"/>
        <v>Intermediate level</v>
      </c>
    </row>
    <row r="710" spans="1:15" x14ac:dyDescent="0.3">
      <c r="A710" t="s">
        <v>5355</v>
      </c>
      <c r="B710" t="s">
        <v>5356</v>
      </c>
      <c r="C710" t="s">
        <v>169</v>
      </c>
      <c r="D710" t="s">
        <v>5357</v>
      </c>
      <c r="E710" t="s">
        <v>5358</v>
      </c>
      <c r="F710" t="s">
        <v>4843</v>
      </c>
      <c r="G710" t="s">
        <v>5359</v>
      </c>
      <c r="H710" t="s">
        <v>5360</v>
      </c>
      <c r="I710">
        <f t="shared" ca="1" si="44"/>
        <v>27</v>
      </c>
      <c r="J710" t="str">
        <f t="shared" ca="1" si="45"/>
        <v>18-29</v>
      </c>
      <c r="K710">
        <v>67541.929999999993</v>
      </c>
      <c r="L710" t="str">
        <f>IF(Workforce[[#This Row],[Salary]]&lt;50000,"30k-49k",IF(Workforce[[#This Row],[Salary]]&lt;70000,"50k-69k",IF(Workforce[[#This Row],[Salary]]&lt;90000,"70k-89k","90k+")))</f>
        <v>50k-69k</v>
      </c>
      <c r="M710" t="s">
        <v>4390</v>
      </c>
      <c r="N710">
        <f t="shared" ca="1" si="46"/>
        <v>5</v>
      </c>
      <c r="O710" t="str">
        <f t="shared" ca="1" si="47"/>
        <v>Intermediate level</v>
      </c>
    </row>
    <row r="711" spans="1:15" x14ac:dyDescent="0.3">
      <c r="A711" t="s">
        <v>5361</v>
      </c>
      <c r="B711" t="s">
        <v>5362</v>
      </c>
      <c r="C711" t="s">
        <v>335</v>
      </c>
      <c r="D711" t="s">
        <v>5363</v>
      </c>
      <c r="E711" t="s">
        <v>5364</v>
      </c>
      <c r="F711" t="s">
        <v>5365</v>
      </c>
      <c r="G711" t="s">
        <v>5366</v>
      </c>
      <c r="H711" t="s">
        <v>5367</v>
      </c>
      <c r="I711">
        <f t="shared" ca="1" si="44"/>
        <v>40</v>
      </c>
      <c r="J711" t="str">
        <f t="shared" ca="1" si="45"/>
        <v>40-49</v>
      </c>
      <c r="K711">
        <v>54366.96</v>
      </c>
      <c r="L711" t="str">
        <f>IF(Workforce[[#This Row],[Salary]]&lt;50000,"30k-49k",IF(Workforce[[#This Row],[Salary]]&lt;70000,"50k-69k",IF(Workforce[[#This Row],[Salary]]&lt;90000,"70k-89k","90k+")))</f>
        <v>50k-69k</v>
      </c>
      <c r="M711" t="s">
        <v>5368</v>
      </c>
      <c r="N711">
        <f t="shared" ca="1" si="46"/>
        <v>5</v>
      </c>
      <c r="O711" t="str">
        <f t="shared" ca="1" si="47"/>
        <v>Intermediate level</v>
      </c>
    </row>
    <row r="712" spans="1:15" x14ac:dyDescent="0.3">
      <c r="A712" t="s">
        <v>5369</v>
      </c>
      <c r="B712" t="s">
        <v>5370</v>
      </c>
      <c r="C712" t="s">
        <v>196</v>
      </c>
      <c r="D712" t="s">
        <v>5371</v>
      </c>
      <c r="E712" t="s">
        <v>5372</v>
      </c>
      <c r="F712" t="s">
        <v>2162</v>
      </c>
      <c r="G712" t="s">
        <v>4372</v>
      </c>
      <c r="H712" t="s">
        <v>5373</v>
      </c>
      <c r="I712">
        <f t="shared" ca="1" si="44"/>
        <v>47</v>
      </c>
      <c r="J712" t="str">
        <f t="shared" ca="1" si="45"/>
        <v>40-49</v>
      </c>
      <c r="K712">
        <v>79442.210000000006</v>
      </c>
      <c r="L712" t="str">
        <f>IF(Workforce[[#This Row],[Salary]]&lt;50000,"30k-49k",IF(Workforce[[#This Row],[Salary]]&lt;70000,"50k-69k",IF(Workforce[[#This Row],[Salary]]&lt;90000,"70k-89k","90k+")))</f>
        <v>70k-89k</v>
      </c>
      <c r="M712" t="s">
        <v>5374</v>
      </c>
      <c r="N712">
        <f t="shared" ca="1" si="46"/>
        <v>2</v>
      </c>
      <c r="O712" t="str">
        <f t="shared" ca="1" si="47"/>
        <v>Beginner</v>
      </c>
    </row>
    <row r="713" spans="1:15" x14ac:dyDescent="0.3">
      <c r="A713" t="s">
        <v>5375</v>
      </c>
      <c r="B713" t="s">
        <v>5376</v>
      </c>
      <c r="C713" t="s">
        <v>580</v>
      </c>
      <c r="D713" t="s">
        <v>5377</v>
      </c>
      <c r="E713" t="s">
        <v>5378</v>
      </c>
      <c r="F713" t="s">
        <v>5379</v>
      </c>
      <c r="G713" t="s">
        <v>5380</v>
      </c>
      <c r="H713" t="s">
        <v>5381</v>
      </c>
      <c r="I713">
        <f t="shared" ca="1" si="44"/>
        <v>35</v>
      </c>
      <c r="J713" t="str">
        <f t="shared" ca="1" si="45"/>
        <v>30-39</v>
      </c>
      <c r="K713">
        <v>76186.880000000005</v>
      </c>
      <c r="L713" t="str">
        <f>IF(Workforce[[#This Row],[Salary]]&lt;50000,"30k-49k",IF(Workforce[[#This Row],[Salary]]&lt;70000,"50k-69k",IF(Workforce[[#This Row],[Salary]]&lt;90000,"70k-89k","90k+")))</f>
        <v>70k-89k</v>
      </c>
      <c r="M713" t="s">
        <v>5382</v>
      </c>
      <c r="N713">
        <f t="shared" ca="1" si="46"/>
        <v>6</v>
      </c>
      <c r="O713" t="str">
        <f t="shared" ca="1" si="47"/>
        <v>Intermediate level</v>
      </c>
    </row>
    <row r="714" spans="1:15" x14ac:dyDescent="0.3">
      <c r="A714" t="s">
        <v>5383</v>
      </c>
      <c r="B714" t="s">
        <v>5384</v>
      </c>
      <c r="C714" t="s">
        <v>178</v>
      </c>
      <c r="D714" t="s">
        <v>5385</v>
      </c>
      <c r="E714" t="s">
        <v>5386</v>
      </c>
      <c r="F714" t="s">
        <v>1525</v>
      </c>
      <c r="G714" t="s">
        <v>5387</v>
      </c>
      <c r="H714" t="s">
        <v>5388</v>
      </c>
      <c r="I714">
        <f t="shared" ca="1" si="44"/>
        <v>45</v>
      </c>
      <c r="J714" t="str">
        <f t="shared" ca="1" si="45"/>
        <v>40-49</v>
      </c>
      <c r="K714">
        <v>87953.32</v>
      </c>
      <c r="L714" t="str">
        <f>IF(Workforce[[#This Row],[Salary]]&lt;50000,"30k-49k",IF(Workforce[[#This Row],[Salary]]&lt;70000,"50k-69k",IF(Workforce[[#This Row],[Salary]]&lt;90000,"70k-89k","90k+")))</f>
        <v>70k-89k</v>
      </c>
      <c r="M714" t="s">
        <v>5389</v>
      </c>
      <c r="N714">
        <f t="shared" ca="1" si="46"/>
        <v>9</v>
      </c>
      <c r="O714" t="str">
        <f t="shared" ca="1" si="47"/>
        <v>Senior level</v>
      </c>
    </row>
    <row r="715" spans="1:15" x14ac:dyDescent="0.3">
      <c r="A715" t="s">
        <v>5390</v>
      </c>
      <c r="B715" t="s">
        <v>5391</v>
      </c>
      <c r="C715" t="s">
        <v>275</v>
      </c>
      <c r="D715" t="s">
        <v>5392</v>
      </c>
      <c r="E715" t="s">
        <v>5393</v>
      </c>
      <c r="F715" t="s">
        <v>5394</v>
      </c>
      <c r="G715" t="s">
        <v>5395</v>
      </c>
      <c r="H715" t="s">
        <v>5396</v>
      </c>
      <c r="I715">
        <f t="shared" ca="1" si="44"/>
        <v>19</v>
      </c>
      <c r="J715" t="str">
        <f t="shared" ca="1" si="45"/>
        <v>18-29</v>
      </c>
      <c r="K715">
        <v>78426.87</v>
      </c>
      <c r="L715" t="str">
        <f>IF(Workforce[[#This Row],[Salary]]&lt;50000,"30k-49k",IF(Workforce[[#This Row],[Salary]]&lt;70000,"50k-69k",IF(Workforce[[#This Row],[Salary]]&lt;90000,"70k-89k","90k+")))</f>
        <v>70k-89k</v>
      </c>
      <c r="M715" t="s">
        <v>5397</v>
      </c>
      <c r="N715">
        <f t="shared" ca="1" si="46"/>
        <v>2</v>
      </c>
      <c r="O715" t="str">
        <f t="shared" ca="1" si="47"/>
        <v>Beginner</v>
      </c>
    </row>
    <row r="716" spans="1:15" x14ac:dyDescent="0.3">
      <c r="A716" t="s">
        <v>5398</v>
      </c>
      <c r="B716" t="s">
        <v>5399</v>
      </c>
      <c r="C716" t="s">
        <v>400</v>
      </c>
      <c r="D716" t="s">
        <v>5400</v>
      </c>
      <c r="E716" t="s">
        <v>5401</v>
      </c>
      <c r="F716" t="s">
        <v>4321</v>
      </c>
      <c r="G716" t="s">
        <v>5402</v>
      </c>
      <c r="H716" t="s">
        <v>5403</v>
      </c>
      <c r="I716">
        <f t="shared" ca="1" si="44"/>
        <v>35</v>
      </c>
      <c r="J716" t="str">
        <f t="shared" ca="1" si="45"/>
        <v>30-39</v>
      </c>
      <c r="K716">
        <v>84935.24</v>
      </c>
      <c r="L716" t="str">
        <f>IF(Workforce[[#This Row],[Salary]]&lt;50000,"30k-49k",IF(Workforce[[#This Row],[Salary]]&lt;70000,"50k-69k",IF(Workforce[[#This Row],[Salary]]&lt;90000,"70k-89k","90k+")))</f>
        <v>70k-89k</v>
      </c>
      <c r="M716" t="s">
        <v>5404</v>
      </c>
      <c r="N716">
        <f t="shared" ca="1" si="46"/>
        <v>8</v>
      </c>
      <c r="O716" t="str">
        <f t="shared" ca="1" si="47"/>
        <v>Senior level</v>
      </c>
    </row>
    <row r="717" spans="1:15" x14ac:dyDescent="0.3">
      <c r="A717" t="s">
        <v>5405</v>
      </c>
      <c r="B717" t="s">
        <v>5406</v>
      </c>
      <c r="C717" t="s">
        <v>1223</v>
      </c>
      <c r="D717" t="s">
        <v>5407</v>
      </c>
      <c r="E717" t="s">
        <v>5408</v>
      </c>
      <c r="F717" t="s">
        <v>2239</v>
      </c>
      <c r="G717" t="s">
        <v>5409</v>
      </c>
      <c r="H717" t="s">
        <v>5410</v>
      </c>
      <c r="I717">
        <f t="shared" ca="1" si="44"/>
        <v>55</v>
      </c>
      <c r="J717" t="str">
        <f t="shared" ca="1" si="45"/>
        <v>50-59</v>
      </c>
      <c r="K717">
        <v>105197.2</v>
      </c>
      <c r="L717" t="str">
        <f>IF(Workforce[[#This Row],[Salary]]&lt;50000,"30k-49k",IF(Workforce[[#This Row],[Salary]]&lt;70000,"50k-69k",IF(Workforce[[#This Row],[Salary]]&lt;90000,"70k-89k","90k+")))</f>
        <v>90k+</v>
      </c>
      <c r="M717" t="s">
        <v>5411</v>
      </c>
      <c r="N717">
        <f t="shared" ca="1" si="46"/>
        <v>3</v>
      </c>
      <c r="O717" t="str">
        <f t="shared" ca="1" si="47"/>
        <v>Intermediate level</v>
      </c>
    </row>
    <row r="718" spans="1:15" x14ac:dyDescent="0.3">
      <c r="A718" t="s">
        <v>5412</v>
      </c>
      <c r="B718" t="s">
        <v>5413</v>
      </c>
      <c r="C718" t="s">
        <v>115</v>
      </c>
      <c r="D718" t="s">
        <v>5414</v>
      </c>
      <c r="E718" t="s">
        <v>5415</v>
      </c>
      <c r="F718" t="s">
        <v>5416</v>
      </c>
      <c r="G718" t="s">
        <v>5417</v>
      </c>
      <c r="H718" t="s">
        <v>5418</v>
      </c>
      <c r="I718">
        <f t="shared" ca="1" si="44"/>
        <v>53</v>
      </c>
      <c r="J718" t="str">
        <f t="shared" ca="1" si="45"/>
        <v>50-59</v>
      </c>
      <c r="K718">
        <v>74826.679999999993</v>
      </c>
      <c r="L718" t="str">
        <f>IF(Workforce[[#This Row],[Salary]]&lt;50000,"30k-49k",IF(Workforce[[#This Row],[Salary]]&lt;70000,"50k-69k",IF(Workforce[[#This Row],[Salary]]&lt;90000,"70k-89k","90k+")))</f>
        <v>70k-89k</v>
      </c>
      <c r="M718" t="s">
        <v>5419</v>
      </c>
      <c r="N718">
        <f t="shared" ca="1" si="46"/>
        <v>3</v>
      </c>
      <c r="O718" t="str">
        <f t="shared" ca="1" si="47"/>
        <v>Intermediate level</v>
      </c>
    </row>
    <row r="719" spans="1:15" x14ac:dyDescent="0.3">
      <c r="A719" t="s">
        <v>5420</v>
      </c>
      <c r="B719" t="s">
        <v>5421</v>
      </c>
      <c r="C719" t="s">
        <v>604</v>
      </c>
      <c r="D719" t="s">
        <v>5422</v>
      </c>
      <c r="E719" t="s">
        <v>5423</v>
      </c>
      <c r="F719" t="s">
        <v>5424</v>
      </c>
      <c r="G719" t="s">
        <v>5425</v>
      </c>
      <c r="H719" t="s">
        <v>5426</v>
      </c>
      <c r="I719">
        <f t="shared" ca="1" si="44"/>
        <v>19</v>
      </c>
      <c r="J719" t="str">
        <f t="shared" ca="1" si="45"/>
        <v>18-29</v>
      </c>
      <c r="K719">
        <v>69521.83</v>
      </c>
      <c r="L719" t="str">
        <f>IF(Workforce[[#This Row],[Salary]]&lt;50000,"30k-49k",IF(Workforce[[#This Row],[Salary]]&lt;70000,"50k-69k",IF(Workforce[[#This Row],[Salary]]&lt;90000,"70k-89k","90k+")))</f>
        <v>50k-69k</v>
      </c>
      <c r="M719" t="s">
        <v>5427</v>
      </c>
      <c r="N719">
        <f t="shared" ca="1" si="46"/>
        <v>10</v>
      </c>
      <c r="O719" t="str">
        <f t="shared" ca="1" si="47"/>
        <v>Senior level</v>
      </c>
    </row>
    <row r="720" spans="1:15" x14ac:dyDescent="0.3">
      <c r="A720" t="s">
        <v>5428</v>
      </c>
      <c r="B720" t="s">
        <v>5429</v>
      </c>
      <c r="C720" t="s">
        <v>457</v>
      </c>
      <c r="D720" t="s">
        <v>5430</v>
      </c>
      <c r="E720" t="s">
        <v>5431</v>
      </c>
      <c r="F720" t="s">
        <v>5432</v>
      </c>
      <c r="G720" t="s">
        <v>5433</v>
      </c>
      <c r="H720" t="s">
        <v>5434</v>
      </c>
      <c r="I720">
        <f t="shared" ca="1" si="44"/>
        <v>28</v>
      </c>
      <c r="J720" t="str">
        <f t="shared" ca="1" si="45"/>
        <v>18-29</v>
      </c>
      <c r="K720">
        <v>96352.41</v>
      </c>
      <c r="L720" t="str">
        <f>IF(Workforce[[#This Row],[Salary]]&lt;50000,"30k-49k",IF(Workforce[[#This Row],[Salary]]&lt;70000,"50k-69k",IF(Workforce[[#This Row],[Salary]]&lt;90000,"70k-89k","90k+")))</f>
        <v>90k+</v>
      </c>
      <c r="M720" t="s">
        <v>1376</v>
      </c>
      <c r="N720">
        <f t="shared" ca="1" si="46"/>
        <v>7</v>
      </c>
      <c r="O720" t="str">
        <f t="shared" ca="1" si="47"/>
        <v>Senior level</v>
      </c>
    </row>
    <row r="721" spans="1:15" x14ac:dyDescent="0.3">
      <c r="A721" t="s">
        <v>5435</v>
      </c>
      <c r="B721" t="s">
        <v>5436</v>
      </c>
      <c r="C721" t="s">
        <v>604</v>
      </c>
      <c r="D721" t="s">
        <v>5437</v>
      </c>
      <c r="E721" t="s">
        <v>5438</v>
      </c>
      <c r="F721" t="s">
        <v>5439</v>
      </c>
      <c r="G721" t="s">
        <v>5440</v>
      </c>
      <c r="H721" t="s">
        <v>5441</v>
      </c>
      <c r="I721">
        <f t="shared" ca="1" si="44"/>
        <v>40</v>
      </c>
      <c r="J721" t="str">
        <f t="shared" ca="1" si="45"/>
        <v>40-49</v>
      </c>
      <c r="K721">
        <v>112411.9</v>
      </c>
      <c r="L721" t="str">
        <f>IF(Workforce[[#This Row],[Salary]]&lt;50000,"30k-49k",IF(Workforce[[#This Row],[Salary]]&lt;70000,"50k-69k",IF(Workforce[[#This Row],[Salary]]&lt;90000,"70k-89k","90k+")))</f>
        <v>90k+</v>
      </c>
      <c r="M721" t="s">
        <v>771</v>
      </c>
      <c r="N721">
        <f t="shared" ca="1" si="46"/>
        <v>9</v>
      </c>
      <c r="O721" t="str">
        <f t="shared" ca="1" si="47"/>
        <v>Senior level</v>
      </c>
    </row>
    <row r="722" spans="1:15" x14ac:dyDescent="0.3">
      <c r="A722" t="s">
        <v>5442</v>
      </c>
      <c r="B722" t="s">
        <v>5443</v>
      </c>
      <c r="C722" t="s">
        <v>748</v>
      </c>
      <c r="D722" t="s">
        <v>5444</v>
      </c>
      <c r="E722" t="s">
        <v>5445</v>
      </c>
      <c r="F722" t="s">
        <v>2953</v>
      </c>
      <c r="G722" t="s">
        <v>5446</v>
      </c>
      <c r="H722" t="s">
        <v>5447</v>
      </c>
      <c r="I722">
        <f t="shared" ca="1" si="44"/>
        <v>55</v>
      </c>
      <c r="J722" t="str">
        <f t="shared" ca="1" si="45"/>
        <v>50-59</v>
      </c>
      <c r="K722">
        <v>31934.28</v>
      </c>
      <c r="L722" t="str">
        <f>IF(Workforce[[#This Row],[Salary]]&lt;50000,"30k-49k",IF(Workforce[[#This Row],[Salary]]&lt;70000,"50k-69k",IF(Workforce[[#This Row],[Salary]]&lt;90000,"70k-89k","90k+")))</f>
        <v>30k-49k</v>
      </c>
      <c r="M722" t="s">
        <v>3764</v>
      </c>
      <c r="N722">
        <f t="shared" ca="1" si="46"/>
        <v>2</v>
      </c>
      <c r="O722" t="str">
        <f t="shared" ca="1" si="47"/>
        <v>Beginner</v>
      </c>
    </row>
    <row r="723" spans="1:15" x14ac:dyDescent="0.3">
      <c r="A723" t="s">
        <v>5448</v>
      </c>
      <c r="B723" t="s">
        <v>5449</v>
      </c>
      <c r="C723" t="s">
        <v>151</v>
      </c>
      <c r="D723" t="s">
        <v>5450</v>
      </c>
      <c r="E723" t="s">
        <v>5451</v>
      </c>
      <c r="F723" t="s">
        <v>2901</v>
      </c>
      <c r="G723" t="s">
        <v>5452</v>
      </c>
      <c r="H723" t="s">
        <v>5453</v>
      </c>
      <c r="I723">
        <f t="shared" ca="1" si="44"/>
        <v>40</v>
      </c>
      <c r="J723" t="str">
        <f t="shared" ca="1" si="45"/>
        <v>40-49</v>
      </c>
      <c r="K723">
        <v>88929.04</v>
      </c>
      <c r="L723" t="str">
        <f>IF(Workforce[[#This Row],[Salary]]&lt;50000,"30k-49k",IF(Workforce[[#This Row],[Salary]]&lt;70000,"50k-69k",IF(Workforce[[#This Row],[Salary]]&lt;90000,"70k-89k","90k+")))</f>
        <v>70k-89k</v>
      </c>
      <c r="M723" t="s">
        <v>1079</v>
      </c>
      <c r="N723">
        <f t="shared" ca="1" si="46"/>
        <v>10</v>
      </c>
      <c r="O723" t="str">
        <f t="shared" ca="1" si="47"/>
        <v>Senior level</v>
      </c>
    </row>
    <row r="724" spans="1:15" x14ac:dyDescent="0.3">
      <c r="A724" t="s">
        <v>5454</v>
      </c>
      <c r="B724" t="s">
        <v>5455</v>
      </c>
      <c r="C724" t="s">
        <v>196</v>
      </c>
      <c r="D724" t="s">
        <v>5456</v>
      </c>
      <c r="E724" t="s">
        <v>5457</v>
      </c>
      <c r="F724" t="s">
        <v>5293</v>
      </c>
      <c r="G724" t="s">
        <v>5458</v>
      </c>
      <c r="H724" t="s">
        <v>5459</v>
      </c>
      <c r="I724">
        <f t="shared" ca="1" si="44"/>
        <v>64</v>
      </c>
      <c r="J724" t="str">
        <f t="shared" ca="1" si="45"/>
        <v>60+</v>
      </c>
      <c r="K724">
        <v>100699.83</v>
      </c>
      <c r="L724" t="str">
        <f>IF(Workforce[[#This Row],[Salary]]&lt;50000,"30k-49k",IF(Workforce[[#This Row],[Salary]]&lt;70000,"50k-69k",IF(Workforce[[#This Row],[Salary]]&lt;90000,"70k-89k","90k+")))</f>
        <v>90k+</v>
      </c>
      <c r="M724" t="s">
        <v>4419</v>
      </c>
      <c r="N724">
        <f t="shared" ca="1" si="46"/>
        <v>4</v>
      </c>
      <c r="O724" t="str">
        <f t="shared" ca="1" si="47"/>
        <v>Intermediate level</v>
      </c>
    </row>
    <row r="725" spans="1:15" x14ac:dyDescent="0.3">
      <c r="A725" t="s">
        <v>5318</v>
      </c>
      <c r="B725" t="s">
        <v>5460</v>
      </c>
      <c r="C725" t="s">
        <v>240</v>
      </c>
      <c r="D725" t="s">
        <v>5461</v>
      </c>
      <c r="E725" t="s">
        <v>5462</v>
      </c>
      <c r="F725" t="s">
        <v>726</v>
      </c>
      <c r="G725" t="s">
        <v>5463</v>
      </c>
      <c r="H725" t="s">
        <v>5464</v>
      </c>
      <c r="I725">
        <f t="shared" ca="1" si="44"/>
        <v>43</v>
      </c>
      <c r="J725" t="str">
        <f t="shared" ca="1" si="45"/>
        <v>40-49</v>
      </c>
      <c r="K725">
        <v>79030.09</v>
      </c>
      <c r="L725" t="str">
        <f>IF(Workforce[[#This Row],[Salary]]&lt;50000,"30k-49k",IF(Workforce[[#This Row],[Salary]]&lt;70000,"50k-69k",IF(Workforce[[#This Row],[Salary]]&lt;90000,"70k-89k","90k+")))</f>
        <v>70k-89k</v>
      </c>
      <c r="M725" t="s">
        <v>5465</v>
      </c>
      <c r="N725">
        <f t="shared" ca="1" si="46"/>
        <v>7</v>
      </c>
      <c r="O725" t="str">
        <f t="shared" ca="1" si="47"/>
        <v>Senior level</v>
      </c>
    </row>
    <row r="726" spans="1:15" x14ac:dyDescent="0.3">
      <c r="A726" t="s">
        <v>5466</v>
      </c>
      <c r="B726" t="s">
        <v>5467</v>
      </c>
      <c r="C726" t="s">
        <v>178</v>
      </c>
      <c r="D726" t="s">
        <v>5468</v>
      </c>
      <c r="E726" t="s">
        <v>5469</v>
      </c>
      <c r="F726" t="s">
        <v>871</v>
      </c>
      <c r="G726" t="s">
        <v>5470</v>
      </c>
      <c r="H726" t="s">
        <v>5471</v>
      </c>
      <c r="I726">
        <f t="shared" ca="1" si="44"/>
        <v>46</v>
      </c>
      <c r="J726" t="str">
        <f t="shared" ca="1" si="45"/>
        <v>40-49</v>
      </c>
      <c r="K726">
        <v>84071.66</v>
      </c>
      <c r="L726" t="str">
        <f>IF(Workforce[[#This Row],[Salary]]&lt;50000,"30k-49k",IF(Workforce[[#This Row],[Salary]]&lt;70000,"50k-69k",IF(Workforce[[#This Row],[Salary]]&lt;90000,"70k-89k","90k+")))</f>
        <v>70k-89k</v>
      </c>
      <c r="M726" t="s">
        <v>5472</v>
      </c>
      <c r="N726">
        <f t="shared" ca="1" si="46"/>
        <v>7</v>
      </c>
      <c r="O726" t="str">
        <f t="shared" ca="1" si="47"/>
        <v>Senior level</v>
      </c>
    </row>
    <row r="727" spans="1:15" x14ac:dyDescent="0.3">
      <c r="A727" t="s">
        <v>5473</v>
      </c>
      <c r="B727" t="s">
        <v>5474</v>
      </c>
      <c r="C727" t="s">
        <v>580</v>
      </c>
      <c r="D727" t="s">
        <v>5475</v>
      </c>
      <c r="E727" t="s">
        <v>5476</v>
      </c>
      <c r="F727" t="s">
        <v>5477</v>
      </c>
      <c r="G727" t="s">
        <v>5478</v>
      </c>
      <c r="H727" t="s">
        <v>5479</v>
      </c>
      <c r="I727">
        <f t="shared" ca="1" si="44"/>
        <v>34</v>
      </c>
      <c r="J727" t="str">
        <f t="shared" ca="1" si="45"/>
        <v>30-39</v>
      </c>
      <c r="K727">
        <v>87749.09</v>
      </c>
      <c r="L727" t="str">
        <f>IF(Workforce[[#This Row],[Salary]]&lt;50000,"30k-49k",IF(Workforce[[#This Row],[Salary]]&lt;70000,"50k-69k",IF(Workforce[[#This Row],[Salary]]&lt;90000,"70k-89k","90k+")))</f>
        <v>70k-89k</v>
      </c>
      <c r="M727" t="s">
        <v>5480</v>
      </c>
      <c r="N727">
        <f t="shared" ca="1" si="46"/>
        <v>1</v>
      </c>
      <c r="O727" t="str">
        <f t="shared" ca="1" si="47"/>
        <v>Beginner</v>
      </c>
    </row>
    <row r="728" spans="1:15" x14ac:dyDescent="0.3">
      <c r="A728" t="s">
        <v>5481</v>
      </c>
      <c r="B728" t="s">
        <v>5482</v>
      </c>
      <c r="C728" t="s">
        <v>774</v>
      </c>
      <c r="D728" t="s">
        <v>5483</v>
      </c>
      <c r="E728" t="s">
        <v>5484</v>
      </c>
      <c r="F728" t="s">
        <v>5485</v>
      </c>
      <c r="G728" t="s">
        <v>5486</v>
      </c>
      <c r="H728" t="s">
        <v>5487</v>
      </c>
      <c r="I728">
        <f t="shared" ca="1" si="44"/>
        <v>35</v>
      </c>
      <c r="J728" t="str">
        <f t="shared" ca="1" si="45"/>
        <v>30-39</v>
      </c>
      <c r="K728">
        <v>49204.82</v>
      </c>
      <c r="L728" t="str">
        <f>IF(Workforce[[#This Row],[Salary]]&lt;50000,"30k-49k",IF(Workforce[[#This Row],[Salary]]&lt;70000,"50k-69k",IF(Workforce[[#This Row],[Salary]]&lt;90000,"70k-89k","90k+")))</f>
        <v>30k-49k</v>
      </c>
      <c r="M728" t="s">
        <v>5488</v>
      </c>
      <c r="N728">
        <f t="shared" ca="1" si="46"/>
        <v>7</v>
      </c>
      <c r="O728" t="str">
        <f t="shared" ca="1" si="47"/>
        <v>Senior level</v>
      </c>
    </row>
    <row r="729" spans="1:15" x14ac:dyDescent="0.3">
      <c r="A729" t="s">
        <v>5489</v>
      </c>
      <c r="B729" t="s">
        <v>5490</v>
      </c>
      <c r="C729" t="s">
        <v>539</v>
      </c>
      <c r="D729" t="s">
        <v>5491</v>
      </c>
      <c r="E729" t="s">
        <v>5492</v>
      </c>
      <c r="F729" t="s">
        <v>5493</v>
      </c>
      <c r="G729" t="s">
        <v>5494</v>
      </c>
      <c r="H729" t="s">
        <v>5495</v>
      </c>
      <c r="I729">
        <f t="shared" ca="1" si="44"/>
        <v>43</v>
      </c>
      <c r="J729" t="str">
        <f t="shared" ca="1" si="45"/>
        <v>40-49</v>
      </c>
      <c r="K729">
        <v>89006.56</v>
      </c>
      <c r="L729" t="str">
        <f>IF(Workforce[[#This Row],[Salary]]&lt;50000,"30k-49k",IF(Workforce[[#This Row],[Salary]]&lt;70000,"50k-69k",IF(Workforce[[#This Row],[Salary]]&lt;90000,"70k-89k","90k+")))</f>
        <v>70k-89k</v>
      </c>
      <c r="M729" t="s">
        <v>5496</v>
      </c>
      <c r="N729">
        <f t="shared" ca="1" si="46"/>
        <v>6</v>
      </c>
      <c r="O729" t="str">
        <f t="shared" ca="1" si="47"/>
        <v>Intermediate level</v>
      </c>
    </row>
    <row r="730" spans="1:15" x14ac:dyDescent="0.3">
      <c r="A730" t="s">
        <v>5497</v>
      </c>
      <c r="B730" t="s">
        <v>5498</v>
      </c>
      <c r="C730" t="s">
        <v>178</v>
      </c>
      <c r="D730" t="s">
        <v>5499</v>
      </c>
      <c r="E730" t="s">
        <v>5500</v>
      </c>
      <c r="F730" t="s">
        <v>5501</v>
      </c>
      <c r="G730" t="s">
        <v>5502</v>
      </c>
      <c r="H730" t="s">
        <v>5503</v>
      </c>
      <c r="I730">
        <f t="shared" ca="1" si="44"/>
        <v>31</v>
      </c>
      <c r="J730" t="str">
        <f t="shared" ca="1" si="45"/>
        <v>30-39</v>
      </c>
      <c r="K730">
        <v>59134.8</v>
      </c>
      <c r="L730" t="str">
        <f>IF(Workforce[[#This Row],[Salary]]&lt;50000,"30k-49k",IF(Workforce[[#This Row],[Salary]]&lt;70000,"50k-69k",IF(Workforce[[#This Row],[Salary]]&lt;90000,"70k-89k","90k+")))</f>
        <v>50k-69k</v>
      </c>
      <c r="M730" t="s">
        <v>5504</v>
      </c>
      <c r="N730">
        <f t="shared" ca="1" si="46"/>
        <v>7</v>
      </c>
      <c r="O730" t="str">
        <f t="shared" ca="1" si="47"/>
        <v>Senior level</v>
      </c>
    </row>
    <row r="731" spans="1:15" x14ac:dyDescent="0.3">
      <c r="A731" t="s">
        <v>5505</v>
      </c>
      <c r="B731" t="s">
        <v>5506</v>
      </c>
      <c r="C731" t="s">
        <v>88</v>
      </c>
      <c r="D731" t="s">
        <v>5507</v>
      </c>
      <c r="E731" t="s">
        <v>5508</v>
      </c>
      <c r="F731" t="s">
        <v>1366</v>
      </c>
      <c r="G731" t="s">
        <v>5509</v>
      </c>
      <c r="H731" t="s">
        <v>5510</v>
      </c>
      <c r="I731">
        <f t="shared" ca="1" si="44"/>
        <v>57</v>
      </c>
      <c r="J731" t="str">
        <f t="shared" ca="1" si="45"/>
        <v>50-59</v>
      </c>
      <c r="K731">
        <v>56020.69</v>
      </c>
      <c r="L731" t="str">
        <f>IF(Workforce[[#This Row],[Salary]]&lt;50000,"30k-49k",IF(Workforce[[#This Row],[Salary]]&lt;70000,"50k-69k",IF(Workforce[[#This Row],[Salary]]&lt;90000,"70k-89k","90k+")))</f>
        <v>50k-69k</v>
      </c>
      <c r="M731" t="s">
        <v>5511</v>
      </c>
      <c r="N731">
        <f t="shared" ca="1" si="46"/>
        <v>10</v>
      </c>
      <c r="O731" t="str">
        <f t="shared" ca="1" si="47"/>
        <v>Senior level</v>
      </c>
    </row>
    <row r="732" spans="1:15" x14ac:dyDescent="0.3">
      <c r="A732" t="s">
        <v>5512</v>
      </c>
      <c r="B732" t="s">
        <v>5513</v>
      </c>
      <c r="C732" t="s">
        <v>17</v>
      </c>
      <c r="D732" t="s">
        <v>5514</v>
      </c>
      <c r="E732" t="s">
        <v>5515</v>
      </c>
      <c r="F732" t="s">
        <v>5516</v>
      </c>
      <c r="G732" t="s">
        <v>2283</v>
      </c>
      <c r="H732" t="s">
        <v>5517</v>
      </c>
      <c r="I732">
        <f t="shared" ca="1" si="44"/>
        <v>44</v>
      </c>
      <c r="J732" t="str">
        <f t="shared" ca="1" si="45"/>
        <v>40-49</v>
      </c>
      <c r="K732">
        <v>49836.74</v>
      </c>
      <c r="L732" t="str">
        <f>IF(Workforce[[#This Row],[Salary]]&lt;50000,"30k-49k",IF(Workforce[[#This Row],[Salary]]&lt;70000,"50k-69k",IF(Workforce[[#This Row],[Salary]]&lt;90000,"70k-89k","90k+")))</f>
        <v>30k-49k</v>
      </c>
      <c r="M732" t="s">
        <v>5518</v>
      </c>
      <c r="N732">
        <f t="shared" ca="1" si="46"/>
        <v>10</v>
      </c>
      <c r="O732" t="str">
        <f t="shared" ca="1" si="47"/>
        <v>Senior level</v>
      </c>
    </row>
    <row r="733" spans="1:15" x14ac:dyDescent="0.3">
      <c r="A733" t="s">
        <v>5519</v>
      </c>
      <c r="B733" t="s">
        <v>5520</v>
      </c>
      <c r="C733" t="s">
        <v>844</v>
      </c>
      <c r="D733" t="s">
        <v>5521</v>
      </c>
      <c r="E733" t="s">
        <v>5522</v>
      </c>
      <c r="F733" t="s">
        <v>5523</v>
      </c>
      <c r="G733" t="s">
        <v>5524</v>
      </c>
      <c r="H733" t="s">
        <v>5525</v>
      </c>
      <c r="I733">
        <f t="shared" ca="1" si="44"/>
        <v>26</v>
      </c>
      <c r="J733" t="str">
        <f t="shared" ca="1" si="45"/>
        <v>18-29</v>
      </c>
      <c r="K733">
        <v>41000.68</v>
      </c>
      <c r="L733" t="str">
        <f>IF(Workforce[[#This Row],[Salary]]&lt;50000,"30k-49k",IF(Workforce[[#This Row],[Salary]]&lt;70000,"50k-69k",IF(Workforce[[#This Row],[Salary]]&lt;90000,"70k-89k","90k+")))</f>
        <v>30k-49k</v>
      </c>
      <c r="M733" t="s">
        <v>5526</v>
      </c>
      <c r="N733">
        <f t="shared" ca="1" si="46"/>
        <v>7</v>
      </c>
      <c r="O733" t="str">
        <f t="shared" ca="1" si="47"/>
        <v>Senior level</v>
      </c>
    </row>
    <row r="734" spans="1:15" x14ac:dyDescent="0.3">
      <c r="A734" t="s">
        <v>5527</v>
      </c>
      <c r="B734" t="s">
        <v>5528</v>
      </c>
      <c r="C734" t="s">
        <v>231</v>
      </c>
      <c r="D734" t="s">
        <v>5529</v>
      </c>
      <c r="E734" t="s">
        <v>5530</v>
      </c>
      <c r="F734" t="s">
        <v>4270</v>
      </c>
      <c r="G734" t="s">
        <v>5531</v>
      </c>
      <c r="H734" t="s">
        <v>5532</v>
      </c>
      <c r="I734">
        <f t="shared" ca="1" si="44"/>
        <v>53</v>
      </c>
      <c r="J734" t="str">
        <f t="shared" ca="1" si="45"/>
        <v>50-59</v>
      </c>
      <c r="K734">
        <v>80085.240000000005</v>
      </c>
      <c r="L734" t="str">
        <f>IF(Workforce[[#This Row],[Salary]]&lt;50000,"30k-49k",IF(Workforce[[#This Row],[Salary]]&lt;70000,"50k-69k",IF(Workforce[[#This Row],[Salary]]&lt;90000,"70k-89k","90k+")))</f>
        <v>70k-89k</v>
      </c>
      <c r="M734" t="s">
        <v>5533</v>
      </c>
      <c r="N734">
        <f t="shared" ca="1" si="46"/>
        <v>7</v>
      </c>
      <c r="O734" t="str">
        <f t="shared" ca="1" si="47"/>
        <v>Senior level</v>
      </c>
    </row>
    <row r="735" spans="1:15" x14ac:dyDescent="0.3">
      <c r="A735" t="s">
        <v>5534</v>
      </c>
      <c r="B735" t="s">
        <v>5535</v>
      </c>
      <c r="C735" t="s">
        <v>457</v>
      </c>
      <c r="D735" t="s">
        <v>5536</v>
      </c>
      <c r="E735" t="s">
        <v>5537</v>
      </c>
      <c r="F735" t="s">
        <v>1396</v>
      </c>
      <c r="G735" t="s">
        <v>5538</v>
      </c>
      <c r="H735" t="s">
        <v>5539</v>
      </c>
      <c r="I735">
        <f t="shared" ca="1" si="44"/>
        <v>54</v>
      </c>
      <c r="J735" t="str">
        <f t="shared" ca="1" si="45"/>
        <v>50-59</v>
      </c>
      <c r="K735">
        <v>99527.679999999993</v>
      </c>
      <c r="L735" t="str">
        <f>IF(Workforce[[#This Row],[Salary]]&lt;50000,"30k-49k",IF(Workforce[[#This Row],[Salary]]&lt;70000,"50k-69k",IF(Workforce[[#This Row],[Salary]]&lt;90000,"70k-89k","90k+")))</f>
        <v>90k+</v>
      </c>
      <c r="M735" t="s">
        <v>5540</v>
      </c>
      <c r="N735">
        <f t="shared" ca="1" si="46"/>
        <v>1</v>
      </c>
      <c r="O735" t="str">
        <f t="shared" ca="1" si="47"/>
        <v>Beginner</v>
      </c>
    </row>
    <row r="736" spans="1:15" x14ac:dyDescent="0.3">
      <c r="A736" t="s">
        <v>5541</v>
      </c>
      <c r="B736" t="s">
        <v>5542</v>
      </c>
      <c r="C736" t="s">
        <v>266</v>
      </c>
      <c r="D736" t="s">
        <v>5543</v>
      </c>
      <c r="E736" t="s">
        <v>5544</v>
      </c>
      <c r="F736" t="s">
        <v>5103</v>
      </c>
      <c r="G736" t="s">
        <v>5545</v>
      </c>
      <c r="H736" t="s">
        <v>5546</v>
      </c>
      <c r="I736">
        <f t="shared" ca="1" si="44"/>
        <v>57</v>
      </c>
      <c r="J736" t="str">
        <f t="shared" ca="1" si="45"/>
        <v>50-59</v>
      </c>
      <c r="K736">
        <v>82064.58</v>
      </c>
      <c r="L736" t="str">
        <f>IF(Workforce[[#This Row],[Salary]]&lt;50000,"30k-49k",IF(Workforce[[#This Row],[Salary]]&lt;70000,"50k-69k",IF(Workforce[[#This Row],[Salary]]&lt;90000,"70k-89k","90k+")))</f>
        <v>70k-89k</v>
      </c>
      <c r="M736" t="s">
        <v>5547</v>
      </c>
      <c r="N736">
        <f t="shared" ca="1" si="46"/>
        <v>4</v>
      </c>
      <c r="O736" t="str">
        <f t="shared" ca="1" si="47"/>
        <v>Intermediate level</v>
      </c>
    </row>
    <row r="737" spans="1:15" x14ac:dyDescent="0.3">
      <c r="A737" t="s">
        <v>5548</v>
      </c>
      <c r="B737" t="s">
        <v>5549</v>
      </c>
      <c r="C737" t="s">
        <v>1223</v>
      </c>
      <c r="D737" t="s">
        <v>5550</v>
      </c>
      <c r="E737" t="s">
        <v>5551</v>
      </c>
      <c r="F737" t="s">
        <v>5176</v>
      </c>
      <c r="G737" t="s">
        <v>5552</v>
      </c>
      <c r="H737" t="s">
        <v>5553</v>
      </c>
      <c r="I737">
        <f t="shared" ca="1" si="44"/>
        <v>32</v>
      </c>
      <c r="J737" t="str">
        <f t="shared" ca="1" si="45"/>
        <v>30-39</v>
      </c>
      <c r="K737">
        <v>56014.12</v>
      </c>
      <c r="L737" t="str">
        <f>IF(Workforce[[#This Row],[Salary]]&lt;50000,"30k-49k",IF(Workforce[[#This Row],[Salary]]&lt;70000,"50k-69k",IF(Workforce[[#This Row],[Salary]]&lt;90000,"70k-89k","90k+")))</f>
        <v>50k-69k</v>
      </c>
      <c r="M737" t="s">
        <v>5554</v>
      </c>
      <c r="N737">
        <f t="shared" ca="1" si="46"/>
        <v>9</v>
      </c>
      <c r="O737" t="str">
        <f t="shared" ca="1" si="47"/>
        <v>Senior level</v>
      </c>
    </row>
    <row r="738" spans="1:15" x14ac:dyDescent="0.3">
      <c r="A738" t="s">
        <v>5555</v>
      </c>
      <c r="B738" t="s">
        <v>5556</v>
      </c>
      <c r="C738" t="s">
        <v>351</v>
      </c>
      <c r="D738" t="s">
        <v>5557</v>
      </c>
      <c r="E738" t="s">
        <v>5558</v>
      </c>
      <c r="F738" t="s">
        <v>5559</v>
      </c>
      <c r="G738" t="s">
        <v>5560</v>
      </c>
      <c r="H738" t="s">
        <v>5561</v>
      </c>
      <c r="I738">
        <f t="shared" ca="1" si="44"/>
        <v>34</v>
      </c>
      <c r="J738" t="str">
        <f t="shared" ca="1" si="45"/>
        <v>30-39</v>
      </c>
      <c r="K738">
        <v>85821.4</v>
      </c>
      <c r="L738" t="str">
        <f>IF(Workforce[[#This Row],[Salary]]&lt;50000,"30k-49k",IF(Workforce[[#This Row],[Salary]]&lt;70000,"50k-69k",IF(Workforce[[#This Row],[Salary]]&lt;90000,"70k-89k","90k+")))</f>
        <v>70k-89k</v>
      </c>
      <c r="M738" t="s">
        <v>697</v>
      </c>
      <c r="N738">
        <f t="shared" ca="1" si="46"/>
        <v>9</v>
      </c>
      <c r="O738" t="str">
        <f t="shared" ca="1" si="47"/>
        <v>Senior level</v>
      </c>
    </row>
    <row r="739" spans="1:15" x14ac:dyDescent="0.3">
      <c r="A739" t="s">
        <v>5562</v>
      </c>
      <c r="B739" t="s">
        <v>5563</v>
      </c>
      <c r="C739" t="s">
        <v>1159</v>
      </c>
      <c r="D739" t="s">
        <v>5564</v>
      </c>
      <c r="E739" t="s">
        <v>5565</v>
      </c>
      <c r="F739" t="s">
        <v>3404</v>
      </c>
      <c r="G739" t="s">
        <v>5566</v>
      </c>
      <c r="H739" t="s">
        <v>5567</v>
      </c>
      <c r="I739">
        <f t="shared" ca="1" si="44"/>
        <v>39</v>
      </c>
      <c r="J739" t="str">
        <f t="shared" ca="1" si="45"/>
        <v>30-39</v>
      </c>
      <c r="K739">
        <v>38821.410000000003</v>
      </c>
      <c r="L739" t="str">
        <f>IF(Workforce[[#This Row],[Salary]]&lt;50000,"30k-49k",IF(Workforce[[#This Row],[Salary]]&lt;70000,"50k-69k",IF(Workforce[[#This Row],[Salary]]&lt;90000,"70k-89k","90k+")))</f>
        <v>30k-49k</v>
      </c>
      <c r="M739" t="s">
        <v>5568</v>
      </c>
      <c r="N739">
        <f t="shared" ca="1" si="46"/>
        <v>8</v>
      </c>
      <c r="O739" t="str">
        <f t="shared" ca="1" si="47"/>
        <v>Senior level</v>
      </c>
    </row>
    <row r="740" spans="1:15" x14ac:dyDescent="0.3">
      <c r="A740" t="s">
        <v>5569</v>
      </c>
      <c r="B740" t="s">
        <v>5570</v>
      </c>
      <c r="C740" t="s">
        <v>995</v>
      </c>
      <c r="D740" t="s">
        <v>5571</v>
      </c>
      <c r="E740" t="s">
        <v>5572</v>
      </c>
      <c r="F740" t="s">
        <v>4726</v>
      </c>
      <c r="G740" t="s">
        <v>5573</v>
      </c>
      <c r="H740" t="s">
        <v>5574</v>
      </c>
      <c r="I740">
        <f t="shared" ca="1" si="44"/>
        <v>27</v>
      </c>
      <c r="J740" t="str">
        <f t="shared" ca="1" si="45"/>
        <v>18-29</v>
      </c>
      <c r="K740">
        <v>60836.47</v>
      </c>
      <c r="L740" t="str">
        <f>IF(Workforce[[#This Row],[Salary]]&lt;50000,"30k-49k",IF(Workforce[[#This Row],[Salary]]&lt;70000,"50k-69k",IF(Workforce[[#This Row],[Salary]]&lt;90000,"70k-89k","90k+")))</f>
        <v>50k-69k</v>
      </c>
      <c r="M740" t="s">
        <v>5575</v>
      </c>
      <c r="N740">
        <f t="shared" ca="1" si="46"/>
        <v>10</v>
      </c>
      <c r="O740" t="str">
        <f t="shared" ca="1" si="47"/>
        <v>Senior level</v>
      </c>
    </row>
    <row r="741" spans="1:15" x14ac:dyDescent="0.3">
      <c r="A741" t="s">
        <v>5576</v>
      </c>
      <c r="B741" t="s">
        <v>5577</v>
      </c>
      <c r="C741" t="s">
        <v>457</v>
      </c>
      <c r="D741" t="s">
        <v>5578</v>
      </c>
      <c r="E741" t="s">
        <v>5579</v>
      </c>
      <c r="F741" t="s">
        <v>1226</v>
      </c>
      <c r="G741" t="s">
        <v>5580</v>
      </c>
      <c r="H741" t="s">
        <v>5581</v>
      </c>
      <c r="I741">
        <f t="shared" ca="1" si="44"/>
        <v>32</v>
      </c>
      <c r="J741" t="str">
        <f t="shared" ca="1" si="45"/>
        <v>30-39</v>
      </c>
      <c r="K741">
        <v>108935.45</v>
      </c>
      <c r="L741" t="str">
        <f>IF(Workforce[[#This Row],[Salary]]&lt;50000,"30k-49k",IF(Workforce[[#This Row],[Salary]]&lt;70000,"50k-69k",IF(Workforce[[#This Row],[Salary]]&lt;90000,"70k-89k","90k+")))</f>
        <v>90k+</v>
      </c>
      <c r="M741" t="s">
        <v>5582</v>
      </c>
      <c r="N741">
        <f t="shared" ca="1" si="46"/>
        <v>9</v>
      </c>
      <c r="O741" t="str">
        <f t="shared" ca="1" si="47"/>
        <v>Senior level</v>
      </c>
    </row>
    <row r="742" spans="1:15" x14ac:dyDescent="0.3">
      <c r="A742" t="s">
        <v>5583</v>
      </c>
      <c r="B742" t="s">
        <v>5584</v>
      </c>
      <c r="C742" t="s">
        <v>231</v>
      </c>
      <c r="D742" t="s">
        <v>5585</v>
      </c>
      <c r="E742" t="s">
        <v>5586</v>
      </c>
      <c r="F742" t="s">
        <v>5587</v>
      </c>
      <c r="G742" t="s">
        <v>5588</v>
      </c>
      <c r="H742" t="s">
        <v>5589</v>
      </c>
      <c r="I742">
        <f t="shared" ca="1" si="44"/>
        <v>61</v>
      </c>
      <c r="J742" t="str">
        <f t="shared" ca="1" si="45"/>
        <v>60+</v>
      </c>
      <c r="K742">
        <v>117620.77</v>
      </c>
      <c r="L742" t="str">
        <f>IF(Workforce[[#This Row],[Salary]]&lt;50000,"30k-49k",IF(Workforce[[#This Row],[Salary]]&lt;70000,"50k-69k",IF(Workforce[[#This Row],[Salary]]&lt;90000,"70k-89k","90k+")))</f>
        <v>90k+</v>
      </c>
      <c r="M742" t="s">
        <v>5590</v>
      </c>
      <c r="N742">
        <f t="shared" ca="1" si="46"/>
        <v>7</v>
      </c>
      <c r="O742" t="str">
        <f t="shared" ca="1" si="47"/>
        <v>Senior level</v>
      </c>
    </row>
    <row r="743" spans="1:15" x14ac:dyDescent="0.3">
      <c r="A743" t="s">
        <v>5591</v>
      </c>
      <c r="B743" t="s">
        <v>5592</v>
      </c>
      <c r="C743" t="s">
        <v>275</v>
      </c>
      <c r="D743" t="s">
        <v>5593</v>
      </c>
      <c r="E743" t="s">
        <v>5594</v>
      </c>
      <c r="F743" t="s">
        <v>5222</v>
      </c>
      <c r="G743" t="s">
        <v>5595</v>
      </c>
      <c r="H743" t="s">
        <v>5596</v>
      </c>
      <c r="I743">
        <f t="shared" ca="1" si="44"/>
        <v>36</v>
      </c>
      <c r="J743" t="str">
        <f t="shared" ca="1" si="45"/>
        <v>30-39</v>
      </c>
      <c r="K743">
        <v>111106</v>
      </c>
      <c r="L743" t="str">
        <f>IF(Workforce[[#This Row],[Salary]]&lt;50000,"30k-49k",IF(Workforce[[#This Row],[Salary]]&lt;70000,"50k-69k",IF(Workforce[[#This Row],[Salary]]&lt;90000,"70k-89k","90k+")))</f>
        <v>90k+</v>
      </c>
      <c r="M743" t="s">
        <v>5597</v>
      </c>
      <c r="N743">
        <f t="shared" ca="1" si="46"/>
        <v>4</v>
      </c>
      <c r="O743" t="str">
        <f t="shared" ca="1" si="47"/>
        <v>Intermediate level</v>
      </c>
    </row>
    <row r="744" spans="1:15" x14ac:dyDescent="0.3">
      <c r="A744" t="s">
        <v>5598</v>
      </c>
      <c r="B744" t="s">
        <v>5599</v>
      </c>
      <c r="C744" t="s">
        <v>266</v>
      </c>
      <c r="D744" t="s">
        <v>5600</v>
      </c>
      <c r="E744" t="s">
        <v>5601</v>
      </c>
      <c r="F744" t="s">
        <v>574</v>
      </c>
      <c r="G744" t="s">
        <v>5602</v>
      </c>
      <c r="H744" t="s">
        <v>5603</v>
      </c>
      <c r="I744">
        <f t="shared" ca="1" si="44"/>
        <v>32</v>
      </c>
      <c r="J744" t="str">
        <f t="shared" ca="1" si="45"/>
        <v>30-39</v>
      </c>
      <c r="K744">
        <v>99044.72</v>
      </c>
      <c r="L744" t="str">
        <f>IF(Workforce[[#This Row],[Salary]]&lt;50000,"30k-49k",IF(Workforce[[#This Row],[Salary]]&lt;70000,"50k-69k",IF(Workforce[[#This Row],[Salary]]&lt;90000,"70k-89k","90k+")))</f>
        <v>90k+</v>
      </c>
      <c r="M744" t="s">
        <v>5604</v>
      </c>
      <c r="N744">
        <f t="shared" ca="1" si="46"/>
        <v>8</v>
      </c>
      <c r="O744" t="str">
        <f t="shared" ca="1" si="47"/>
        <v>Senior level</v>
      </c>
    </row>
    <row r="745" spans="1:15" x14ac:dyDescent="0.3">
      <c r="A745" t="s">
        <v>5605</v>
      </c>
      <c r="B745" t="s">
        <v>5606</v>
      </c>
      <c r="C745" t="s">
        <v>213</v>
      </c>
      <c r="D745" t="s">
        <v>5607</v>
      </c>
      <c r="E745" t="s">
        <v>5608</v>
      </c>
      <c r="F745" t="s">
        <v>2505</v>
      </c>
      <c r="G745" t="s">
        <v>5609</v>
      </c>
      <c r="H745" t="s">
        <v>5610</v>
      </c>
      <c r="I745">
        <f t="shared" ca="1" si="44"/>
        <v>63</v>
      </c>
      <c r="J745" t="str">
        <f t="shared" ca="1" si="45"/>
        <v>60+</v>
      </c>
      <c r="K745">
        <v>36561.74</v>
      </c>
      <c r="L745" t="str">
        <f>IF(Workforce[[#This Row],[Salary]]&lt;50000,"30k-49k",IF(Workforce[[#This Row],[Salary]]&lt;70000,"50k-69k",IF(Workforce[[#This Row],[Salary]]&lt;90000,"70k-89k","90k+")))</f>
        <v>30k-49k</v>
      </c>
      <c r="M745" t="s">
        <v>5611</v>
      </c>
      <c r="N745">
        <f t="shared" ca="1" si="46"/>
        <v>6</v>
      </c>
      <c r="O745" t="str">
        <f t="shared" ca="1" si="47"/>
        <v>Intermediate level</v>
      </c>
    </row>
    <row r="746" spans="1:15" x14ac:dyDescent="0.3">
      <c r="A746" t="s">
        <v>5612</v>
      </c>
      <c r="B746" t="s">
        <v>5613</v>
      </c>
      <c r="C746" t="s">
        <v>482</v>
      </c>
      <c r="D746" t="s">
        <v>5614</v>
      </c>
      <c r="E746" t="s">
        <v>5615</v>
      </c>
      <c r="F746" t="s">
        <v>1872</v>
      </c>
      <c r="G746" t="s">
        <v>5616</v>
      </c>
      <c r="H746" t="s">
        <v>5617</v>
      </c>
      <c r="I746">
        <f t="shared" ca="1" si="44"/>
        <v>22</v>
      </c>
      <c r="J746" t="str">
        <f t="shared" ca="1" si="45"/>
        <v>18-29</v>
      </c>
      <c r="K746">
        <v>51106.95</v>
      </c>
      <c r="L746" t="str">
        <f>IF(Workforce[[#This Row],[Salary]]&lt;50000,"30k-49k",IF(Workforce[[#This Row],[Salary]]&lt;70000,"50k-69k",IF(Workforce[[#This Row],[Salary]]&lt;90000,"70k-89k","90k+")))</f>
        <v>50k-69k</v>
      </c>
      <c r="M746" t="s">
        <v>4628</v>
      </c>
      <c r="N746">
        <f t="shared" ca="1" si="46"/>
        <v>5</v>
      </c>
      <c r="O746" t="str">
        <f t="shared" ca="1" si="47"/>
        <v>Intermediate level</v>
      </c>
    </row>
    <row r="747" spans="1:15" x14ac:dyDescent="0.3">
      <c r="A747" t="s">
        <v>5618</v>
      </c>
      <c r="B747" t="s">
        <v>5619</v>
      </c>
      <c r="C747" t="s">
        <v>2086</v>
      </c>
      <c r="D747" t="s">
        <v>5620</v>
      </c>
      <c r="E747" t="s">
        <v>5621</v>
      </c>
      <c r="F747" t="s">
        <v>5622</v>
      </c>
      <c r="G747" t="s">
        <v>5623</v>
      </c>
      <c r="H747" t="s">
        <v>5624</v>
      </c>
      <c r="I747">
        <f t="shared" ca="1" si="44"/>
        <v>25</v>
      </c>
      <c r="J747" t="str">
        <f t="shared" ca="1" si="45"/>
        <v>18-29</v>
      </c>
      <c r="K747">
        <v>86237.01</v>
      </c>
      <c r="L747" t="str">
        <f>IF(Workforce[[#This Row],[Salary]]&lt;50000,"30k-49k",IF(Workforce[[#This Row],[Salary]]&lt;70000,"50k-69k",IF(Workforce[[#This Row],[Salary]]&lt;90000,"70k-89k","90k+")))</f>
        <v>70k-89k</v>
      </c>
      <c r="M747" t="s">
        <v>5625</v>
      </c>
      <c r="N747">
        <f t="shared" ca="1" si="46"/>
        <v>7</v>
      </c>
      <c r="O747" t="str">
        <f t="shared" ca="1" si="47"/>
        <v>Senior level</v>
      </c>
    </row>
    <row r="748" spans="1:15" x14ac:dyDescent="0.3">
      <c r="A748" t="s">
        <v>5626</v>
      </c>
      <c r="B748" t="s">
        <v>5627</v>
      </c>
      <c r="C748" t="s">
        <v>2086</v>
      </c>
      <c r="D748" t="s">
        <v>5628</v>
      </c>
      <c r="E748" t="s">
        <v>5629</v>
      </c>
      <c r="F748" t="s">
        <v>1053</v>
      </c>
      <c r="G748" t="s">
        <v>5630</v>
      </c>
      <c r="H748" t="s">
        <v>5631</v>
      </c>
      <c r="I748">
        <f t="shared" ca="1" si="44"/>
        <v>35</v>
      </c>
      <c r="J748" t="str">
        <f t="shared" ca="1" si="45"/>
        <v>30-39</v>
      </c>
      <c r="K748">
        <v>35308.58</v>
      </c>
      <c r="L748" t="str">
        <f>IF(Workforce[[#This Row],[Salary]]&lt;50000,"30k-49k",IF(Workforce[[#This Row],[Salary]]&lt;70000,"50k-69k",IF(Workforce[[#This Row],[Salary]]&lt;90000,"70k-89k","90k+")))</f>
        <v>30k-49k</v>
      </c>
      <c r="M748" t="s">
        <v>5632</v>
      </c>
      <c r="N748">
        <f t="shared" ca="1" si="46"/>
        <v>10</v>
      </c>
      <c r="O748" t="str">
        <f t="shared" ca="1" si="47"/>
        <v>Senior level</v>
      </c>
    </row>
    <row r="749" spans="1:15" x14ac:dyDescent="0.3">
      <c r="A749" t="s">
        <v>5633</v>
      </c>
      <c r="B749" t="s">
        <v>5634</v>
      </c>
      <c r="C749" t="s">
        <v>88</v>
      </c>
      <c r="D749" t="s">
        <v>5635</v>
      </c>
      <c r="E749" t="s">
        <v>5636</v>
      </c>
      <c r="F749" t="s">
        <v>5637</v>
      </c>
      <c r="G749" t="s">
        <v>5638</v>
      </c>
      <c r="H749" t="s">
        <v>1235</v>
      </c>
      <c r="I749">
        <f t="shared" ca="1" si="44"/>
        <v>33</v>
      </c>
      <c r="J749" t="str">
        <f t="shared" ca="1" si="45"/>
        <v>30-39</v>
      </c>
      <c r="K749">
        <v>107074.26</v>
      </c>
      <c r="L749" t="str">
        <f>IF(Workforce[[#This Row],[Salary]]&lt;50000,"30k-49k",IF(Workforce[[#This Row],[Salary]]&lt;70000,"50k-69k",IF(Workforce[[#This Row],[Salary]]&lt;90000,"70k-89k","90k+")))</f>
        <v>90k+</v>
      </c>
      <c r="M749" t="s">
        <v>5639</v>
      </c>
      <c r="N749">
        <f t="shared" ca="1" si="46"/>
        <v>3</v>
      </c>
      <c r="O749" t="str">
        <f t="shared" ca="1" si="47"/>
        <v>Intermediate level</v>
      </c>
    </row>
    <row r="750" spans="1:15" x14ac:dyDescent="0.3">
      <c r="A750" t="s">
        <v>5640</v>
      </c>
      <c r="B750" t="s">
        <v>5641</v>
      </c>
      <c r="C750" t="s">
        <v>44</v>
      </c>
      <c r="D750" t="s">
        <v>5642</v>
      </c>
      <c r="E750" t="s">
        <v>5643</v>
      </c>
      <c r="F750" t="s">
        <v>2687</v>
      </c>
      <c r="G750" t="s">
        <v>5644</v>
      </c>
      <c r="H750" t="s">
        <v>5645</v>
      </c>
      <c r="I750">
        <f t="shared" ca="1" si="44"/>
        <v>64</v>
      </c>
      <c r="J750" t="str">
        <f t="shared" ca="1" si="45"/>
        <v>60+</v>
      </c>
      <c r="K750">
        <v>98661.61</v>
      </c>
      <c r="L750" t="str">
        <f>IF(Workforce[[#This Row],[Salary]]&lt;50000,"30k-49k",IF(Workforce[[#This Row],[Salary]]&lt;70000,"50k-69k",IF(Workforce[[#This Row],[Salary]]&lt;90000,"70k-89k","90k+")))</f>
        <v>90k+</v>
      </c>
      <c r="M750" t="s">
        <v>5646</v>
      </c>
      <c r="N750">
        <f t="shared" ca="1" si="46"/>
        <v>7</v>
      </c>
      <c r="O750" t="str">
        <f t="shared" ca="1" si="47"/>
        <v>Senior level</v>
      </c>
    </row>
    <row r="751" spans="1:15" x14ac:dyDescent="0.3">
      <c r="A751" t="s">
        <v>5647</v>
      </c>
      <c r="B751" t="s">
        <v>5648</v>
      </c>
      <c r="C751" t="s">
        <v>222</v>
      </c>
      <c r="D751" t="s">
        <v>5649</v>
      </c>
      <c r="E751" t="s">
        <v>5650</v>
      </c>
      <c r="F751" t="s">
        <v>5651</v>
      </c>
      <c r="G751" t="s">
        <v>5652</v>
      </c>
      <c r="H751" t="s">
        <v>5653</v>
      </c>
      <c r="I751">
        <f t="shared" ca="1" si="44"/>
        <v>20</v>
      </c>
      <c r="J751" t="str">
        <f t="shared" ca="1" si="45"/>
        <v>18-29</v>
      </c>
      <c r="K751">
        <v>85093.34</v>
      </c>
      <c r="L751" t="str">
        <f>IF(Workforce[[#This Row],[Salary]]&lt;50000,"30k-49k",IF(Workforce[[#This Row],[Salary]]&lt;70000,"50k-69k",IF(Workforce[[#This Row],[Salary]]&lt;90000,"70k-89k","90k+")))</f>
        <v>70k-89k</v>
      </c>
      <c r="M751" t="s">
        <v>5654</v>
      </c>
      <c r="N751">
        <f t="shared" ca="1" si="46"/>
        <v>3</v>
      </c>
      <c r="O751" t="str">
        <f t="shared" ca="1" si="47"/>
        <v>Intermediate level</v>
      </c>
    </row>
    <row r="752" spans="1:15" x14ac:dyDescent="0.3">
      <c r="A752" t="s">
        <v>5655</v>
      </c>
      <c r="B752" t="s">
        <v>5656</v>
      </c>
      <c r="C752" t="s">
        <v>151</v>
      </c>
      <c r="D752" t="s">
        <v>5657</v>
      </c>
      <c r="E752" t="s">
        <v>5658</v>
      </c>
      <c r="F752" t="s">
        <v>1826</v>
      </c>
      <c r="G752" t="s">
        <v>5659</v>
      </c>
      <c r="H752" t="s">
        <v>5660</v>
      </c>
      <c r="I752">
        <f t="shared" ca="1" si="44"/>
        <v>66</v>
      </c>
      <c r="J752" t="str">
        <f t="shared" ca="1" si="45"/>
        <v>60+</v>
      </c>
      <c r="K752">
        <v>115007.8</v>
      </c>
      <c r="L752" t="str">
        <f>IF(Workforce[[#This Row],[Salary]]&lt;50000,"30k-49k",IF(Workforce[[#This Row],[Salary]]&lt;70000,"50k-69k",IF(Workforce[[#This Row],[Salary]]&lt;90000,"70k-89k","90k+")))</f>
        <v>90k+</v>
      </c>
      <c r="M752" t="s">
        <v>5661</v>
      </c>
      <c r="N752">
        <f t="shared" ca="1" si="46"/>
        <v>9</v>
      </c>
      <c r="O752" t="str">
        <f t="shared" ca="1" si="47"/>
        <v>Senior level</v>
      </c>
    </row>
    <row r="753" spans="1:15" x14ac:dyDescent="0.3">
      <c r="A753" t="s">
        <v>5662</v>
      </c>
      <c r="B753" t="s">
        <v>5663</v>
      </c>
      <c r="C753" t="s">
        <v>231</v>
      </c>
      <c r="D753" t="s">
        <v>5664</v>
      </c>
      <c r="E753" t="s">
        <v>5665</v>
      </c>
      <c r="F753" t="s">
        <v>5666</v>
      </c>
      <c r="G753" t="s">
        <v>5667</v>
      </c>
      <c r="H753" t="s">
        <v>5668</v>
      </c>
      <c r="I753">
        <f t="shared" ca="1" si="44"/>
        <v>50</v>
      </c>
      <c r="J753" t="str">
        <f t="shared" ca="1" si="45"/>
        <v>50-59</v>
      </c>
      <c r="K753">
        <v>85557.3</v>
      </c>
      <c r="L753" t="str">
        <f>IF(Workforce[[#This Row],[Salary]]&lt;50000,"30k-49k",IF(Workforce[[#This Row],[Salary]]&lt;70000,"50k-69k",IF(Workforce[[#This Row],[Salary]]&lt;90000,"70k-89k","90k+")))</f>
        <v>70k-89k</v>
      </c>
      <c r="M753" t="s">
        <v>5669</v>
      </c>
      <c r="N753">
        <f t="shared" ca="1" si="46"/>
        <v>10</v>
      </c>
      <c r="O753" t="str">
        <f t="shared" ca="1" si="47"/>
        <v>Senior level</v>
      </c>
    </row>
    <row r="754" spans="1:15" x14ac:dyDescent="0.3">
      <c r="A754" t="s">
        <v>5670</v>
      </c>
      <c r="B754" t="s">
        <v>5671</v>
      </c>
      <c r="C754" t="s">
        <v>61</v>
      </c>
      <c r="D754" t="s">
        <v>5672</v>
      </c>
      <c r="E754" t="s">
        <v>5673</v>
      </c>
      <c r="F754" t="s">
        <v>1503</v>
      </c>
      <c r="G754" t="s">
        <v>5674</v>
      </c>
      <c r="H754" t="s">
        <v>5675</v>
      </c>
      <c r="I754">
        <f t="shared" ca="1" si="44"/>
        <v>24</v>
      </c>
      <c r="J754" t="str">
        <f t="shared" ca="1" si="45"/>
        <v>18-29</v>
      </c>
      <c r="K754">
        <v>73895.649999999994</v>
      </c>
      <c r="L754" t="str">
        <f>IF(Workforce[[#This Row],[Salary]]&lt;50000,"30k-49k",IF(Workforce[[#This Row],[Salary]]&lt;70000,"50k-69k",IF(Workforce[[#This Row],[Salary]]&lt;90000,"70k-89k","90k+")))</f>
        <v>70k-89k</v>
      </c>
      <c r="M754" t="s">
        <v>3867</v>
      </c>
      <c r="N754">
        <f t="shared" ca="1" si="46"/>
        <v>8</v>
      </c>
      <c r="O754" t="str">
        <f t="shared" ca="1" si="47"/>
        <v>Senior level</v>
      </c>
    </row>
    <row r="755" spans="1:15" x14ac:dyDescent="0.3">
      <c r="A755" t="s">
        <v>5676</v>
      </c>
      <c r="B755" t="s">
        <v>5677</v>
      </c>
      <c r="C755" t="s">
        <v>196</v>
      </c>
      <c r="D755" t="s">
        <v>5678</v>
      </c>
      <c r="E755" t="s">
        <v>5679</v>
      </c>
      <c r="F755" t="s">
        <v>1549</v>
      </c>
      <c r="G755" t="s">
        <v>5680</v>
      </c>
      <c r="H755" t="s">
        <v>5681</v>
      </c>
      <c r="I755">
        <f t="shared" ca="1" si="44"/>
        <v>51</v>
      </c>
      <c r="J755" t="str">
        <f t="shared" ca="1" si="45"/>
        <v>50-59</v>
      </c>
      <c r="K755">
        <v>88094.7</v>
      </c>
      <c r="L755" t="str">
        <f>IF(Workforce[[#This Row],[Salary]]&lt;50000,"30k-49k",IF(Workforce[[#This Row],[Salary]]&lt;70000,"50k-69k",IF(Workforce[[#This Row],[Salary]]&lt;90000,"70k-89k","90k+")))</f>
        <v>70k-89k</v>
      </c>
      <c r="M755" t="s">
        <v>5682</v>
      </c>
      <c r="N755">
        <f t="shared" ca="1" si="46"/>
        <v>6</v>
      </c>
      <c r="O755" t="str">
        <f t="shared" ca="1" si="47"/>
        <v>Intermediate level</v>
      </c>
    </row>
    <row r="756" spans="1:15" x14ac:dyDescent="0.3">
      <c r="A756" t="s">
        <v>5683</v>
      </c>
      <c r="B756" t="s">
        <v>5684</v>
      </c>
      <c r="C756" t="s">
        <v>266</v>
      </c>
      <c r="D756" t="s">
        <v>5685</v>
      </c>
      <c r="E756" t="s">
        <v>5686</v>
      </c>
      <c r="F756" t="s">
        <v>5687</v>
      </c>
      <c r="G756" t="s">
        <v>5688</v>
      </c>
      <c r="H756" t="s">
        <v>5689</v>
      </c>
      <c r="I756">
        <f t="shared" ca="1" si="44"/>
        <v>30</v>
      </c>
      <c r="J756" t="str">
        <f t="shared" ca="1" si="45"/>
        <v>30-39</v>
      </c>
      <c r="K756">
        <v>85004.59</v>
      </c>
      <c r="L756" t="str">
        <f>IF(Workforce[[#This Row],[Salary]]&lt;50000,"30k-49k",IF(Workforce[[#This Row],[Salary]]&lt;70000,"50k-69k",IF(Workforce[[#This Row],[Salary]]&lt;90000,"70k-89k","90k+")))</f>
        <v>70k-89k</v>
      </c>
      <c r="M756" t="s">
        <v>3712</v>
      </c>
      <c r="N756">
        <f t="shared" ca="1" si="46"/>
        <v>4</v>
      </c>
      <c r="O756" t="str">
        <f t="shared" ca="1" si="47"/>
        <v>Intermediate level</v>
      </c>
    </row>
    <row r="757" spans="1:15" x14ac:dyDescent="0.3">
      <c r="A757" t="s">
        <v>5690</v>
      </c>
      <c r="B757" t="s">
        <v>5691</v>
      </c>
      <c r="C757" t="s">
        <v>124</v>
      </c>
      <c r="D757" t="s">
        <v>5692</v>
      </c>
      <c r="E757" t="s">
        <v>5693</v>
      </c>
      <c r="F757" t="s">
        <v>3111</v>
      </c>
      <c r="G757" t="s">
        <v>5694</v>
      </c>
      <c r="H757" t="s">
        <v>5695</v>
      </c>
      <c r="I757">
        <f t="shared" ca="1" si="44"/>
        <v>56</v>
      </c>
      <c r="J757" t="str">
        <f t="shared" ca="1" si="45"/>
        <v>50-59</v>
      </c>
      <c r="K757">
        <v>50941.41</v>
      </c>
      <c r="L757" t="str">
        <f>IF(Workforce[[#This Row],[Salary]]&lt;50000,"30k-49k",IF(Workforce[[#This Row],[Salary]]&lt;70000,"50k-69k",IF(Workforce[[#This Row],[Salary]]&lt;90000,"70k-89k","90k+")))</f>
        <v>50k-69k</v>
      </c>
      <c r="M757" t="s">
        <v>5696</v>
      </c>
      <c r="N757">
        <f t="shared" ca="1" si="46"/>
        <v>2</v>
      </c>
      <c r="O757" t="str">
        <f t="shared" ca="1" si="47"/>
        <v>Beginner</v>
      </c>
    </row>
    <row r="758" spans="1:15" x14ac:dyDescent="0.3">
      <c r="A758" t="s">
        <v>5697</v>
      </c>
      <c r="B758" t="s">
        <v>5698</v>
      </c>
      <c r="C758" t="s">
        <v>580</v>
      </c>
      <c r="D758" t="s">
        <v>5699</v>
      </c>
      <c r="E758" t="s">
        <v>5700</v>
      </c>
      <c r="F758" t="s">
        <v>5701</v>
      </c>
      <c r="G758" t="s">
        <v>5702</v>
      </c>
      <c r="H758" t="s">
        <v>5703</v>
      </c>
      <c r="I758">
        <f t="shared" ca="1" si="44"/>
        <v>20</v>
      </c>
      <c r="J758" t="str">
        <f t="shared" ca="1" si="45"/>
        <v>18-29</v>
      </c>
      <c r="K758">
        <v>85053.38</v>
      </c>
      <c r="L758" t="str">
        <f>IF(Workforce[[#This Row],[Salary]]&lt;50000,"30k-49k",IF(Workforce[[#This Row],[Salary]]&lt;70000,"50k-69k",IF(Workforce[[#This Row],[Salary]]&lt;90000,"70k-89k","90k+")))</f>
        <v>70k-89k</v>
      </c>
      <c r="M758" t="s">
        <v>5704</v>
      </c>
      <c r="N758">
        <f t="shared" ca="1" si="46"/>
        <v>6</v>
      </c>
      <c r="O758" t="str">
        <f t="shared" ca="1" si="47"/>
        <v>Intermediate level</v>
      </c>
    </row>
    <row r="759" spans="1:15" x14ac:dyDescent="0.3">
      <c r="A759" t="s">
        <v>5705</v>
      </c>
      <c r="B759" t="s">
        <v>5706</v>
      </c>
      <c r="C759" t="s">
        <v>539</v>
      </c>
      <c r="D759" t="s">
        <v>5707</v>
      </c>
      <c r="E759" t="s">
        <v>5708</v>
      </c>
      <c r="F759" t="s">
        <v>4402</v>
      </c>
      <c r="G759" t="s">
        <v>5709</v>
      </c>
      <c r="H759" t="s">
        <v>5710</v>
      </c>
      <c r="I759">
        <f t="shared" ca="1" si="44"/>
        <v>52</v>
      </c>
      <c r="J759" t="str">
        <f t="shared" ca="1" si="45"/>
        <v>50-59</v>
      </c>
      <c r="K759">
        <v>50428.66</v>
      </c>
      <c r="L759" t="str">
        <f>IF(Workforce[[#This Row],[Salary]]&lt;50000,"30k-49k",IF(Workforce[[#This Row],[Salary]]&lt;70000,"50k-69k",IF(Workforce[[#This Row],[Salary]]&lt;90000,"70k-89k","90k+")))</f>
        <v>50k-69k</v>
      </c>
      <c r="M759" t="s">
        <v>2120</v>
      </c>
      <c r="N759">
        <f t="shared" ca="1" si="46"/>
        <v>5</v>
      </c>
      <c r="O759" t="str">
        <f t="shared" ca="1" si="47"/>
        <v>Intermediate level</v>
      </c>
    </row>
    <row r="760" spans="1:15" x14ac:dyDescent="0.3">
      <c r="A760" t="s">
        <v>5711</v>
      </c>
      <c r="B760" t="s">
        <v>5712</v>
      </c>
      <c r="C760" t="s">
        <v>44</v>
      </c>
      <c r="D760" t="s">
        <v>5713</v>
      </c>
      <c r="E760" t="s">
        <v>5714</v>
      </c>
      <c r="F760" t="s">
        <v>1015</v>
      </c>
      <c r="G760" t="s">
        <v>5715</v>
      </c>
      <c r="H760" t="s">
        <v>5716</v>
      </c>
      <c r="I760">
        <f t="shared" ca="1" si="44"/>
        <v>62</v>
      </c>
      <c r="J760" t="str">
        <f t="shared" ca="1" si="45"/>
        <v>60+</v>
      </c>
      <c r="K760">
        <v>81321.17</v>
      </c>
      <c r="L760" t="str">
        <f>IF(Workforce[[#This Row],[Salary]]&lt;50000,"30k-49k",IF(Workforce[[#This Row],[Salary]]&lt;70000,"50k-69k",IF(Workforce[[#This Row],[Salary]]&lt;90000,"70k-89k","90k+")))</f>
        <v>70k-89k</v>
      </c>
      <c r="M760" t="s">
        <v>5717</v>
      </c>
      <c r="N760">
        <f t="shared" ca="1" si="46"/>
        <v>8</v>
      </c>
      <c r="O760" t="str">
        <f t="shared" ca="1" si="47"/>
        <v>Senior level</v>
      </c>
    </row>
    <row r="761" spans="1:15" x14ac:dyDescent="0.3">
      <c r="A761" t="s">
        <v>5718</v>
      </c>
      <c r="B761" t="s">
        <v>5719</v>
      </c>
      <c r="C761" t="s">
        <v>351</v>
      </c>
      <c r="D761" t="s">
        <v>5720</v>
      </c>
      <c r="E761" t="s">
        <v>5721</v>
      </c>
      <c r="F761" t="s">
        <v>1473</v>
      </c>
      <c r="G761" t="s">
        <v>5722</v>
      </c>
      <c r="H761" t="s">
        <v>5723</v>
      </c>
      <c r="I761">
        <f t="shared" ca="1" si="44"/>
        <v>56</v>
      </c>
      <c r="J761" t="str">
        <f t="shared" ca="1" si="45"/>
        <v>50-59</v>
      </c>
      <c r="K761">
        <v>70369.399999999994</v>
      </c>
      <c r="L761" t="str">
        <f>IF(Workforce[[#This Row],[Salary]]&lt;50000,"30k-49k",IF(Workforce[[#This Row],[Salary]]&lt;70000,"50k-69k",IF(Workforce[[#This Row],[Salary]]&lt;90000,"70k-89k","90k+")))</f>
        <v>70k-89k</v>
      </c>
      <c r="M761" t="s">
        <v>5724</v>
      </c>
      <c r="N761">
        <f t="shared" ca="1" si="46"/>
        <v>8</v>
      </c>
      <c r="O761" t="str">
        <f t="shared" ca="1" si="47"/>
        <v>Senior level</v>
      </c>
    </row>
    <row r="762" spans="1:15" x14ac:dyDescent="0.3">
      <c r="A762" t="s">
        <v>5725</v>
      </c>
      <c r="B762" t="s">
        <v>5726</v>
      </c>
      <c r="C762" t="s">
        <v>326</v>
      </c>
      <c r="D762" t="s">
        <v>5727</v>
      </c>
      <c r="E762" t="s">
        <v>5728</v>
      </c>
      <c r="F762" t="s">
        <v>5729</v>
      </c>
      <c r="G762" t="s">
        <v>5730</v>
      </c>
      <c r="H762" t="s">
        <v>5731</v>
      </c>
      <c r="I762">
        <f t="shared" ca="1" si="44"/>
        <v>60</v>
      </c>
      <c r="J762" t="str">
        <f t="shared" ca="1" si="45"/>
        <v>60+</v>
      </c>
      <c r="K762">
        <v>100225.82</v>
      </c>
      <c r="L762" t="str">
        <f>IF(Workforce[[#This Row],[Salary]]&lt;50000,"30k-49k",IF(Workforce[[#This Row],[Salary]]&lt;70000,"50k-69k",IF(Workforce[[#This Row],[Salary]]&lt;90000,"70k-89k","90k+")))</f>
        <v>90k+</v>
      </c>
      <c r="M762" t="s">
        <v>5732</v>
      </c>
      <c r="N762">
        <f t="shared" ca="1" si="46"/>
        <v>4</v>
      </c>
      <c r="O762" t="str">
        <f t="shared" ca="1" si="47"/>
        <v>Intermediate level</v>
      </c>
    </row>
    <row r="763" spans="1:15" x14ac:dyDescent="0.3">
      <c r="A763" t="s">
        <v>5733</v>
      </c>
      <c r="B763" t="s">
        <v>5734</v>
      </c>
      <c r="C763" t="s">
        <v>142</v>
      </c>
      <c r="D763" t="s">
        <v>5735</v>
      </c>
      <c r="E763" t="s">
        <v>5736</v>
      </c>
      <c r="F763" t="s">
        <v>3012</v>
      </c>
      <c r="G763" t="s">
        <v>5737</v>
      </c>
      <c r="H763" t="s">
        <v>5738</v>
      </c>
      <c r="I763">
        <f t="shared" ca="1" si="44"/>
        <v>33</v>
      </c>
      <c r="J763" t="str">
        <f t="shared" ca="1" si="45"/>
        <v>30-39</v>
      </c>
      <c r="K763">
        <v>95907.19</v>
      </c>
      <c r="L763" t="str">
        <f>IF(Workforce[[#This Row],[Salary]]&lt;50000,"30k-49k",IF(Workforce[[#This Row],[Salary]]&lt;70000,"50k-69k",IF(Workforce[[#This Row],[Salary]]&lt;90000,"70k-89k","90k+")))</f>
        <v>90k+</v>
      </c>
      <c r="M763" t="s">
        <v>5739</v>
      </c>
      <c r="N763">
        <f t="shared" ca="1" si="46"/>
        <v>4</v>
      </c>
      <c r="O763" t="str">
        <f t="shared" ca="1" si="47"/>
        <v>Intermediate level</v>
      </c>
    </row>
    <row r="764" spans="1:15" x14ac:dyDescent="0.3">
      <c r="A764" t="s">
        <v>5740</v>
      </c>
      <c r="B764" t="s">
        <v>5741</v>
      </c>
      <c r="C764" t="s">
        <v>335</v>
      </c>
      <c r="D764" t="s">
        <v>5742</v>
      </c>
      <c r="E764" t="s">
        <v>5743</v>
      </c>
      <c r="F764" t="s">
        <v>2630</v>
      </c>
      <c r="G764" t="s">
        <v>5744</v>
      </c>
      <c r="H764" t="s">
        <v>5745</v>
      </c>
      <c r="I764">
        <f t="shared" ca="1" si="44"/>
        <v>31</v>
      </c>
      <c r="J764" t="str">
        <f t="shared" ca="1" si="45"/>
        <v>30-39</v>
      </c>
      <c r="K764">
        <v>98905.919999999998</v>
      </c>
      <c r="L764" t="str">
        <f>IF(Workforce[[#This Row],[Salary]]&lt;50000,"30k-49k",IF(Workforce[[#This Row],[Salary]]&lt;70000,"50k-69k",IF(Workforce[[#This Row],[Salary]]&lt;90000,"70k-89k","90k+")))</f>
        <v>90k+</v>
      </c>
      <c r="M764" t="s">
        <v>5746</v>
      </c>
      <c r="N764">
        <f t="shared" ca="1" si="46"/>
        <v>1</v>
      </c>
      <c r="O764" t="str">
        <f t="shared" ca="1" si="47"/>
        <v>Beginner</v>
      </c>
    </row>
    <row r="765" spans="1:15" x14ac:dyDescent="0.3">
      <c r="A765" t="s">
        <v>5747</v>
      </c>
      <c r="B765" t="s">
        <v>5748</v>
      </c>
      <c r="C765" t="s">
        <v>266</v>
      </c>
      <c r="D765" t="s">
        <v>5749</v>
      </c>
      <c r="E765" t="s">
        <v>5750</v>
      </c>
      <c r="F765" t="s">
        <v>5751</v>
      </c>
      <c r="G765" t="s">
        <v>5752</v>
      </c>
      <c r="H765" t="s">
        <v>5753</v>
      </c>
      <c r="I765">
        <f t="shared" ca="1" si="44"/>
        <v>45</v>
      </c>
      <c r="J765" t="str">
        <f t="shared" ca="1" si="45"/>
        <v>40-49</v>
      </c>
      <c r="K765">
        <v>92363.74</v>
      </c>
      <c r="L765" t="str">
        <f>IF(Workforce[[#This Row],[Salary]]&lt;50000,"30k-49k",IF(Workforce[[#This Row],[Salary]]&lt;70000,"50k-69k",IF(Workforce[[#This Row],[Salary]]&lt;90000,"70k-89k","90k+")))</f>
        <v>90k+</v>
      </c>
      <c r="M765" t="s">
        <v>5754</v>
      </c>
      <c r="N765">
        <f t="shared" ca="1" si="46"/>
        <v>7</v>
      </c>
      <c r="O765" t="str">
        <f t="shared" ca="1" si="47"/>
        <v>Senior level</v>
      </c>
    </row>
    <row r="766" spans="1:15" x14ac:dyDescent="0.3">
      <c r="A766" t="s">
        <v>5755</v>
      </c>
      <c r="B766" t="s">
        <v>5756</v>
      </c>
      <c r="C766" t="s">
        <v>97</v>
      </c>
      <c r="D766" t="s">
        <v>5757</v>
      </c>
      <c r="E766" t="s">
        <v>5758</v>
      </c>
      <c r="F766" t="s">
        <v>1388</v>
      </c>
      <c r="G766" t="s">
        <v>5759</v>
      </c>
      <c r="H766" t="s">
        <v>5760</v>
      </c>
      <c r="I766">
        <f t="shared" ca="1" si="44"/>
        <v>48</v>
      </c>
      <c r="J766" t="str">
        <f t="shared" ca="1" si="45"/>
        <v>40-49</v>
      </c>
      <c r="K766">
        <v>36080.57</v>
      </c>
      <c r="L766" t="str">
        <f>IF(Workforce[[#This Row],[Salary]]&lt;50000,"30k-49k",IF(Workforce[[#This Row],[Salary]]&lt;70000,"50k-69k",IF(Workforce[[#This Row],[Salary]]&lt;90000,"70k-89k","90k+")))</f>
        <v>30k-49k</v>
      </c>
      <c r="M766" t="s">
        <v>5761</v>
      </c>
      <c r="N766">
        <f t="shared" ca="1" si="46"/>
        <v>10</v>
      </c>
      <c r="O766" t="str">
        <f t="shared" ca="1" si="47"/>
        <v>Senior level</v>
      </c>
    </row>
    <row r="767" spans="1:15" x14ac:dyDescent="0.3">
      <c r="A767" t="s">
        <v>5762</v>
      </c>
      <c r="B767" t="s">
        <v>5763</v>
      </c>
      <c r="C767" t="s">
        <v>124</v>
      </c>
      <c r="D767" t="s">
        <v>5764</v>
      </c>
      <c r="E767" t="s">
        <v>5765</v>
      </c>
      <c r="F767" t="s">
        <v>1153</v>
      </c>
      <c r="G767" t="s">
        <v>5766</v>
      </c>
      <c r="H767" t="s">
        <v>5767</v>
      </c>
      <c r="I767">
        <f t="shared" ca="1" si="44"/>
        <v>58</v>
      </c>
      <c r="J767" t="str">
        <f t="shared" ca="1" si="45"/>
        <v>50-59</v>
      </c>
      <c r="K767">
        <v>103517.87</v>
      </c>
      <c r="L767" t="str">
        <f>IF(Workforce[[#This Row],[Salary]]&lt;50000,"30k-49k",IF(Workforce[[#This Row],[Salary]]&lt;70000,"50k-69k",IF(Workforce[[#This Row],[Salary]]&lt;90000,"70k-89k","90k+")))</f>
        <v>90k+</v>
      </c>
      <c r="M767" t="s">
        <v>1621</v>
      </c>
      <c r="N767">
        <f t="shared" ca="1" si="46"/>
        <v>5</v>
      </c>
      <c r="O767" t="str">
        <f t="shared" ca="1" si="47"/>
        <v>Intermediate level</v>
      </c>
    </row>
    <row r="768" spans="1:15" x14ac:dyDescent="0.3">
      <c r="A768" t="s">
        <v>5768</v>
      </c>
      <c r="B768" t="s">
        <v>5769</v>
      </c>
      <c r="C768" t="s">
        <v>178</v>
      </c>
      <c r="D768" t="s">
        <v>5770</v>
      </c>
      <c r="E768" t="s">
        <v>5771</v>
      </c>
      <c r="F768" t="s">
        <v>4344</v>
      </c>
      <c r="G768" t="s">
        <v>5772</v>
      </c>
      <c r="H768" t="s">
        <v>5773</v>
      </c>
      <c r="I768">
        <f t="shared" ca="1" si="44"/>
        <v>35</v>
      </c>
      <c r="J768" t="str">
        <f t="shared" ca="1" si="45"/>
        <v>30-39</v>
      </c>
      <c r="K768">
        <v>38160.35</v>
      </c>
      <c r="L768" t="str">
        <f>IF(Workforce[[#This Row],[Salary]]&lt;50000,"30k-49k",IF(Workforce[[#This Row],[Salary]]&lt;70000,"50k-69k",IF(Workforce[[#This Row],[Salary]]&lt;90000,"70k-89k","90k+")))</f>
        <v>30k-49k</v>
      </c>
      <c r="M768" t="s">
        <v>5774</v>
      </c>
      <c r="N768">
        <f t="shared" ca="1" si="46"/>
        <v>4</v>
      </c>
      <c r="O768" t="str">
        <f t="shared" ca="1" si="47"/>
        <v>Intermediate level</v>
      </c>
    </row>
    <row r="769" spans="1:15" x14ac:dyDescent="0.3">
      <c r="A769" t="s">
        <v>5775</v>
      </c>
      <c r="B769" t="s">
        <v>5776</v>
      </c>
      <c r="C769" t="s">
        <v>240</v>
      </c>
      <c r="D769" t="s">
        <v>5777</v>
      </c>
      <c r="E769" t="s">
        <v>5778</v>
      </c>
      <c r="F769" t="s">
        <v>1757</v>
      </c>
      <c r="G769" t="s">
        <v>5779</v>
      </c>
      <c r="H769" t="s">
        <v>5780</v>
      </c>
      <c r="I769">
        <f t="shared" ca="1" si="44"/>
        <v>47</v>
      </c>
      <c r="J769" t="str">
        <f t="shared" ca="1" si="45"/>
        <v>40-49</v>
      </c>
      <c r="K769">
        <v>44000.52</v>
      </c>
      <c r="L769" t="str">
        <f>IF(Workforce[[#This Row],[Salary]]&lt;50000,"30k-49k",IF(Workforce[[#This Row],[Salary]]&lt;70000,"50k-69k",IF(Workforce[[#This Row],[Salary]]&lt;90000,"70k-89k","90k+")))</f>
        <v>30k-49k</v>
      </c>
      <c r="M769" t="s">
        <v>5781</v>
      </c>
      <c r="N769">
        <f t="shared" ca="1" si="46"/>
        <v>4</v>
      </c>
      <c r="O769" t="str">
        <f t="shared" ca="1" si="47"/>
        <v>Intermediate level</v>
      </c>
    </row>
    <row r="770" spans="1:15" x14ac:dyDescent="0.3">
      <c r="A770" t="s">
        <v>5782</v>
      </c>
      <c r="B770" t="s">
        <v>5783</v>
      </c>
      <c r="C770" t="s">
        <v>335</v>
      </c>
      <c r="D770" t="s">
        <v>5784</v>
      </c>
      <c r="E770" t="s">
        <v>5785</v>
      </c>
      <c r="F770" t="s">
        <v>4734</v>
      </c>
      <c r="G770" t="s">
        <v>5786</v>
      </c>
      <c r="H770" t="s">
        <v>5787</v>
      </c>
      <c r="I770">
        <f t="shared" ref="I770:I833" ca="1" si="48">DATEDIF(H770,TODAY(),"y")</f>
        <v>40</v>
      </c>
      <c r="J770" t="str">
        <f t="shared" ref="J770:J833" ca="1" si="49">IF(I770&lt;30,"18-29",IF(I770&lt;40,"30-39",IF(I770&lt;50,"40-49",IF(I770&lt;60,"50-59","60+"))))</f>
        <v>40-49</v>
      </c>
      <c r="K770">
        <v>100025.91</v>
      </c>
      <c r="L770" t="str">
        <f>IF(Workforce[[#This Row],[Salary]]&lt;50000,"30k-49k",IF(Workforce[[#This Row],[Salary]]&lt;70000,"50k-69k",IF(Workforce[[#This Row],[Salary]]&lt;90000,"70k-89k","90k+")))</f>
        <v>90k+</v>
      </c>
      <c r="M770" t="s">
        <v>2963</v>
      </c>
      <c r="N770">
        <f t="shared" ref="N770:N833" ca="1" si="50">DATEDIF(M770,TODAY(),"y")</f>
        <v>5</v>
      </c>
      <c r="O770" t="str">
        <f t="shared" ref="O770:O833" ca="1" si="51">IF(N770&lt;=2,"Beginner",IF(N770&lt;=6,"Intermediate level","Senior level"))</f>
        <v>Intermediate level</v>
      </c>
    </row>
    <row r="771" spans="1:15" x14ac:dyDescent="0.3">
      <c r="A771" t="s">
        <v>5788</v>
      </c>
      <c r="B771" t="s">
        <v>5789</v>
      </c>
      <c r="C771" t="s">
        <v>995</v>
      </c>
      <c r="D771" t="s">
        <v>5790</v>
      </c>
      <c r="E771" t="s">
        <v>5791</v>
      </c>
      <c r="F771" t="s">
        <v>5792</v>
      </c>
      <c r="G771" t="s">
        <v>5793</v>
      </c>
      <c r="H771" t="s">
        <v>5794</v>
      </c>
      <c r="I771">
        <f t="shared" ca="1" si="48"/>
        <v>28</v>
      </c>
      <c r="J771" t="str">
        <f t="shared" ca="1" si="49"/>
        <v>18-29</v>
      </c>
      <c r="K771">
        <v>107951.66</v>
      </c>
      <c r="L771" t="str">
        <f>IF(Workforce[[#This Row],[Salary]]&lt;50000,"30k-49k",IF(Workforce[[#This Row],[Salary]]&lt;70000,"50k-69k",IF(Workforce[[#This Row],[Salary]]&lt;90000,"70k-89k","90k+")))</f>
        <v>90k+</v>
      </c>
      <c r="M771" t="s">
        <v>5795</v>
      </c>
      <c r="N771">
        <f t="shared" ca="1" si="50"/>
        <v>4</v>
      </c>
      <c r="O771" t="str">
        <f t="shared" ca="1" si="51"/>
        <v>Intermediate level</v>
      </c>
    </row>
    <row r="772" spans="1:15" x14ac:dyDescent="0.3">
      <c r="A772" t="s">
        <v>5796</v>
      </c>
      <c r="B772" t="s">
        <v>5797</v>
      </c>
      <c r="C772" t="s">
        <v>1004</v>
      </c>
      <c r="D772" t="s">
        <v>5798</v>
      </c>
      <c r="E772" t="s">
        <v>5799</v>
      </c>
      <c r="F772" t="s">
        <v>2856</v>
      </c>
      <c r="G772" t="s">
        <v>5800</v>
      </c>
      <c r="H772" t="s">
        <v>5801</v>
      </c>
      <c r="I772">
        <f t="shared" ca="1" si="48"/>
        <v>65</v>
      </c>
      <c r="J772" t="str">
        <f t="shared" ca="1" si="49"/>
        <v>60+</v>
      </c>
      <c r="K772">
        <v>102809.09</v>
      </c>
      <c r="L772" t="str">
        <f>IF(Workforce[[#This Row],[Salary]]&lt;50000,"30k-49k",IF(Workforce[[#This Row],[Salary]]&lt;70000,"50k-69k",IF(Workforce[[#This Row],[Salary]]&lt;90000,"70k-89k","90k+")))</f>
        <v>90k+</v>
      </c>
      <c r="M772" t="s">
        <v>5802</v>
      </c>
      <c r="N772">
        <f t="shared" ca="1" si="50"/>
        <v>5</v>
      </c>
      <c r="O772" t="str">
        <f t="shared" ca="1" si="51"/>
        <v>Intermediate level</v>
      </c>
    </row>
    <row r="773" spans="1:15" x14ac:dyDescent="0.3">
      <c r="A773" t="s">
        <v>5803</v>
      </c>
      <c r="B773" t="s">
        <v>5804</v>
      </c>
      <c r="C773" t="s">
        <v>351</v>
      </c>
      <c r="D773" t="s">
        <v>5805</v>
      </c>
      <c r="E773" t="s">
        <v>5806</v>
      </c>
      <c r="F773" t="s">
        <v>4843</v>
      </c>
      <c r="G773" t="s">
        <v>5807</v>
      </c>
      <c r="H773" t="s">
        <v>3844</v>
      </c>
      <c r="I773">
        <f t="shared" ca="1" si="48"/>
        <v>37</v>
      </c>
      <c r="J773" t="str">
        <f t="shared" ca="1" si="49"/>
        <v>30-39</v>
      </c>
      <c r="K773">
        <v>65184.26</v>
      </c>
      <c r="L773" t="str">
        <f>IF(Workforce[[#This Row],[Salary]]&lt;50000,"30k-49k",IF(Workforce[[#This Row],[Salary]]&lt;70000,"50k-69k",IF(Workforce[[#This Row],[Salary]]&lt;90000,"70k-89k","90k+")))</f>
        <v>50k-69k</v>
      </c>
      <c r="M773" t="s">
        <v>3799</v>
      </c>
      <c r="N773">
        <f t="shared" ca="1" si="50"/>
        <v>8</v>
      </c>
      <c r="O773" t="str">
        <f t="shared" ca="1" si="51"/>
        <v>Senior level</v>
      </c>
    </row>
    <row r="774" spans="1:15" x14ac:dyDescent="0.3">
      <c r="A774" t="s">
        <v>5808</v>
      </c>
      <c r="B774" t="s">
        <v>5809</v>
      </c>
      <c r="C774" t="s">
        <v>187</v>
      </c>
      <c r="D774" t="s">
        <v>5810</v>
      </c>
      <c r="E774" t="s">
        <v>5811</v>
      </c>
      <c r="F774" t="s">
        <v>4045</v>
      </c>
      <c r="G774" t="s">
        <v>5812</v>
      </c>
      <c r="H774" t="s">
        <v>5813</v>
      </c>
      <c r="I774">
        <f t="shared" ca="1" si="48"/>
        <v>51</v>
      </c>
      <c r="J774" t="str">
        <f t="shared" ca="1" si="49"/>
        <v>50-59</v>
      </c>
      <c r="K774">
        <v>117429.74</v>
      </c>
      <c r="L774" t="str">
        <f>IF(Workforce[[#This Row],[Salary]]&lt;50000,"30k-49k",IF(Workforce[[#This Row],[Salary]]&lt;70000,"50k-69k",IF(Workforce[[#This Row],[Salary]]&lt;90000,"70k-89k","90k+")))</f>
        <v>90k+</v>
      </c>
      <c r="M774" t="s">
        <v>5814</v>
      </c>
      <c r="N774">
        <f t="shared" ca="1" si="50"/>
        <v>8</v>
      </c>
      <c r="O774" t="str">
        <f t="shared" ca="1" si="51"/>
        <v>Senior level</v>
      </c>
    </row>
    <row r="775" spans="1:15" x14ac:dyDescent="0.3">
      <c r="A775" t="s">
        <v>5815</v>
      </c>
      <c r="B775" t="s">
        <v>5816</v>
      </c>
      <c r="C775" t="s">
        <v>457</v>
      </c>
      <c r="D775" t="s">
        <v>5817</v>
      </c>
      <c r="E775" t="s">
        <v>5818</v>
      </c>
      <c r="F775" t="s">
        <v>3264</v>
      </c>
      <c r="G775" t="s">
        <v>5819</v>
      </c>
      <c r="H775" t="s">
        <v>5820</v>
      </c>
      <c r="I775">
        <f t="shared" ca="1" si="48"/>
        <v>66</v>
      </c>
      <c r="J775" t="str">
        <f t="shared" ca="1" si="49"/>
        <v>60+</v>
      </c>
      <c r="K775">
        <v>47160.7</v>
      </c>
      <c r="L775" t="str">
        <f>IF(Workforce[[#This Row],[Salary]]&lt;50000,"30k-49k",IF(Workforce[[#This Row],[Salary]]&lt;70000,"50k-69k",IF(Workforce[[#This Row],[Salary]]&lt;90000,"70k-89k","90k+")))</f>
        <v>30k-49k</v>
      </c>
      <c r="M775" t="s">
        <v>5821</v>
      </c>
      <c r="N775">
        <f t="shared" ca="1" si="50"/>
        <v>5</v>
      </c>
      <c r="O775" t="str">
        <f t="shared" ca="1" si="51"/>
        <v>Intermediate level</v>
      </c>
    </row>
    <row r="776" spans="1:15" x14ac:dyDescent="0.3">
      <c r="A776" t="s">
        <v>5822</v>
      </c>
      <c r="B776" t="s">
        <v>5823</v>
      </c>
      <c r="C776" t="s">
        <v>284</v>
      </c>
      <c r="D776" t="s">
        <v>5824</v>
      </c>
      <c r="E776" t="s">
        <v>5825</v>
      </c>
      <c r="F776" t="s">
        <v>3892</v>
      </c>
      <c r="G776" t="s">
        <v>5826</v>
      </c>
      <c r="H776" t="s">
        <v>5827</v>
      </c>
      <c r="I776">
        <f t="shared" ca="1" si="48"/>
        <v>62</v>
      </c>
      <c r="J776" t="str">
        <f t="shared" ca="1" si="49"/>
        <v>60+</v>
      </c>
      <c r="K776">
        <v>45906.98</v>
      </c>
      <c r="L776" t="str">
        <f>IF(Workforce[[#This Row],[Salary]]&lt;50000,"30k-49k",IF(Workforce[[#This Row],[Salary]]&lt;70000,"50k-69k",IF(Workforce[[#This Row],[Salary]]&lt;90000,"70k-89k","90k+")))</f>
        <v>30k-49k</v>
      </c>
      <c r="M776" t="s">
        <v>5828</v>
      </c>
      <c r="N776">
        <f t="shared" ca="1" si="50"/>
        <v>8</v>
      </c>
      <c r="O776" t="str">
        <f t="shared" ca="1" si="51"/>
        <v>Senior level</v>
      </c>
    </row>
    <row r="777" spans="1:15" x14ac:dyDescent="0.3">
      <c r="A777" t="s">
        <v>5829</v>
      </c>
      <c r="B777" t="s">
        <v>5830</v>
      </c>
      <c r="C777" t="s">
        <v>604</v>
      </c>
      <c r="D777" t="s">
        <v>5831</v>
      </c>
      <c r="E777" t="s">
        <v>5832</v>
      </c>
      <c r="F777" t="s">
        <v>5833</v>
      </c>
      <c r="G777" t="s">
        <v>5834</v>
      </c>
      <c r="H777" t="s">
        <v>5835</v>
      </c>
      <c r="I777">
        <f t="shared" ca="1" si="48"/>
        <v>34</v>
      </c>
      <c r="J777" t="str">
        <f t="shared" ca="1" si="49"/>
        <v>30-39</v>
      </c>
      <c r="K777">
        <v>119927.19</v>
      </c>
      <c r="L777" t="str">
        <f>IF(Workforce[[#This Row],[Salary]]&lt;50000,"30k-49k",IF(Workforce[[#This Row],[Salary]]&lt;70000,"50k-69k",IF(Workforce[[#This Row],[Salary]]&lt;90000,"70k-89k","90k+")))</f>
        <v>90k+</v>
      </c>
      <c r="M777" t="s">
        <v>5836</v>
      </c>
      <c r="N777">
        <f t="shared" ca="1" si="50"/>
        <v>5</v>
      </c>
      <c r="O777" t="str">
        <f t="shared" ca="1" si="51"/>
        <v>Intermediate level</v>
      </c>
    </row>
    <row r="778" spans="1:15" x14ac:dyDescent="0.3">
      <c r="A778" t="s">
        <v>5837</v>
      </c>
      <c r="B778" t="s">
        <v>5838</v>
      </c>
      <c r="C778" t="s">
        <v>106</v>
      </c>
      <c r="D778" t="s">
        <v>5839</v>
      </c>
      <c r="E778" t="s">
        <v>5840</v>
      </c>
      <c r="F778" t="s">
        <v>863</v>
      </c>
      <c r="G778" t="s">
        <v>5841</v>
      </c>
      <c r="H778" t="s">
        <v>5842</v>
      </c>
      <c r="I778">
        <f t="shared" ca="1" si="48"/>
        <v>48</v>
      </c>
      <c r="J778" t="str">
        <f t="shared" ca="1" si="49"/>
        <v>40-49</v>
      </c>
      <c r="K778">
        <v>55788.19</v>
      </c>
      <c r="L778" t="str">
        <f>IF(Workforce[[#This Row],[Salary]]&lt;50000,"30k-49k",IF(Workforce[[#This Row],[Salary]]&lt;70000,"50k-69k",IF(Workforce[[#This Row],[Salary]]&lt;90000,"70k-89k","90k+")))</f>
        <v>50k-69k</v>
      </c>
      <c r="M778" t="s">
        <v>5843</v>
      </c>
      <c r="N778">
        <f t="shared" ca="1" si="50"/>
        <v>3</v>
      </c>
      <c r="O778" t="str">
        <f t="shared" ca="1" si="51"/>
        <v>Intermediate level</v>
      </c>
    </row>
    <row r="779" spans="1:15" x14ac:dyDescent="0.3">
      <c r="A779" t="s">
        <v>5844</v>
      </c>
      <c r="B779" t="s">
        <v>5845</v>
      </c>
      <c r="C779" t="s">
        <v>133</v>
      </c>
      <c r="D779" t="s">
        <v>5846</v>
      </c>
      <c r="E779" t="s">
        <v>5847</v>
      </c>
      <c r="F779" t="s">
        <v>4402</v>
      </c>
      <c r="G779" t="s">
        <v>5848</v>
      </c>
      <c r="H779" t="s">
        <v>5849</v>
      </c>
      <c r="I779">
        <f t="shared" ca="1" si="48"/>
        <v>65</v>
      </c>
      <c r="J779" t="str">
        <f t="shared" ca="1" si="49"/>
        <v>60+</v>
      </c>
      <c r="K779">
        <v>116385.83</v>
      </c>
      <c r="L779" t="str">
        <f>IF(Workforce[[#This Row],[Salary]]&lt;50000,"30k-49k",IF(Workforce[[#This Row],[Salary]]&lt;70000,"50k-69k",IF(Workforce[[#This Row],[Salary]]&lt;90000,"70k-89k","90k+")))</f>
        <v>90k+</v>
      </c>
      <c r="M779" t="s">
        <v>5850</v>
      </c>
      <c r="N779">
        <f t="shared" ca="1" si="50"/>
        <v>8</v>
      </c>
      <c r="O779" t="str">
        <f t="shared" ca="1" si="51"/>
        <v>Senior level</v>
      </c>
    </row>
    <row r="780" spans="1:15" x14ac:dyDescent="0.3">
      <c r="A780" t="s">
        <v>5851</v>
      </c>
      <c r="B780" t="s">
        <v>5852</v>
      </c>
      <c r="C780" t="s">
        <v>187</v>
      </c>
      <c r="D780" t="s">
        <v>5853</v>
      </c>
      <c r="E780" t="s">
        <v>5854</v>
      </c>
      <c r="F780" t="s">
        <v>5855</v>
      </c>
      <c r="G780" t="s">
        <v>5856</v>
      </c>
      <c r="H780" t="s">
        <v>5857</v>
      </c>
      <c r="I780">
        <f t="shared" ca="1" si="48"/>
        <v>20</v>
      </c>
      <c r="J780" t="str">
        <f t="shared" ca="1" si="49"/>
        <v>18-29</v>
      </c>
      <c r="K780">
        <v>94054.38</v>
      </c>
      <c r="L780" t="str">
        <f>IF(Workforce[[#This Row],[Salary]]&lt;50000,"30k-49k",IF(Workforce[[#This Row],[Salary]]&lt;70000,"50k-69k",IF(Workforce[[#This Row],[Salary]]&lt;90000,"70k-89k","90k+")))</f>
        <v>90k+</v>
      </c>
      <c r="M780" t="s">
        <v>5858</v>
      </c>
      <c r="N780">
        <f t="shared" ca="1" si="50"/>
        <v>9</v>
      </c>
      <c r="O780" t="str">
        <f t="shared" ca="1" si="51"/>
        <v>Senior level</v>
      </c>
    </row>
    <row r="781" spans="1:15" x14ac:dyDescent="0.3">
      <c r="A781" t="s">
        <v>5859</v>
      </c>
      <c r="B781" t="s">
        <v>5860</v>
      </c>
      <c r="C781" t="s">
        <v>79</v>
      </c>
      <c r="D781" t="s">
        <v>5861</v>
      </c>
      <c r="E781" t="s">
        <v>5862</v>
      </c>
      <c r="F781" t="s">
        <v>136</v>
      </c>
      <c r="G781" t="s">
        <v>5863</v>
      </c>
      <c r="H781" t="s">
        <v>5864</v>
      </c>
      <c r="I781">
        <f t="shared" ca="1" si="48"/>
        <v>25</v>
      </c>
      <c r="J781" t="str">
        <f t="shared" ca="1" si="49"/>
        <v>18-29</v>
      </c>
      <c r="K781">
        <v>31316.33</v>
      </c>
      <c r="L781" t="str">
        <f>IF(Workforce[[#This Row],[Salary]]&lt;50000,"30k-49k",IF(Workforce[[#This Row],[Salary]]&lt;70000,"50k-69k",IF(Workforce[[#This Row],[Salary]]&lt;90000,"70k-89k","90k+")))</f>
        <v>30k-49k</v>
      </c>
      <c r="M781" t="s">
        <v>5865</v>
      </c>
      <c r="N781">
        <f t="shared" ca="1" si="50"/>
        <v>1</v>
      </c>
      <c r="O781" t="str">
        <f t="shared" ca="1" si="51"/>
        <v>Beginner</v>
      </c>
    </row>
    <row r="782" spans="1:15" x14ac:dyDescent="0.3">
      <c r="A782" t="s">
        <v>5866</v>
      </c>
      <c r="B782" t="s">
        <v>5867</v>
      </c>
      <c r="C782" t="s">
        <v>151</v>
      </c>
      <c r="D782" t="s">
        <v>5868</v>
      </c>
      <c r="E782" t="s">
        <v>5869</v>
      </c>
      <c r="F782" t="s">
        <v>5870</v>
      </c>
      <c r="G782" t="s">
        <v>5871</v>
      </c>
      <c r="H782" t="s">
        <v>5872</v>
      </c>
      <c r="I782">
        <f t="shared" ca="1" si="48"/>
        <v>29</v>
      </c>
      <c r="J782" t="str">
        <f t="shared" ca="1" si="49"/>
        <v>18-29</v>
      </c>
      <c r="K782">
        <v>99631.96</v>
      </c>
      <c r="L782" t="str">
        <f>IF(Workforce[[#This Row],[Salary]]&lt;50000,"30k-49k",IF(Workforce[[#This Row],[Salary]]&lt;70000,"50k-69k",IF(Workforce[[#This Row],[Salary]]&lt;90000,"70k-89k","90k+")))</f>
        <v>90k+</v>
      </c>
      <c r="M782" t="s">
        <v>5873</v>
      </c>
      <c r="N782">
        <f t="shared" ca="1" si="50"/>
        <v>4</v>
      </c>
      <c r="O782" t="str">
        <f t="shared" ca="1" si="51"/>
        <v>Intermediate level</v>
      </c>
    </row>
    <row r="783" spans="1:15" x14ac:dyDescent="0.3">
      <c r="A783" t="s">
        <v>5874</v>
      </c>
      <c r="B783" t="s">
        <v>5875</v>
      </c>
      <c r="C783" t="s">
        <v>580</v>
      </c>
      <c r="D783" t="s">
        <v>5876</v>
      </c>
      <c r="E783" t="s">
        <v>5877</v>
      </c>
      <c r="F783" t="s">
        <v>4148</v>
      </c>
      <c r="G783" t="s">
        <v>2490</v>
      </c>
      <c r="H783" t="s">
        <v>5878</v>
      </c>
      <c r="I783">
        <f t="shared" ca="1" si="48"/>
        <v>21</v>
      </c>
      <c r="J783" t="str">
        <f t="shared" ca="1" si="49"/>
        <v>18-29</v>
      </c>
      <c r="K783">
        <v>116795.34</v>
      </c>
      <c r="L783" t="str">
        <f>IF(Workforce[[#This Row],[Salary]]&lt;50000,"30k-49k",IF(Workforce[[#This Row],[Salary]]&lt;70000,"50k-69k",IF(Workforce[[#This Row],[Salary]]&lt;90000,"70k-89k","90k+")))</f>
        <v>90k+</v>
      </c>
      <c r="M783" t="s">
        <v>5879</v>
      </c>
      <c r="N783">
        <f t="shared" ca="1" si="50"/>
        <v>1</v>
      </c>
      <c r="O783" t="str">
        <f t="shared" ca="1" si="51"/>
        <v>Beginner</v>
      </c>
    </row>
    <row r="784" spans="1:15" x14ac:dyDescent="0.3">
      <c r="A784" t="s">
        <v>211</v>
      </c>
      <c r="B784" t="s">
        <v>5880</v>
      </c>
      <c r="C784" t="s">
        <v>604</v>
      </c>
      <c r="D784" t="s">
        <v>5881</v>
      </c>
      <c r="E784" t="s">
        <v>5882</v>
      </c>
      <c r="F784" t="s">
        <v>1162</v>
      </c>
      <c r="G784" t="s">
        <v>5883</v>
      </c>
      <c r="H784" t="s">
        <v>5884</v>
      </c>
      <c r="I784">
        <f t="shared" ca="1" si="48"/>
        <v>24</v>
      </c>
      <c r="J784" t="str">
        <f t="shared" ca="1" si="49"/>
        <v>18-29</v>
      </c>
      <c r="K784">
        <v>34854.660000000003</v>
      </c>
      <c r="L784" t="str">
        <f>IF(Workforce[[#This Row],[Salary]]&lt;50000,"30k-49k",IF(Workforce[[#This Row],[Salary]]&lt;70000,"50k-69k",IF(Workforce[[#This Row],[Salary]]&lt;90000,"70k-89k","90k+")))</f>
        <v>30k-49k</v>
      </c>
      <c r="M784" t="s">
        <v>357</v>
      </c>
      <c r="N784">
        <f t="shared" ca="1" si="50"/>
        <v>9</v>
      </c>
      <c r="O784" t="str">
        <f t="shared" ca="1" si="51"/>
        <v>Senior level</v>
      </c>
    </row>
    <row r="785" spans="1:15" x14ac:dyDescent="0.3">
      <c r="A785" t="s">
        <v>5885</v>
      </c>
      <c r="B785" t="s">
        <v>5886</v>
      </c>
      <c r="C785" t="s">
        <v>275</v>
      </c>
      <c r="D785" t="s">
        <v>5887</v>
      </c>
      <c r="E785" t="s">
        <v>5888</v>
      </c>
      <c r="F785" t="s">
        <v>2297</v>
      </c>
      <c r="G785" t="s">
        <v>5889</v>
      </c>
      <c r="H785" t="s">
        <v>2440</v>
      </c>
      <c r="I785">
        <f t="shared" ca="1" si="48"/>
        <v>40</v>
      </c>
      <c r="J785" t="str">
        <f t="shared" ca="1" si="49"/>
        <v>40-49</v>
      </c>
      <c r="K785">
        <v>68821.740000000005</v>
      </c>
      <c r="L785" t="str">
        <f>IF(Workforce[[#This Row],[Salary]]&lt;50000,"30k-49k",IF(Workforce[[#This Row],[Salary]]&lt;70000,"50k-69k",IF(Workforce[[#This Row],[Salary]]&lt;90000,"70k-89k","90k+")))</f>
        <v>50k-69k</v>
      </c>
      <c r="M785" t="s">
        <v>5890</v>
      </c>
      <c r="N785">
        <f t="shared" ca="1" si="50"/>
        <v>4</v>
      </c>
      <c r="O785" t="str">
        <f t="shared" ca="1" si="51"/>
        <v>Intermediate level</v>
      </c>
    </row>
    <row r="786" spans="1:15" x14ac:dyDescent="0.3">
      <c r="A786" t="s">
        <v>5891</v>
      </c>
      <c r="B786" t="s">
        <v>5892</v>
      </c>
      <c r="C786" t="s">
        <v>240</v>
      </c>
      <c r="D786" t="s">
        <v>5893</v>
      </c>
      <c r="E786" t="s">
        <v>5894</v>
      </c>
      <c r="F786" t="s">
        <v>4991</v>
      </c>
      <c r="G786" t="s">
        <v>5895</v>
      </c>
      <c r="H786" t="s">
        <v>5896</v>
      </c>
      <c r="I786">
        <f t="shared" ca="1" si="48"/>
        <v>58</v>
      </c>
      <c r="J786" t="str">
        <f t="shared" ca="1" si="49"/>
        <v>50-59</v>
      </c>
      <c r="K786">
        <v>115592.05</v>
      </c>
      <c r="L786" t="str">
        <f>IF(Workforce[[#This Row],[Salary]]&lt;50000,"30k-49k",IF(Workforce[[#This Row],[Salary]]&lt;70000,"50k-69k",IF(Workforce[[#This Row],[Salary]]&lt;90000,"70k-89k","90k+")))</f>
        <v>90k+</v>
      </c>
      <c r="M786" t="s">
        <v>5897</v>
      </c>
      <c r="N786">
        <f t="shared" ca="1" si="50"/>
        <v>4</v>
      </c>
      <c r="O786" t="str">
        <f t="shared" ca="1" si="51"/>
        <v>Intermediate level</v>
      </c>
    </row>
    <row r="787" spans="1:15" x14ac:dyDescent="0.3">
      <c r="A787" t="s">
        <v>5898</v>
      </c>
      <c r="B787" t="s">
        <v>5899</v>
      </c>
      <c r="C787" t="s">
        <v>70</v>
      </c>
      <c r="D787" t="s">
        <v>5900</v>
      </c>
      <c r="E787" t="s">
        <v>5901</v>
      </c>
      <c r="F787" t="s">
        <v>5902</v>
      </c>
      <c r="G787" t="s">
        <v>5903</v>
      </c>
      <c r="H787" t="s">
        <v>5904</v>
      </c>
      <c r="I787">
        <f t="shared" ca="1" si="48"/>
        <v>32</v>
      </c>
      <c r="J787" t="str">
        <f t="shared" ca="1" si="49"/>
        <v>30-39</v>
      </c>
      <c r="K787">
        <v>77653.490000000005</v>
      </c>
      <c r="L787" t="str">
        <f>IF(Workforce[[#This Row],[Salary]]&lt;50000,"30k-49k",IF(Workforce[[#This Row],[Salary]]&lt;70000,"50k-69k",IF(Workforce[[#This Row],[Salary]]&lt;90000,"70k-89k","90k+")))</f>
        <v>70k-89k</v>
      </c>
      <c r="M787" t="s">
        <v>5905</v>
      </c>
      <c r="N787">
        <f t="shared" ca="1" si="50"/>
        <v>8</v>
      </c>
      <c r="O787" t="str">
        <f t="shared" ca="1" si="51"/>
        <v>Senior level</v>
      </c>
    </row>
    <row r="788" spans="1:15" x14ac:dyDescent="0.3">
      <c r="A788" t="s">
        <v>5906</v>
      </c>
      <c r="B788" t="s">
        <v>5907</v>
      </c>
      <c r="C788" t="s">
        <v>187</v>
      </c>
      <c r="D788" t="s">
        <v>5908</v>
      </c>
      <c r="E788" t="s">
        <v>5909</v>
      </c>
      <c r="F788" t="s">
        <v>5910</v>
      </c>
      <c r="G788" t="s">
        <v>5911</v>
      </c>
      <c r="H788" t="s">
        <v>5912</v>
      </c>
      <c r="I788">
        <f t="shared" ca="1" si="48"/>
        <v>23</v>
      </c>
      <c r="J788" t="str">
        <f t="shared" ca="1" si="49"/>
        <v>18-29</v>
      </c>
      <c r="K788">
        <v>90061.09</v>
      </c>
      <c r="L788" t="str">
        <f>IF(Workforce[[#This Row],[Salary]]&lt;50000,"30k-49k",IF(Workforce[[#This Row],[Salary]]&lt;70000,"50k-69k",IF(Workforce[[#This Row],[Salary]]&lt;90000,"70k-89k","90k+")))</f>
        <v>90k+</v>
      </c>
      <c r="M788" t="s">
        <v>5913</v>
      </c>
      <c r="N788">
        <f t="shared" ca="1" si="50"/>
        <v>9</v>
      </c>
      <c r="O788" t="str">
        <f t="shared" ca="1" si="51"/>
        <v>Senior level</v>
      </c>
    </row>
    <row r="789" spans="1:15" x14ac:dyDescent="0.3">
      <c r="A789" t="s">
        <v>5914</v>
      </c>
      <c r="B789" t="s">
        <v>5915</v>
      </c>
      <c r="C789" t="s">
        <v>169</v>
      </c>
      <c r="D789" t="s">
        <v>5916</v>
      </c>
      <c r="E789" t="s">
        <v>5917</v>
      </c>
      <c r="F789" t="s">
        <v>5918</v>
      </c>
      <c r="G789" t="s">
        <v>5919</v>
      </c>
      <c r="H789" t="s">
        <v>5920</v>
      </c>
      <c r="I789">
        <f t="shared" ca="1" si="48"/>
        <v>37</v>
      </c>
      <c r="J789" t="str">
        <f t="shared" ca="1" si="49"/>
        <v>30-39</v>
      </c>
      <c r="K789">
        <v>67071.23</v>
      </c>
      <c r="L789" t="str">
        <f>IF(Workforce[[#This Row],[Salary]]&lt;50000,"30k-49k",IF(Workforce[[#This Row],[Salary]]&lt;70000,"50k-69k",IF(Workforce[[#This Row],[Salary]]&lt;90000,"70k-89k","90k+")))</f>
        <v>50k-69k</v>
      </c>
      <c r="M789" t="s">
        <v>5921</v>
      </c>
      <c r="N789">
        <f t="shared" ca="1" si="50"/>
        <v>6</v>
      </c>
      <c r="O789" t="str">
        <f t="shared" ca="1" si="51"/>
        <v>Intermediate level</v>
      </c>
    </row>
    <row r="790" spans="1:15" x14ac:dyDescent="0.3">
      <c r="A790" t="s">
        <v>5922</v>
      </c>
      <c r="B790" t="s">
        <v>5923</v>
      </c>
      <c r="C790" t="s">
        <v>604</v>
      </c>
      <c r="D790" t="s">
        <v>5924</v>
      </c>
      <c r="E790" t="s">
        <v>5925</v>
      </c>
      <c r="F790" t="s">
        <v>3103</v>
      </c>
      <c r="G790" t="s">
        <v>5926</v>
      </c>
      <c r="H790" t="s">
        <v>5927</v>
      </c>
      <c r="I790">
        <f t="shared" ca="1" si="48"/>
        <v>32</v>
      </c>
      <c r="J790" t="str">
        <f t="shared" ca="1" si="49"/>
        <v>30-39</v>
      </c>
      <c r="K790">
        <v>74482.149999999994</v>
      </c>
      <c r="L790" t="str">
        <f>IF(Workforce[[#This Row],[Salary]]&lt;50000,"30k-49k",IF(Workforce[[#This Row],[Salary]]&lt;70000,"50k-69k",IF(Workforce[[#This Row],[Salary]]&lt;90000,"70k-89k","90k+")))</f>
        <v>70k-89k</v>
      </c>
      <c r="M790" t="s">
        <v>5928</v>
      </c>
      <c r="N790">
        <f t="shared" ca="1" si="50"/>
        <v>4</v>
      </c>
      <c r="O790" t="str">
        <f t="shared" ca="1" si="51"/>
        <v>Intermediate level</v>
      </c>
    </row>
    <row r="791" spans="1:15" x14ac:dyDescent="0.3">
      <c r="A791" t="s">
        <v>5929</v>
      </c>
      <c r="B791" t="s">
        <v>5930</v>
      </c>
      <c r="C791" t="s">
        <v>400</v>
      </c>
      <c r="D791" t="s">
        <v>5931</v>
      </c>
      <c r="E791" t="s">
        <v>5932</v>
      </c>
      <c r="F791" t="s">
        <v>1426</v>
      </c>
      <c r="G791" t="s">
        <v>5933</v>
      </c>
      <c r="H791" t="s">
        <v>5934</v>
      </c>
      <c r="I791">
        <f t="shared" ca="1" si="48"/>
        <v>55</v>
      </c>
      <c r="J791" t="str">
        <f t="shared" ca="1" si="49"/>
        <v>50-59</v>
      </c>
      <c r="K791">
        <v>58322.34</v>
      </c>
      <c r="L791" t="str">
        <f>IF(Workforce[[#This Row],[Salary]]&lt;50000,"30k-49k",IF(Workforce[[#This Row],[Salary]]&lt;70000,"50k-69k",IF(Workforce[[#This Row],[Salary]]&lt;90000,"70k-89k","90k+")))</f>
        <v>50k-69k</v>
      </c>
      <c r="M791" t="s">
        <v>5935</v>
      </c>
      <c r="N791">
        <f t="shared" ca="1" si="50"/>
        <v>9</v>
      </c>
      <c r="O791" t="str">
        <f t="shared" ca="1" si="51"/>
        <v>Senior level</v>
      </c>
    </row>
    <row r="792" spans="1:15" x14ac:dyDescent="0.3">
      <c r="A792" t="s">
        <v>5936</v>
      </c>
      <c r="B792" t="s">
        <v>5937</v>
      </c>
      <c r="C792" t="s">
        <v>222</v>
      </c>
      <c r="D792" t="s">
        <v>5938</v>
      </c>
      <c r="E792" t="s">
        <v>5939</v>
      </c>
      <c r="F792" t="s">
        <v>5940</v>
      </c>
      <c r="G792" t="s">
        <v>5941</v>
      </c>
      <c r="H792" t="s">
        <v>5942</v>
      </c>
      <c r="I792">
        <f t="shared" ca="1" si="48"/>
        <v>29</v>
      </c>
      <c r="J792" t="str">
        <f t="shared" ca="1" si="49"/>
        <v>18-29</v>
      </c>
      <c r="K792">
        <v>54068.01</v>
      </c>
      <c r="L792" t="str">
        <f>IF(Workforce[[#This Row],[Salary]]&lt;50000,"30k-49k",IF(Workforce[[#This Row],[Salary]]&lt;70000,"50k-69k",IF(Workforce[[#This Row],[Salary]]&lt;90000,"70k-89k","90k+")))</f>
        <v>50k-69k</v>
      </c>
      <c r="M792" t="s">
        <v>4173</v>
      </c>
      <c r="N792">
        <f t="shared" ca="1" si="50"/>
        <v>2</v>
      </c>
      <c r="O792" t="str">
        <f t="shared" ca="1" si="51"/>
        <v>Beginner</v>
      </c>
    </row>
    <row r="793" spans="1:15" x14ac:dyDescent="0.3">
      <c r="A793" t="s">
        <v>5943</v>
      </c>
      <c r="B793" t="s">
        <v>5944</v>
      </c>
      <c r="C793" t="s">
        <v>124</v>
      </c>
      <c r="D793" t="s">
        <v>5945</v>
      </c>
      <c r="E793" t="s">
        <v>5946</v>
      </c>
      <c r="F793" t="s">
        <v>154</v>
      </c>
      <c r="G793" t="s">
        <v>5947</v>
      </c>
      <c r="H793" t="s">
        <v>5948</v>
      </c>
      <c r="I793">
        <f t="shared" ca="1" si="48"/>
        <v>35</v>
      </c>
      <c r="J793" t="str">
        <f t="shared" ca="1" si="49"/>
        <v>30-39</v>
      </c>
      <c r="K793">
        <v>79520.009999999995</v>
      </c>
      <c r="L793" t="str">
        <f>IF(Workforce[[#This Row],[Salary]]&lt;50000,"30k-49k",IF(Workforce[[#This Row],[Salary]]&lt;70000,"50k-69k",IF(Workforce[[#This Row],[Salary]]&lt;90000,"70k-89k","90k+")))</f>
        <v>70k-89k</v>
      </c>
      <c r="M793" t="s">
        <v>5949</v>
      </c>
      <c r="N793">
        <f t="shared" ca="1" si="50"/>
        <v>4</v>
      </c>
      <c r="O793" t="str">
        <f t="shared" ca="1" si="51"/>
        <v>Intermediate level</v>
      </c>
    </row>
    <row r="794" spans="1:15" x14ac:dyDescent="0.3">
      <c r="A794" t="s">
        <v>5950</v>
      </c>
      <c r="B794" t="s">
        <v>5951</v>
      </c>
      <c r="C794" t="s">
        <v>26</v>
      </c>
      <c r="D794" t="s">
        <v>5952</v>
      </c>
      <c r="E794" t="s">
        <v>5953</v>
      </c>
      <c r="F794" t="s">
        <v>981</v>
      </c>
      <c r="G794" t="s">
        <v>5954</v>
      </c>
      <c r="H794" t="s">
        <v>5955</v>
      </c>
      <c r="I794">
        <f t="shared" ca="1" si="48"/>
        <v>50</v>
      </c>
      <c r="J794" t="str">
        <f t="shared" ca="1" si="49"/>
        <v>50-59</v>
      </c>
      <c r="K794">
        <v>63356.79</v>
      </c>
      <c r="L794" t="str">
        <f>IF(Workforce[[#This Row],[Salary]]&lt;50000,"30k-49k",IF(Workforce[[#This Row],[Salary]]&lt;70000,"50k-69k",IF(Workforce[[#This Row],[Salary]]&lt;90000,"70k-89k","90k+")))</f>
        <v>50k-69k</v>
      </c>
      <c r="M794" t="s">
        <v>1937</v>
      </c>
      <c r="N794">
        <f t="shared" ca="1" si="50"/>
        <v>7</v>
      </c>
      <c r="O794" t="str">
        <f t="shared" ca="1" si="51"/>
        <v>Senior level</v>
      </c>
    </row>
    <row r="795" spans="1:15" x14ac:dyDescent="0.3">
      <c r="A795" t="s">
        <v>5956</v>
      </c>
      <c r="B795" t="s">
        <v>5957</v>
      </c>
      <c r="C795" t="s">
        <v>351</v>
      </c>
      <c r="D795" t="s">
        <v>5958</v>
      </c>
      <c r="E795" t="s">
        <v>5959</v>
      </c>
      <c r="F795" t="s">
        <v>847</v>
      </c>
      <c r="G795" t="s">
        <v>5960</v>
      </c>
      <c r="H795" t="s">
        <v>5961</v>
      </c>
      <c r="I795">
        <f t="shared" ca="1" si="48"/>
        <v>44</v>
      </c>
      <c r="J795" t="str">
        <f t="shared" ca="1" si="49"/>
        <v>40-49</v>
      </c>
      <c r="K795">
        <v>98147.96</v>
      </c>
      <c r="L795" t="str">
        <f>IF(Workforce[[#This Row],[Salary]]&lt;50000,"30k-49k",IF(Workforce[[#This Row],[Salary]]&lt;70000,"50k-69k",IF(Workforce[[#This Row],[Salary]]&lt;90000,"70k-89k","90k+")))</f>
        <v>90k+</v>
      </c>
      <c r="M795" t="s">
        <v>5962</v>
      </c>
      <c r="N795">
        <f t="shared" ca="1" si="50"/>
        <v>9</v>
      </c>
      <c r="O795" t="str">
        <f t="shared" ca="1" si="51"/>
        <v>Senior level</v>
      </c>
    </row>
    <row r="796" spans="1:15" x14ac:dyDescent="0.3">
      <c r="A796" t="s">
        <v>5963</v>
      </c>
      <c r="B796" t="s">
        <v>5964</v>
      </c>
      <c r="C796" t="s">
        <v>133</v>
      </c>
      <c r="D796" t="s">
        <v>5965</v>
      </c>
      <c r="E796" t="s">
        <v>5966</v>
      </c>
      <c r="F796" t="s">
        <v>443</v>
      </c>
      <c r="G796" t="s">
        <v>5967</v>
      </c>
      <c r="H796" t="s">
        <v>5968</v>
      </c>
      <c r="I796">
        <f t="shared" ca="1" si="48"/>
        <v>54</v>
      </c>
      <c r="J796" t="str">
        <f t="shared" ca="1" si="49"/>
        <v>50-59</v>
      </c>
      <c r="K796">
        <v>118814.75</v>
      </c>
      <c r="L796" t="str">
        <f>IF(Workforce[[#This Row],[Salary]]&lt;50000,"30k-49k",IF(Workforce[[#This Row],[Salary]]&lt;70000,"50k-69k",IF(Workforce[[#This Row],[Salary]]&lt;90000,"70k-89k","90k+")))</f>
        <v>90k+</v>
      </c>
      <c r="M796" t="s">
        <v>5754</v>
      </c>
      <c r="N796">
        <f t="shared" ca="1" si="50"/>
        <v>7</v>
      </c>
      <c r="O796" t="str">
        <f t="shared" ca="1" si="51"/>
        <v>Senior level</v>
      </c>
    </row>
    <row r="797" spans="1:15" x14ac:dyDescent="0.3">
      <c r="A797" t="s">
        <v>5969</v>
      </c>
      <c r="B797" t="s">
        <v>5970</v>
      </c>
      <c r="C797" t="s">
        <v>231</v>
      </c>
      <c r="D797" t="s">
        <v>5971</v>
      </c>
      <c r="E797" t="s">
        <v>5972</v>
      </c>
      <c r="F797" t="s">
        <v>4170</v>
      </c>
      <c r="G797" t="s">
        <v>5973</v>
      </c>
      <c r="H797" t="s">
        <v>5974</v>
      </c>
      <c r="I797">
        <f t="shared" ca="1" si="48"/>
        <v>35</v>
      </c>
      <c r="J797" t="str">
        <f t="shared" ca="1" si="49"/>
        <v>30-39</v>
      </c>
      <c r="K797">
        <v>60753.59</v>
      </c>
      <c r="L797" t="str">
        <f>IF(Workforce[[#This Row],[Salary]]&lt;50000,"30k-49k",IF(Workforce[[#This Row],[Salary]]&lt;70000,"50k-69k",IF(Workforce[[#This Row],[Salary]]&lt;90000,"70k-89k","90k+")))</f>
        <v>50k-69k</v>
      </c>
      <c r="M797" t="s">
        <v>5975</v>
      </c>
      <c r="N797">
        <f t="shared" ca="1" si="50"/>
        <v>3</v>
      </c>
      <c r="O797" t="str">
        <f t="shared" ca="1" si="51"/>
        <v>Intermediate level</v>
      </c>
    </row>
    <row r="798" spans="1:15" x14ac:dyDescent="0.3">
      <c r="A798" t="s">
        <v>5976</v>
      </c>
      <c r="B798" t="s">
        <v>5977</v>
      </c>
      <c r="C798" t="s">
        <v>335</v>
      </c>
      <c r="D798" t="s">
        <v>5978</v>
      </c>
      <c r="E798" t="s">
        <v>5979</v>
      </c>
      <c r="F798" t="s">
        <v>3943</v>
      </c>
      <c r="G798" t="s">
        <v>5980</v>
      </c>
      <c r="H798" t="s">
        <v>5981</v>
      </c>
      <c r="I798">
        <f t="shared" ca="1" si="48"/>
        <v>59</v>
      </c>
      <c r="J798" t="str">
        <f t="shared" ca="1" si="49"/>
        <v>50-59</v>
      </c>
      <c r="K798">
        <v>110313.55</v>
      </c>
      <c r="L798" t="str">
        <f>IF(Workforce[[#This Row],[Salary]]&lt;50000,"30k-49k",IF(Workforce[[#This Row],[Salary]]&lt;70000,"50k-69k",IF(Workforce[[#This Row],[Salary]]&lt;90000,"70k-89k","90k+")))</f>
        <v>90k+</v>
      </c>
      <c r="M798" t="s">
        <v>5982</v>
      </c>
      <c r="N798">
        <f t="shared" ca="1" si="50"/>
        <v>1</v>
      </c>
      <c r="O798" t="str">
        <f t="shared" ca="1" si="51"/>
        <v>Beginner</v>
      </c>
    </row>
    <row r="799" spans="1:15" x14ac:dyDescent="0.3">
      <c r="A799" t="s">
        <v>5983</v>
      </c>
      <c r="B799" t="s">
        <v>5984</v>
      </c>
      <c r="C799" t="s">
        <v>1223</v>
      </c>
      <c r="D799" t="s">
        <v>5985</v>
      </c>
      <c r="E799" t="s">
        <v>5986</v>
      </c>
      <c r="F799" t="s">
        <v>3746</v>
      </c>
      <c r="G799" t="s">
        <v>5987</v>
      </c>
      <c r="H799" t="s">
        <v>5988</v>
      </c>
      <c r="I799">
        <f t="shared" ca="1" si="48"/>
        <v>59</v>
      </c>
      <c r="J799" t="str">
        <f t="shared" ca="1" si="49"/>
        <v>50-59</v>
      </c>
      <c r="K799">
        <v>117925.81</v>
      </c>
      <c r="L799" t="str">
        <f>IF(Workforce[[#This Row],[Salary]]&lt;50000,"30k-49k",IF(Workforce[[#This Row],[Salary]]&lt;70000,"50k-69k",IF(Workforce[[#This Row],[Salary]]&lt;90000,"70k-89k","90k+")))</f>
        <v>90k+</v>
      </c>
      <c r="M799" t="s">
        <v>4930</v>
      </c>
      <c r="N799">
        <f t="shared" ca="1" si="50"/>
        <v>10</v>
      </c>
      <c r="O799" t="str">
        <f t="shared" ca="1" si="51"/>
        <v>Senior level</v>
      </c>
    </row>
    <row r="800" spans="1:15" x14ac:dyDescent="0.3">
      <c r="A800" t="s">
        <v>5989</v>
      </c>
      <c r="B800" t="s">
        <v>5990</v>
      </c>
      <c r="C800" t="s">
        <v>240</v>
      </c>
      <c r="D800" t="s">
        <v>5991</v>
      </c>
      <c r="E800" t="s">
        <v>5992</v>
      </c>
      <c r="F800" t="s">
        <v>5993</v>
      </c>
      <c r="G800" t="s">
        <v>5994</v>
      </c>
      <c r="H800" t="s">
        <v>5995</v>
      </c>
      <c r="I800">
        <f t="shared" ca="1" si="48"/>
        <v>63</v>
      </c>
      <c r="J800" t="str">
        <f t="shared" ca="1" si="49"/>
        <v>60+</v>
      </c>
      <c r="K800">
        <v>36379.97</v>
      </c>
      <c r="L800" t="str">
        <f>IF(Workforce[[#This Row],[Salary]]&lt;50000,"30k-49k",IF(Workforce[[#This Row],[Salary]]&lt;70000,"50k-69k",IF(Workforce[[#This Row],[Salary]]&lt;90000,"70k-89k","90k+")))</f>
        <v>30k-49k</v>
      </c>
      <c r="M800" t="s">
        <v>5996</v>
      </c>
      <c r="N800">
        <f t="shared" ca="1" si="50"/>
        <v>6</v>
      </c>
      <c r="O800" t="str">
        <f t="shared" ca="1" si="51"/>
        <v>Intermediate level</v>
      </c>
    </row>
    <row r="801" spans="1:15" x14ac:dyDescent="0.3">
      <c r="A801" t="s">
        <v>5997</v>
      </c>
      <c r="B801" t="s">
        <v>5998</v>
      </c>
      <c r="C801" t="s">
        <v>160</v>
      </c>
      <c r="D801" t="s">
        <v>5999</v>
      </c>
      <c r="E801" t="s">
        <v>6000</v>
      </c>
      <c r="F801" t="s">
        <v>2731</v>
      </c>
      <c r="G801" t="s">
        <v>6001</v>
      </c>
      <c r="H801" t="s">
        <v>6002</v>
      </c>
      <c r="I801">
        <f t="shared" ca="1" si="48"/>
        <v>53</v>
      </c>
      <c r="J801" t="str">
        <f t="shared" ca="1" si="49"/>
        <v>50-59</v>
      </c>
      <c r="K801">
        <v>36981.93</v>
      </c>
      <c r="L801" t="str">
        <f>IF(Workforce[[#This Row],[Salary]]&lt;50000,"30k-49k",IF(Workforce[[#This Row],[Salary]]&lt;70000,"50k-69k",IF(Workforce[[#This Row],[Salary]]&lt;90000,"70k-89k","90k+")))</f>
        <v>30k-49k</v>
      </c>
      <c r="M801" t="s">
        <v>6003</v>
      </c>
      <c r="N801">
        <f t="shared" ca="1" si="50"/>
        <v>4</v>
      </c>
      <c r="O801" t="str">
        <f t="shared" ca="1" si="51"/>
        <v>Intermediate level</v>
      </c>
    </row>
    <row r="802" spans="1:15" x14ac:dyDescent="0.3">
      <c r="A802" t="s">
        <v>6004</v>
      </c>
      <c r="B802" t="s">
        <v>6005</v>
      </c>
      <c r="C802" t="s">
        <v>44</v>
      </c>
      <c r="D802" t="s">
        <v>6006</v>
      </c>
      <c r="E802" t="s">
        <v>6007</v>
      </c>
      <c r="F802" t="s">
        <v>6008</v>
      </c>
      <c r="G802" t="s">
        <v>6009</v>
      </c>
      <c r="H802" t="s">
        <v>6010</v>
      </c>
      <c r="I802">
        <f t="shared" ca="1" si="48"/>
        <v>51</v>
      </c>
      <c r="J802" t="str">
        <f t="shared" ca="1" si="49"/>
        <v>50-59</v>
      </c>
      <c r="K802">
        <v>57782</v>
      </c>
      <c r="L802" t="str">
        <f>IF(Workforce[[#This Row],[Salary]]&lt;50000,"30k-49k",IF(Workforce[[#This Row],[Salary]]&lt;70000,"50k-69k",IF(Workforce[[#This Row],[Salary]]&lt;90000,"70k-89k","90k+")))</f>
        <v>50k-69k</v>
      </c>
      <c r="M802" t="s">
        <v>6011</v>
      </c>
      <c r="N802">
        <f t="shared" ca="1" si="50"/>
        <v>4</v>
      </c>
      <c r="O802" t="str">
        <f t="shared" ca="1" si="51"/>
        <v>Intermediate level</v>
      </c>
    </row>
    <row r="803" spans="1:15" x14ac:dyDescent="0.3">
      <c r="A803" t="s">
        <v>6012</v>
      </c>
      <c r="B803" t="s">
        <v>6013</v>
      </c>
      <c r="C803" t="s">
        <v>151</v>
      </c>
      <c r="D803" t="s">
        <v>6014</v>
      </c>
      <c r="E803" t="s">
        <v>6015</v>
      </c>
      <c r="F803" t="s">
        <v>6016</v>
      </c>
      <c r="G803" t="s">
        <v>6017</v>
      </c>
      <c r="H803" t="s">
        <v>6018</v>
      </c>
      <c r="I803">
        <f t="shared" ca="1" si="48"/>
        <v>53</v>
      </c>
      <c r="J803" t="str">
        <f t="shared" ca="1" si="49"/>
        <v>50-59</v>
      </c>
      <c r="K803">
        <v>112095.26</v>
      </c>
      <c r="L803" t="str">
        <f>IF(Workforce[[#This Row],[Salary]]&lt;50000,"30k-49k",IF(Workforce[[#This Row],[Salary]]&lt;70000,"50k-69k",IF(Workforce[[#This Row],[Salary]]&lt;90000,"70k-89k","90k+")))</f>
        <v>90k+</v>
      </c>
      <c r="M803" t="s">
        <v>6019</v>
      </c>
      <c r="N803">
        <f t="shared" ca="1" si="50"/>
        <v>6</v>
      </c>
      <c r="O803" t="str">
        <f t="shared" ca="1" si="51"/>
        <v>Intermediate level</v>
      </c>
    </row>
    <row r="804" spans="1:15" x14ac:dyDescent="0.3">
      <c r="A804" t="s">
        <v>6020</v>
      </c>
      <c r="B804" t="s">
        <v>6021</v>
      </c>
      <c r="C804" t="s">
        <v>844</v>
      </c>
      <c r="D804" t="s">
        <v>6022</v>
      </c>
      <c r="E804" t="s">
        <v>6023</v>
      </c>
      <c r="F804" t="s">
        <v>3900</v>
      </c>
      <c r="G804" t="s">
        <v>6024</v>
      </c>
      <c r="H804" t="s">
        <v>6025</v>
      </c>
      <c r="I804">
        <f t="shared" ca="1" si="48"/>
        <v>46</v>
      </c>
      <c r="J804" t="str">
        <f t="shared" ca="1" si="49"/>
        <v>40-49</v>
      </c>
      <c r="K804">
        <v>60892.71</v>
      </c>
      <c r="L804" t="str">
        <f>IF(Workforce[[#This Row],[Salary]]&lt;50000,"30k-49k",IF(Workforce[[#This Row],[Salary]]&lt;70000,"50k-69k",IF(Workforce[[#This Row],[Salary]]&lt;90000,"70k-89k","90k+")))</f>
        <v>50k-69k</v>
      </c>
      <c r="M804" t="s">
        <v>6026</v>
      </c>
      <c r="N804">
        <f t="shared" ca="1" si="50"/>
        <v>4</v>
      </c>
      <c r="O804" t="str">
        <f t="shared" ca="1" si="51"/>
        <v>Intermediate level</v>
      </c>
    </row>
    <row r="805" spans="1:15" x14ac:dyDescent="0.3">
      <c r="A805" t="s">
        <v>6027</v>
      </c>
      <c r="B805" t="s">
        <v>6028</v>
      </c>
      <c r="C805" t="s">
        <v>995</v>
      </c>
      <c r="D805" t="s">
        <v>6029</v>
      </c>
      <c r="E805" t="s">
        <v>6030</v>
      </c>
      <c r="F805" t="s">
        <v>517</v>
      </c>
      <c r="G805" t="s">
        <v>6031</v>
      </c>
      <c r="H805" t="s">
        <v>6032</v>
      </c>
      <c r="I805">
        <f t="shared" ca="1" si="48"/>
        <v>31</v>
      </c>
      <c r="J805" t="str">
        <f t="shared" ca="1" si="49"/>
        <v>30-39</v>
      </c>
      <c r="K805">
        <v>105987.89</v>
      </c>
      <c r="L805" t="str">
        <f>IF(Workforce[[#This Row],[Salary]]&lt;50000,"30k-49k",IF(Workforce[[#This Row],[Salary]]&lt;70000,"50k-69k",IF(Workforce[[#This Row],[Salary]]&lt;90000,"70k-89k","90k+")))</f>
        <v>90k+</v>
      </c>
      <c r="M805" t="s">
        <v>6033</v>
      </c>
      <c r="N805">
        <f t="shared" ca="1" si="50"/>
        <v>7</v>
      </c>
      <c r="O805" t="str">
        <f t="shared" ca="1" si="51"/>
        <v>Senior level</v>
      </c>
    </row>
    <row r="806" spans="1:15" x14ac:dyDescent="0.3">
      <c r="A806" t="s">
        <v>6034</v>
      </c>
      <c r="B806" t="s">
        <v>6035</v>
      </c>
      <c r="C806" t="s">
        <v>995</v>
      </c>
      <c r="D806" t="s">
        <v>6036</v>
      </c>
      <c r="E806" t="s">
        <v>6037</v>
      </c>
      <c r="F806" t="s">
        <v>542</v>
      </c>
      <c r="G806" t="s">
        <v>6038</v>
      </c>
      <c r="H806" t="s">
        <v>6039</v>
      </c>
      <c r="I806">
        <f t="shared" ca="1" si="48"/>
        <v>45</v>
      </c>
      <c r="J806" t="str">
        <f t="shared" ca="1" si="49"/>
        <v>40-49</v>
      </c>
      <c r="K806">
        <v>64327.27</v>
      </c>
      <c r="L806" t="str">
        <f>IF(Workforce[[#This Row],[Salary]]&lt;50000,"30k-49k",IF(Workforce[[#This Row],[Salary]]&lt;70000,"50k-69k",IF(Workforce[[#This Row],[Salary]]&lt;90000,"70k-89k","90k+")))</f>
        <v>50k-69k</v>
      </c>
      <c r="M806" t="s">
        <v>6040</v>
      </c>
      <c r="N806">
        <f t="shared" ca="1" si="50"/>
        <v>1</v>
      </c>
      <c r="O806" t="str">
        <f t="shared" ca="1" si="51"/>
        <v>Beginner</v>
      </c>
    </row>
    <row r="807" spans="1:15" x14ac:dyDescent="0.3">
      <c r="A807" t="s">
        <v>6041</v>
      </c>
      <c r="B807" t="s">
        <v>6042</v>
      </c>
      <c r="C807" t="s">
        <v>97</v>
      </c>
      <c r="D807" t="s">
        <v>6043</v>
      </c>
      <c r="E807" t="s">
        <v>6044</v>
      </c>
      <c r="F807" t="s">
        <v>5432</v>
      </c>
      <c r="G807" t="s">
        <v>6045</v>
      </c>
      <c r="H807" t="s">
        <v>6046</v>
      </c>
      <c r="I807">
        <f t="shared" ca="1" si="48"/>
        <v>33</v>
      </c>
      <c r="J807" t="str">
        <f t="shared" ca="1" si="49"/>
        <v>30-39</v>
      </c>
      <c r="K807">
        <v>100338.79</v>
      </c>
      <c r="L807" t="str">
        <f>IF(Workforce[[#This Row],[Salary]]&lt;50000,"30k-49k",IF(Workforce[[#This Row],[Salary]]&lt;70000,"50k-69k",IF(Workforce[[#This Row],[Salary]]&lt;90000,"70k-89k","90k+")))</f>
        <v>90k+</v>
      </c>
      <c r="M807" t="s">
        <v>1460</v>
      </c>
      <c r="N807">
        <f t="shared" ca="1" si="50"/>
        <v>6</v>
      </c>
      <c r="O807" t="str">
        <f t="shared" ca="1" si="51"/>
        <v>Intermediate level</v>
      </c>
    </row>
    <row r="808" spans="1:15" x14ac:dyDescent="0.3">
      <c r="A808" t="s">
        <v>6047</v>
      </c>
      <c r="B808" t="s">
        <v>6048</v>
      </c>
      <c r="C808" t="s">
        <v>995</v>
      </c>
      <c r="D808" t="s">
        <v>6049</v>
      </c>
      <c r="E808" t="s">
        <v>6050</v>
      </c>
      <c r="F808" t="s">
        <v>4734</v>
      </c>
      <c r="G808" t="s">
        <v>6051</v>
      </c>
      <c r="H808" t="s">
        <v>6052</v>
      </c>
      <c r="I808">
        <f t="shared" ca="1" si="48"/>
        <v>20</v>
      </c>
      <c r="J808" t="str">
        <f t="shared" ca="1" si="49"/>
        <v>18-29</v>
      </c>
      <c r="K808">
        <v>115459.75</v>
      </c>
      <c r="L808" t="str">
        <f>IF(Workforce[[#This Row],[Salary]]&lt;50000,"30k-49k",IF(Workforce[[#This Row],[Salary]]&lt;70000,"50k-69k",IF(Workforce[[#This Row],[Salary]]&lt;90000,"70k-89k","90k+")))</f>
        <v>90k+</v>
      </c>
      <c r="M808" t="s">
        <v>6053</v>
      </c>
      <c r="N808">
        <f t="shared" ca="1" si="50"/>
        <v>3</v>
      </c>
      <c r="O808" t="str">
        <f t="shared" ca="1" si="51"/>
        <v>Intermediate level</v>
      </c>
    </row>
    <row r="809" spans="1:15" x14ac:dyDescent="0.3">
      <c r="A809" t="s">
        <v>6054</v>
      </c>
      <c r="B809" t="s">
        <v>6055</v>
      </c>
      <c r="C809" t="s">
        <v>169</v>
      </c>
      <c r="D809" t="s">
        <v>6056</v>
      </c>
      <c r="E809" t="s">
        <v>6057</v>
      </c>
      <c r="F809" t="s">
        <v>1328</v>
      </c>
      <c r="G809" t="s">
        <v>6058</v>
      </c>
      <c r="H809" t="s">
        <v>6059</v>
      </c>
      <c r="I809">
        <f t="shared" ca="1" si="48"/>
        <v>45</v>
      </c>
      <c r="J809" t="str">
        <f t="shared" ca="1" si="49"/>
        <v>40-49</v>
      </c>
      <c r="K809">
        <v>114752.74</v>
      </c>
      <c r="L809" t="str">
        <f>IF(Workforce[[#This Row],[Salary]]&lt;50000,"30k-49k",IF(Workforce[[#This Row],[Salary]]&lt;70000,"50k-69k",IF(Workforce[[#This Row],[Salary]]&lt;90000,"70k-89k","90k+")))</f>
        <v>90k+</v>
      </c>
      <c r="M809" t="s">
        <v>6060</v>
      </c>
      <c r="N809">
        <f t="shared" ca="1" si="50"/>
        <v>9</v>
      </c>
      <c r="O809" t="str">
        <f t="shared" ca="1" si="51"/>
        <v>Senior level</v>
      </c>
    </row>
    <row r="810" spans="1:15" x14ac:dyDescent="0.3">
      <c r="A810" t="s">
        <v>6061</v>
      </c>
      <c r="B810" t="s">
        <v>6062</v>
      </c>
      <c r="C810" t="s">
        <v>133</v>
      </c>
      <c r="D810" t="s">
        <v>6063</v>
      </c>
      <c r="E810" t="s">
        <v>6064</v>
      </c>
      <c r="F810" t="s">
        <v>5293</v>
      </c>
      <c r="G810" t="s">
        <v>6065</v>
      </c>
      <c r="H810" t="s">
        <v>6066</v>
      </c>
      <c r="I810">
        <f t="shared" ca="1" si="48"/>
        <v>64</v>
      </c>
      <c r="J810" t="str">
        <f t="shared" ca="1" si="49"/>
        <v>60+</v>
      </c>
      <c r="K810">
        <v>39721.919999999998</v>
      </c>
      <c r="L810" t="str">
        <f>IF(Workforce[[#This Row],[Salary]]&lt;50000,"30k-49k",IF(Workforce[[#This Row],[Salary]]&lt;70000,"50k-69k",IF(Workforce[[#This Row],[Salary]]&lt;90000,"70k-89k","90k+")))</f>
        <v>30k-49k</v>
      </c>
      <c r="M810" t="s">
        <v>6067</v>
      </c>
      <c r="N810">
        <f t="shared" ca="1" si="50"/>
        <v>8</v>
      </c>
      <c r="O810" t="str">
        <f t="shared" ca="1" si="51"/>
        <v>Senior level</v>
      </c>
    </row>
    <row r="811" spans="1:15" x14ac:dyDescent="0.3">
      <c r="A811" t="s">
        <v>6068</v>
      </c>
      <c r="B811" t="s">
        <v>6069</v>
      </c>
      <c r="C811" t="s">
        <v>231</v>
      </c>
      <c r="D811" t="s">
        <v>6070</v>
      </c>
      <c r="E811" t="s">
        <v>6071</v>
      </c>
      <c r="F811" t="s">
        <v>4305</v>
      </c>
      <c r="G811" t="s">
        <v>6072</v>
      </c>
      <c r="H811" t="s">
        <v>6073</v>
      </c>
      <c r="I811">
        <f t="shared" ca="1" si="48"/>
        <v>54</v>
      </c>
      <c r="J811" t="str">
        <f t="shared" ca="1" si="49"/>
        <v>50-59</v>
      </c>
      <c r="K811">
        <v>43746.65</v>
      </c>
      <c r="L811" t="str">
        <f>IF(Workforce[[#This Row],[Salary]]&lt;50000,"30k-49k",IF(Workforce[[#This Row],[Salary]]&lt;70000,"50k-69k",IF(Workforce[[#This Row],[Salary]]&lt;90000,"70k-89k","90k+")))</f>
        <v>30k-49k</v>
      </c>
      <c r="M811" t="s">
        <v>6074</v>
      </c>
      <c r="N811">
        <f t="shared" ca="1" si="50"/>
        <v>7</v>
      </c>
      <c r="O811" t="str">
        <f t="shared" ca="1" si="51"/>
        <v>Senior level</v>
      </c>
    </row>
    <row r="812" spans="1:15" x14ac:dyDescent="0.3">
      <c r="A812" t="s">
        <v>6075</v>
      </c>
      <c r="B812" t="s">
        <v>6076</v>
      </c>
      <c r="C812" t="s">
        <v>196</v>
      </c>
      <c r="D812" t="s">
        <v>6077</v>
      </c>
      <c r="E812" t="s">
        <v>6078</v>
      </c>
      <c r="F812" t="s">
        <v>6079</v>
      </c>
      <c r="G812" t="s">
        <v>6080</v>
      </c>
      <c r="H812" t="s">
        <v>6081</v>
      </c>
      <c r="I812">
        <f t="shared" ca="1" si="48"/>
        <v>36</v>
      </c>
      <c r="J812" t="str">
        <f t="shared" ca="1" si="49"/>
        <v>30-39</v>
      </c>
      <c r="K812">
        <v>98599.91</v>
      </c>
      <c r="L812" t="str">
        <f>IF(Workforce[[#This Row],[Salary]]&lt;50000,"30k-49k",IF(Workforce[[#This Row],[Salary]]&lt;70000,"50k-69k",IF(Workforce[[#This Row],[Salary]]&lt;90000,"70k-89k","90k+")))</f>
        <v>90k+</v>
      </c>
      <c r="M812" t="s">
        <v>6082</v>
      </c>
      <c r="N812">
        <f t="shared" ca="1" si="50"/>
        <v>7</v>
      </c>
      <c r="O812" t="str">
        <f t="shared" ca="1" si="51"/>
        <v>Senior level</v>
      </c>
    </row>
    <row r="813" spans="1:15" x14ac:dyDescent="0.3">
      <c r="A813" t="s">
        <v>6083</v>
      </c>
      <c r="B813" t="s">
        <v>6084</v>
      </c>
      <c r="C813" t="s">
        <v>79</v>
      </c>
      <c r="D813" t="s">
        <v>6085</v>
      </c>
      <c r="E813" t="s">
        <v>6086</v>
      </c>
      <c r="F813" t="s">
        <v>460</v>
      </c>
      <c r="G813" t="s">
        <v>6087</v>
      </c>
      <c r="H813" t="s">
        <v>6088</v>
      </c>
      <c r="I813">
        <f t="shared" ca="1" si="48"/>
        <v>28</v>
      </c>
      <c r="J813" t="str">
        <f t="shared" ca="1" si="49"/>
        <v>18-29</v>
      </c>
      <c r="K813">
        <v>33569.51</v>
      </c>
      <c r="L813" t="str">
        <f>IF(Workforce[[#This Row],[Salary]]&lt;50000,"30k-49k",IF(Workforce[[#This Row],[Salary]]&lt;70000,"50k-69k",IF(Workforce[[#This Row],[Salary]]&lt;90000,"70k-89k","90k+")))</f>
        <v>30k-49k</v>
      </c>
      <c r="M813" t="s">
        <v>6089</v>
      </c>
      <c r="N813">
        <f t="shared" ca="1" si="50"/>
        <v>10</v>
      </c>
      <c r="O813" t="str">
        <f t="shared" ca="1" si="51"/>
        <v>Senior level</v>
      </c>
    </row>
    <row r="814" spans="1:15" x14ac:dyDescent="0.3">
      <c r="A814" t="s">
        <v>6090</v>
      </c>
      <c r="B814" t="s">
        <v>6091</v>
      </c>
      <c r="C814" t="s">
        <v>187</v>
      </c>
      <c r="D814" t="s">
        <v>6092</v>
      </c>
      <c r="E814" t="s">
        <v>6093</v>
      </c>
      <c r="F814" t="s">
        <v>6094</v>
      </c>
      <c r="G814" t="s">
        <v>6095</v>
      </c>
      <c r="H814" t="s">
        <v>6096</v>
      </c>
      <c r="I814">
        <f t="shared" ca="1" si="48"/>
        <v>49</v>
      </c>
      <c r="J814" t="str">
        <f t="shared" ca="1" si="49"/>
        <v>40-49</v>
      </c>
      <c r="K814">
        <v>64643.15</v>
      </c>
      <c r="L814" t="str">
        <f>IF(Workforce[[#This Row],[Salary]]&lt;50000,"30k-49k",IF(Workforce[[#This Row],[Salary]]&lt;70000,"50k-69k",IF(Workforce[[#This Row],[Salary]]&lt;90000,"70k-89k","90k+")))</f>
        <v>50k-69k</v>
      </c>
      <c r="M814" t="s">
        <v>6097</v>
      </c>
      <c r="N814">
        <f t="shared" ca="1" si="50"/>
        <v>8</v>
      </c>
      <c r="O814" t="str">
        <f t="shared" ca="1" si="51"/>
        <v>Senior level</v>
      </c>
    </row>
    <row r="815" spans="1:15" x14ac:dyDescent="0.3">
      <c r="A815" t="s">
        <v>6098</v>
      </c>
      <c r="B815" t="s">
        <v>6099</v>
      </c>
      <c r="C815" t="s">
        <v>257</v>
      </c>
      <c r="D815" t="s">
        <v>6100</v>
      </c>
      <c r="E815" t="s">
        <v>6101</v>
      </c>
      <c r="F815" t="s">
        <v>5622</v>
      </c>
      <c r="G815" t="s">
        <v>6102</v>
      </c>
      <c r="H815" t="s">
        <v>6103</v>
      </c>
      <c r="I815">
        <f t="shared" ca="1" si="48"/>
        <v>54</v>
      </c>
      <c r="J815" t="str">
        <f t="shared" ca="1" si="49"/>
        <v>50-59</v>
      </c>
      <c r="K815">
        <v>111534.74</v>
      </c>
      <c r="L815" t="str">
        <f>IF(Workforce[[#This Row],[Salary]]&lt;50000,"30k-49k",IF(Workforce[[#This Row],[Salary]]&lt;70000,"50k-69k",IF(Workforce[[#This Row],[Salary]]&lt;90000,"70k-89k","90k+")))</f>
        <v>90k+</v>
      </c>
      <c r="M815" t="s">
        <v>6104</v>
      </c>
      <c r="N815">
        <f t="shared" ca="1" si="50"/>
        <v>7</v>
      </c>
      <c r="O815" t="str">
        <f t="shared" ca="1" si="51"/>
        <v>Senior level</v>
      </c>
    </row>
    <row r="816" spans="1:15" x14ac:dyDescent="0.3">
      <c r="A816" t="s">
        <v>6105</v>
      </c>
      <c r="B816" t="s">
        <v>6106</v>
      </c>
      <c r="C816" t="s">
        <v>844</v>
      </c>
      <c r="D816" t="s">
        <v>6107</v>
      </c>
      <c r="E816" t="s">
        <v>6108</v>
      </c>
      <c r="F816" t="s">
        <v>6109</v>
      </c>
      <c r="G816" t="s">
        <v>6110</v>
      </c>
      <c r="H816" t="s">
        <v>6111</v>
      </c>
      <c r="I816">
        <f t="shared" ca="1" si="48"/>
        <v>64</v>
      </c>
      <c r="J816" t="str">
        <f t="shared" ca="1" si="49"/>
        <v>60+</v>
      </c>
      <c r="K816">
        <v>69303.710000000006</v>
      </c>
      <c r="L816" t="str">
        <f>IF(Workforce[[#This Row],[Salary]]&lt;50000,"30k-49k",IF(Workforce[[#This Row],[Salary]]&lt;70000,"50k-69k",IF(Workforce[[#This Row],[Salary]]&lt;90000,"70k-89k","90k+")))</f>
        <v>50k-69k</v>
      </c>
      <c r="M816" t="s">
        <v>6112</v>
      </c>
      <c r="N816">
        <f t="shared" ca="1" si="50"/>
        <v>1</v>
      </c>
      <c r="O816" t="str">
        <f t="shared" ca="1" si="51"/>
        <v>Beginner</v>
      </c>
    </row>
    <row r="817" spans="1:15" x14ac:dyDescent="0.3">
      <c r="A817" t="s">
        <v>6113</v>
      </c>
      <c r="B817" t="s">
        <v>6114</v>
      </c>
      <c r="C817" t="s">
        <v>187</v>
      </c>
      <c r="D817" t="s">
        <v>6115</v>
      </c>
      <c r="E817" t="s">
        <v>6116</v>
      </c>
      <c r="F817" t="s">
        <v>1107</v>
      </c>
      <c r="G817" t="s">
        <v>6117</v>
      </c>
      <c r="H817" t="s">
        <v>6118</v>
      </c>
      <c r="I817">
        <f t="shared" ca="1" si="48"/>
        <v>57</v>
      </c>
      <c r="J817" t="str">
        <f t="shared" ca="1" si="49"/>
        <v>50-59</v>
      </c>
      <c r="K817">
        <v>96555.4</v>
      </c>
      <c r="L817" t="str">
        <f>IF(Workforce[[#This Row],[Salary]]&lt;50000,"30k-49k",IF(Workforce[[#This Row],[Salary]]&lt;70000,"50k-69k",IF(Workforce[[#This Row],[Salary]]&lt;90000,"70k-89k","90k+")))</f>
        <v>90k+</v>
      </c>
      <c r="M817" t="s">
        <v>6119</v>
      </c>
      <c r="N817">
        <f t="shared" ca="1" si="50"/>
        <v>10</v>
      </c>
      <c r="O817" t="str">
        <f t="shared" ca="1" si="51"/>
        <v>Senior level</v>
      </c>
    </row>
    <row r="818" spans="1:15" x14ac:dyDescent="0.3">
      <c r="A818" t="s">
        <v>6120</v>
      </c>
      <c r="B818" t="s">
        <v>6121</v>
      </c>
      <c r="C818" t="s">
        <v>482</v>
      </c>
      <c r="D818" t="s">
        <v>6122</v>
      </c>
      <c r="E818" t="s">
        <v>6123</v>
      </c>
      <c r="F818" t="s">
        <v>6124</v>
      </c>
      <c r="G818" t="s">
        <v>6125</v>
      </c>
      <c r="H818" t="s">
        <v>6126</v>
      </c>
      <c r="I818">
        <f t="shared" ca="1" si="48"/>
        <v>22</v>
      </c>
      <c r="J818" t="str">
        <f t="shared" ca="1" si="49"/>
        <v>18-29</v>
      </c>
      <c r="K818">
        <v>105595.57</v>
      </c>
      <c r="L818" t="str">
        <f>IF(Workforce[[#This Row],[Salary]]&lt;50000,"30k-49k",IF(Workforce[[#This Row],[Salary]]&lt;70000,"50k-69k",IF(Workforce[[#This Row],[Salary]]&lt;90000,"70k-89k","90k+")))</f>
        <v>90k+</v>
      </c>
      <c r="M818" t="s">
        <v>6127</v>
      </c>
      <c r="N818">
        <f t="shared" ca="1" si="50"/>
        <v>7</v>
      </c>
      <c r="O818" t="str">
        <f t="shared" ca="1" si="51"/>
        <v>Senior level</v>
      </c>
    </row>
    <row r="819" spans="1:15" x14ac:dyDescent="0.3">
      <c r="A819" t="s">
        <v>6128</v>
      </c>
      <c r="B819" t="s">
        <v>6129</v>
      </c>
      <c r="C819" t="s">
        <v>35</v>
      </c>
      <c r="D819" t="s">
        <v>6130</v>
      </c>
      <c r="E819" t="s">
        <v>6131</v>
      </c>
      <c r="F819" t="s">
        <v>6132</v>
      </c>
      <c r="G819" t="s">
        <v>6133</v>
      </c>
      <c r="H819" t="s">
        <v>6134</v>
      </c>
      <c r="I819">
        <f t="shared" ca="1" si="48"/>
        <v>50</v>
      </c>
      <c r="J819" t="str">
        <f t="shared" ca="1" si="49"/>
        <v>50-59</v>
      </c>
      <c r="K819">
        <v>98018.08</v>
      </c>
      <c r="L819" t="str">
        <f>IF(Workforce[[#This Row],[Salary]]&lt;50000,"30k-49k",IF(Workforce[[#This Row],[Salary]]&lt;70000,"50k-69k",IF(Workforce[[#This Row],[Salary]]&lt;90000,"70k-89k","90k+")))</f>
        <v>90k+</v>
      </c>
      <c r="M819" t="s">
        <v>6135</v>
      </c>
      <c r="N819">
        <f t="shared" ca="1" si="50"/>
        <v>1</v>
      </c>
      <c r="O819" t="str">
        <f t="shared" ca="1" si="51"/>
        <v>Beginner</v>
      </c>
    </row>
    <row r="820" spans="1:15" x14ac:dyDescent="0.3">
      <c r="A820" t="s">
        <v>6136</v>
      </c>
      <c r="B820" t="s">
        <v>6137</v>
      </c>
      <c r="C820" t="s">
        <v>79</v>
      </c>
      <c r="D820" t="s">
        <v>6138</v>
      </c>
      <c r="E820" t="s">
        <v>6139</v>
      </c>
      <c r="F820" t="s">
        <v>3071</v>
      </c>
      <c r="G820" t="s">
        <v>6140</v>
      </c>
      <c r="H820" t="s">
        <v>6141</v>
      </c>
      <c r="I820">
        <f t="shared" ca="1" si="48"/>
        <v>64</v>
      </c>
      <c r="J820" t="str">
        <f t="shared" ca="1" si="49"/>
        <v>60+</v>
      </c>
      <c r="K820">
        <v>91111.97</v>
      </c>
      <c r="L820" t="str">
        <f>IF(Workforce[[#This Row],[Salary]]&lt;50000,"30k-49k",IF(Workforce[[#This Row],[Salary]]&lt;70000,"50k-69k",IF(Workforce[[#This Row],[Salary]]&lt;90000,"70k-89k","90k+")))</f>
        <v>90k+</v>
      </c>
      <c r="M820" t="s">
        <v>6142</v>
      </c>
      <c r="N820">
        <f t="shared" ca="1" si="50"/>
        <v>5</v>
      </c>
      <c r="O820" t="str">
        <f t="shared" ca="1" si="51"/>
        <v>Intermediate level</v>
      </c>
    </row>
    <row r="821" spans="1:15" x14ac:dyDescent="0.3">
      <c r="A821" t="s">
        <v>6143</v>
      </c>
      <c r="B821" t="s">
        <v>6144</v>
      </c>
      <c r="C821" t="s">
        <v>653</v>
      </c>
      <c r="D821" t="s">
        <v>6145</v>
      </c>
      <c r="E821" t="s">
        <v>6146</v>
      </c>
      <c r="F821" t="s">
        <v>574</v>
      </c>
      <c r="G821" t="s">
        <v>6147</v>
      </c>
      <c r="H821" t="s">
        <v>6148</v>
      </c>
      <c r="I821">
        <f t="shared" ca="1" si="48"/>
        <v>23</v>
      </c>
      <c r="J821" t="str">
        <f t="shared" ca="1" si="49"/>
        <v>18-29</v>
      </c>
      <c r="K821">
        <v>93495.4</v>
      </c>
      <c r="L821" t="str">
        <f>IF(Workforce[[#This Row],[Salary]]&lt;50000,"30k-49k",IF(Workforce[[#This Row],[Salary]]&lt;70000,"50k-69k",IF(Workforce[[#This Row],[Salary]]&lt;90000,"70k-89k","90k+")))</f>
        <v>90k+</v>
      </c>
      <c r="M821" t="s">
        <v>1406</v>
      </c>
      <c r="N821">
        <f t="shared" ca="1" si="50"/>
        <v>10</v>
      </c>
      <c r="O821" t="str">
        <f t="shared" ca="1" si="51"/>
        <v>Senior level</v>
      </c>
    </row>
    <row r="822" spans="1:15" x14ac:dyDescent="0.3">
      <c r="A822" t="s">
        <v>6149</v>
      </c>
      <c r="B822" t="s">
        <v>6150</v>
      </c>
      <c r="C822" t="s">
        <v>757</v>
      </c>
      <c r="D822" t="s">
        <v>6151</v>
      </c>
      <c r="E822" t="s">
        <v>6152</v>
      </c>
      <c r="F822" t="s">
        <v>1588</v>
      </c>
      <c r="G822" t="s">
        <v>6153</v>
      </c>
      <c r="H822" t="s">
        <v>6154</v>
      </c>
      <c r="I822">
        <f t="shared" ca="1" si="48"/>
        <v>64</v>
      </c>
      <c r="J822" t="str">
        <f t="shared" ca="1" si="49"/>
        <v>60+</v>
      </c>
      <c r="K822">
        <v>42029.43</v>
      </c>
      <c r="L822" t="str">
        <f>IF(Workforce[[#This Row],[Salary]]&lt;50000,"30k-49k",IF(Workforce[[#This Row],[Salary]]&lt;70000,"50k-69k",IF(Workforce[[#This Row],[Salary]]&lt;90000,"70k-89k","90k+")))</f>
        <v>30k-49k</v>
      </c>
      <c r="M822" t="s">
        <v>6155</v>
      </c>
      <c r="N822">
        <f t="shared" ca="1" si="50"/>
        <v>10</v>
      </c>
      <c r="O822" t="str">
        <f t="shared" ca="1" si="51"/>
        <v>Senior level</v>
      </c>
    </row>
    <row r="823" spans="1:15" x14ac:dyDescent="0.3">
      <c r="A823" t="s">
        <v>6156</v>
      </c>
      <c r="B823" t="s">
        <v>6157</v>
      </c>
      <c r="C823" t="s">
        <v>240</v>
      </c>
      <c r="D823" t="s">
        <v>6158</v>
      </c>
      <c r="E823" t="s">
        <v>6159</v>
      </c>
      <c r="F823" t="s">
        <v>6160</v>
      </c>
      <c r="G823" t="s">
        <v>6161</v>
      </c>
      <c r="H823" t="s">
        <v>6162</v>
      </c>
      <c r="I823">
        <f t="shared" ca="1" si="48"/>
        <v>56</v>
      </c>
      <c r="J823" t="str">
        <f t="shared" ca="1" si="49"/>
        <v>50-59</v>
      </c>
      <c r="K823">
        <v>107298.27</v>
      </c>
      <c r="L823" t="str">
        <f>IF(Workforce[[#This Row],[Salary]]&lt;50000,"30k-49k",IF(Workforce[[#This Row],[Salary]]&lt;70000,"50k-69k",IF(Workforce[[#This Row],[Salary]]&lt;90000,"70k-89k","90k+")))</f>
        <v>90k+</v>
      </c>
      <c r="M823" t="s">
        <v>6163</v>
      </c>
      <c r="N823">
        <f t="shared" ca="1" si="50"/>
        <v>1</v>
      </c>
      <c r="O823" t="str">
        <f t="shared" ca="1" si="51"/>
        <v>Beginner</v>
      </c>
    </row>
    <row r="824" spans="1:15" x14ac:dyDescent="0.3">
      <c r="A824" t="s">
        <v>6164</v>
      </c>
      <c r="B824" t="s">
        <v>6165</v>
      </c>
      <c r="C824" t="s">
        <v>115</v>
      </c>
      <c r="D824" t="s">
        <v>6166</v>
      </c>
      <c r="E824" t="s">
        <v>6167</v>
      </c>
      <c r="F824" t="s">
        <v>4802</v>
      </c>
      <c r="G824" t="s">
        <v>6168</v>
      </c>
      <c r="H824" t="s">
        <v>6169</v>
      </c>
      <c r="I824">
        <f t="shared" ca="1" si="48"/>
        <v>38</v>
      </c>
      <c r="J824" t="str">
        <f t="shared" ca="1" si="49"/>
        <v>30-39</v>
      </c>
      <c r="K824">
        <v>76024.990000000005</v>
      </c>
      <c r="L824" t="str">
        <f>IF(Workforce[[#This Row],[Salary]]&lt;50000,"30k-49k",IF(Workforce[[#This Row],[Salary]]&lt;70000,"50k-69k",IF(Workforce[[#This Row],[Salary]]&lt;90000,"70k-89k","90k+")))</f>
        <v>70k-89k</v>
      </c>
      <c r="M824" t="s">
        <v>6170</v>
      </c>
      <c r="N824">
        <f t="shared" ca="1" si="50"/>
        <v>2</v>
      </c>
      <c r="O824" t="str">
        <f t="shared" ca="1" si="51"/>
        <v>Beginner</v>
      </c>
    </row>
    <row r="825" spans="1:15" x14ac:dyDescent="0.3">
      <c r="A825" t="s">
        <v>6171</v>
      </c>
      <c r="B825" t="s">
        <v>6172</v>
      </c>
      <c r="C825" t="s">
        <v>400</v>
      </c>
      <c r="D825" t="s">
        <v>6173</v>
      </c>
      <c r="E825" t="s">
        <v>6174</v>
      </c>
      <c r="F825" t="s">
        <v>6175</v>
      </c>
      <c r="G825" t="s">
        <v>6176</v>
      </c>
      <c r="H825" t="s">
        <v>6177</v>
      </c>
      <c r="I825">
        <f t="shared" ca="1" si="48"/>
        <v>37</v>
      </c>
      <c r="J825" t="str">
        <f t="shared" ca="1" si="49"/>
        <v>30-39</v>
      </c>
      <c r="K825">
        <v>67451.19</v>
      </c>
      <c r="L825" t="str">
        <f>IF(Workforce[[#This Row],[Salary]]&lt;50000,"30k-49k",IF(Workforce[[#This Row],[Salary]]&lt;70000,"50k-69k",IF(Workforce[[#This Row],[Salary]]&lt;90000,"70k-89k","90k+")))</f>
        <v>50k-69k</v>
      </c>
      <c r="M825" t="s">
        <v>6178</v>
      </c>
      <c r="N825">
        <f t="shared" ca="1" si="50"/>
        <v>4</v>
      </c>
      <c r="O825" t="str">
        <f t="shared" ca="1" si="51"/>
        <v>Intermediate level</v>
      </c>
    </row>
    <row r="826" spans="1:15" x14ac:dyDescent="0.3">
      <c r="A826" t="s">
        <v>6179</v>
      </c>
      <c r="B826" t="s">
        <v>6180</v>
      </c>
      <c r="C826" t="s">
        <v>240</v>
      </c>
      <c r="D826" t="s">
        <v>6181</v>
      </c>
      <c r="E826" t="s">
        <v>6182</v>
      </c>
      <c r="F826" t="s">
        <v>5651</v>
      </c>
      <c r="G826" t="s">
        <v>6183</v>
      </c>
      <c r="H826" t="s">
        <v>6184</v>
      </c>
      <c r="I826">
        <f t="shared" ca="1" si="48"/>
        <v>56</v>
      </c>
      <c r="J826" t="str">
        <f t="shared" ca="1" si="49"/>
        <v>50-59</v>
      </c>
      <c r="K826">
        <v>53425.04</v>
      </c>
      <c r="L826" t="str">
        <f>IF(Workforce[[#This Row],[Salary]]&lt;50000,"30k-49k",IF(Workforce[[#This Row],[Salary]]&lt;70000,"50k-69k",IF(Workforce[[#This Row],[Salary]]&lt;90000,"70k-89k","90k+")))</f>
        <v>50k-69k</v>
      </c>
      <c r="M826" t="s">
        <v>6185</v>
      </c>
      <c r="N826">
        <f t="shared" ca="1" si="50"/>
        <v>1</v>
      </c>
      <c r="O826" t="str">
        <f t="shared" ca="1" si="51"/>
        <v>Beginner</v>
      </c>
    </row>
    <row r="827" spans="1:15" x14ac:dyDescent="0.3">
      <c r="A827" t="s">
        <v>6186</v>
      </c>
      <c r="B827" t="s">
        <v>6187</v>
      </c>
      <c r="C827" t="s">
        <v>222</v>
      </c>
      <c r="D827" t="s">
        <v>6188</v>
      </c>
      <c r="E827" t="s">
        <v>6189</v>
      </c>
      <c r="F827" t="s">
        <v>2194</v>
      </c>
      <c r="G827" t="s">
        <v>1397</v>
      </c>
      <c r="H827" t="s">
        <v>6190</v>
      </c>
      <c r="I827">
        <f t="shared" ca="1" si="48"/>
        <v>51</v>
      </c>
      <c r="J827" t="str">
        <f t="shared" ca="1" si="49"/>
        <v>50-59</v>
      </c>
      <c r="K827">
        <v>39398.85</v>
      </c>
      <c r="L827" t="str">
        <f>IF(Workforce[[#This Row],[Salary]]&lt;50000,"30k-49k",IF(Workforce[[#This Row],[Salary]]&lt;70000,"50k-69k",IF(Workforce[[#This Row],[Salary]]&lt;90000,"70k-89k","90k+")))</f>
        <v>30k-49k</v>
      </c>
      <c r="M827" t="s">
        <v>6191</v>
      </c>
      <c r="N827">
        <f t="shared" ca="1" si="50"/>
        <v>9</v>
      </c>
      <c r="O827" t="str">
        <f t="shared" ca="1" si="51"/>
        <v>Senior level</v>
      </c>
    </row>
    <row r="828" spans="1:15" x14ac:dyDescent="0.3">
      <c r="A828" t="s">
        <v>6192</v>
      </c>
      <c r="B828" t="s">
        <v>6193</v>
      </c>
      <c r="C828" t="s">
        <v>160</v>
      </c>
      <c r="D828" t="s">
        <v>6194</v>
      </c>
      <c r="E828" t="s">
        <v>6195</v>
      </c>
      <c r="F828" t="s">
        <v>47</v>
      </c>
      <c r="G828" t="s">
        <v>6196</v>
      </c>
      <c r="H828" t="s">
        <v>6197</v>
      </c>
      <c r="I828">
        <f t="shared" ca="1" si="48"/>
        <v>39</v>
      </c>
      <c r="J828" t="str">
        <f t="shared" ca="1" si="49"/>
        <v>30-39</v>
      </c>
      <c r="K828">
        <v>81530.67</v>
      </c>
      <c r="L828" t="str">
        <f>IF(Workforce[[#This Row],[Salary]]&lt;50000,"30k-49k",IF(Workforce[[#This Row],[Salary]]&lt;70000,"50k-69k",IF(Workforce[[#This Row],[Salary]]&lt;90000,"70k-89k","90k+")))</f>
        <v>70k-89k</v>
      </c>
      <c r="M828" t="s">
        <v>41</v>
      </c>
      <c r="N828">
        <f t="shared" ca="1" si="50"/>
        <v>6</v>
      </c>
      <c r="O828" t="str">
        <f t="shared" ca="1" si="51"/>
        <v>Intermediate level</v>
      </c>
    </row>
    <row r="829" spans="1:15" x14ac:dyDescent="0.3">
      <c r="A829" t="s">
        <v>6198</v>
      </c>
      <c r="B829" t="s">
        <v>6199</v>
      </c>
      <c r="C829" t="s">
        <v>213</v>
      </c>
      <c r="D829" t="s">
        <v>6200</v>
      </c>
      <c r="E829" t="s">
        <v>6201</v>
      </c>
      <c r="F829" t="s">
        <v>5516</v>
      </c>
      <c r="G829" t="s">
        <v>6202</v>
      </c>
      <c r="H829" t="s">
        <v>6203</v>
      </c>
      <c r="I829">
        <f t="shared" ca="1" si="48"/>
        <v>56</v>
      </c>
      <c r="J829" t="str">
        <f t="shared" ca="1" si="49"/>
        <v>50-59</v>
      </c>
      <c r="K829">
        <v>67790.179999999993</v>
      </c>
      <c r="L829" t="str">
        <f>IF(Workforce[[#This Row],[Salary]]&lt;50000,"30k-49k",IF(Workforce[[#This Row],[Salary]]&lt;70000,"50k-69k",IF(Workforce[[#This Row],[Salary]]&lt;90000,"70k-89k","90k+")))</f>
        <v>50k-69k</v>
      </c>
      <c r="M829" t="s">
        <v>5374</v>
      </c>
      <c r="N829">
        <f t="shared" ca="1" si="50"/>
        <v>2</v>
      </c>
      <c r="O829" t="str">
        <f t="shared" ca="1" si="51"/>
        <v>Beginner</v>
      </c>
    </row>
    <row r="830" spans="1:15" x14ac:dyDescent="0.3">
      <c r="A830" t="s">
        <v>6204</v>
      </c>
      <c r="B830" t="s">
        <v>6205</v>
      </c>
      <c r="C830" t="s">
        <v>88</v>
      </c>
      <c r="D830" t="s">
        <v>6206</v>
      </c>
      <c r="E830" t="s">
        <v>6207</v>
      </c>
      <c r="F830" t="s">
        <v>2328</v>
      </c>
      <c r="G830" t="s">
        <v>6208</v>
      </c>
      <c r="H830" t="s">
        <v>6209</v>
      </c>
      <c r="I830">
        <f t="shared" ca="1" si="48"/>
        <v>54</v>
      </c>
      <c r="J830" t="str">
        <f t="shared" ca="1" si="49"/>
        <v>50-59</v>
      </c>
      <c r="K830">
        <v>98810.64</v>
      </c>
      <c r="L830" t="str">
        <f>IF(Workforce[[#This Row],[Salary]]&lt;50000,"30k-49k",IF(Workforce[[#This Row],[Salary]]&lt;70000,"50k-69k",IF(Workforce[[#This Row],[Salary]]&lt;90000,"70k-89k","90k+")))</f>
        <v>90k+</v>
      </c>
      <c r="M830" t="s">
        <v>6210</v>
      </c>
      <c r="N830">
        <f t="shared" ca="1" si="50"/>
        <v>10</v>
      </c>
      <c r="O830" t="str">
        <f t="shared" ca="1" si="51"/>
        <v>Senior level</v>
      </c>
    </row>
    <row r="831" spans="1:15" x14ac:dyDescent="0.3">
      <c r="A831" t="s">
        <v>6211</v>
      </c>
      <c r="B831" t="s">
        <v>6212</v>
      </c>
      <c r="C831" t="s">
        <v>169</v>
      </c>
      <c r="D831" t="s">
        <v>6213</v>
      </c>
      <c r="E831" t="s">
        <v>6214</v>
      </c>
      <c r="F831" t="s">
        <v>2577</v>
      </c>
      <c r="G831" t="s">
        <v>6215</v>
      </c>
      <c r="H831" t="s">
        <v>6216</v>
      </c>
      <c r="I831">
        <f t="shared" ca="1" si="48"/>
        <v>22</v>
      </c>
      <c r="J831" t="str">
        <f t="shared" ca="1" si="49"/>
        <v>18-29</v>
      </c>
      <c r="K831">
        <v>84573.23</v>
      </c>
      <c r="L831" t="str">
        <f>IF(Workforce[[#This Row],[Salary]]&lt;50000,"30k-49k",IF(Workforce[[#This Row],[Salary]]&lt;70000,"50k-69k",IF(Workforce[[#This Row],[Salary]]&lt;90000,"70k-89k","90k+")))</f>
        <v>70k-89k</v>
      </c>
      <c r="M831" t="s">
        <v>193</v>
      </c>
      <c r="N831">
        <f t="shared" ca="1" si="50"/>
        <v>1</v>
      </c>
      <c r="O831" t="str">
        <f t="shared" ca="1" si="51"/>
        <v>Beginner</v>
      </c>
    </row>
    <row r="832" spans="1:15" x14ac:dyDescent="0.3">
      <c r="A832" t="s">
        <v>6217</v>
      </c>
      <c r="B832" t="s">
        <v>6218</v>
      </c>
      <c r="C832" t="s">
        <v>1043</v>
      </c>
      <c r="D832" t="s">
        <v>6219</v>
      </c>
      <c r="E832" t="s">
        <v>6220</v>
      </c>
      <c r="F832" t="s">
        <v>6124</v>
      </c>
      <c r="G832" t="s">
        <v>6221</v>
      </c>
      <c r="H832" t="s">
        <v>6222</v>
      </c>
      <c r="I832">
        <f t="shared" ca="1" si="48"/>
        <v>28</v>
      </c>
      <c r="J832" t="str">
        <f t="shared" ca="1" si="49"/>
        <v>18-29</v>
      </c>
      <c r="K832">
        <v>69061.31</v>
      </c>
      <c r="L832" t="str">
        <f>IF(Workforce[[#This Row],[Salary]]&lt;50000,"30k-49k",IF(Workforce[[#This Row],[Salary]]&lt;70000,"50k-69k",IF(Workforce[[#This Row],[Salary]]&lt;90000,"70k-89k","90k+")))</f>
        <v>50k-69k</v>
      </c>
      <c r="M832" t="s">
        <v>1968</v>
      </c>
      <c r="N832">
        <f t="shared" ca="1" si="50"/>
        <v>2</v>
      </c>
      <c r="O832" t="str">
        <f t="shared" ca="1" si="51"/>
        <v>Beginner</v>
      </c>
    </row>
    <row r="833" spans="1:15" x14ac:dyDescent="0.3">
      <c r="A833" t="s">
        <v>6223</v>
      </c>
      <c r="B833" t="s">
        <v>6224</v>
      </c>
      <c r="C833" t="s">
        <v>457</v>
      </c>
      <c r="D833" t="s">
        <v>6225</v>
      </c>
      <c r="E833" t="s">
        <v>6226</v>
      </c>
      <c r="F833" t="s">
        <v>5559</v>
      </c>
      <c r="G833" t="s">
        <v>6227</v>
      </c>
      <c r="H833" t="s">
        <v>6228</v>
      </c>
      <c r="I833">
        <f t="shared" ca="1" si="48"/>
        <v>24</v>
      </c>
      <c r="J833" t="str">
        <f t="shared" ca="1" si="49"/>
        <v>18-29</v>
      </c>
      <c r="K833">
        <v>61027.95</v>
      </c>
      <c r="L833" t="str">
        <f>IF(Workforce[[#This Row],[Salary]]&lt;50000,"30k-49k",IF(Workforce[[#This Row],[Salary]]&lt;70000,"50k-69k",IF(Workforce[[#This Row],[Salary]]&lt;90000,"70k-89k","90k+")))</f>
        <v>50k-69k</v>
      </c>
      <c r="M833" t="s">
        <v>6229</v>
      </c>
      <c r="N833">
        <f t="shared" ca="1" si="50"/>
        <v>8</v>
      </c>
      <c r="O833" t="str">
        <f t="shared" ca="1" si="51"/>
        <v>Senior level</v>
      </c>
    </row>
    <row r="834" spans="1:15" x14ac:dyDescent="0.3">
      <c r="A834" t="s">
        <v>6230</v>
      </c>
      <c r="B834" t="s">
        <v>6231</v>
      </c>
      <c r="C834" t="s">
        <v>284</v>
      </c>
      <c r="D834" t="s">
        <v>6232</v>
      </c>
      <c r="E834" t="s">
        <v>6233</v>
      </c>
      <c r="F834" t="s">
        <v>1864</v>
      </c>
      <c r="G834" t="s">
        <v>6234</v>
      </c>
      <c r="H834" t="s">
        <v>6235</v>
      </c>
      <c r="I834">
        <f t="shared" ref="I834:I897" ca="1" si="52">DATEDIF(H834,TODAY(),"y")</f>
        <v>45</v>
      </c>
      <c r="J834" t="str">
        <f t="shared" ref="J834:J897" ca="1" si="53">IF(I834&lt;30,"18-29",IF(I834&lt;40,"30-39",IF(I834&lt;50,"40-49",IF(I834&lt;60,"50-59","60+"))))</f>
        <v>40-49</v>
      </c>
      <c r="K834">
        <v>76589.100000000006</v>
      </c>
      <c r="L834" t="str">
        <f>IF(Workforce[[#This Row],[Salary]]&lt;50000,"30k-49k",IF(Workforce[[#This Row],[Salary]]&lt;70000,"50k-69k",IF(Workforce[[#This Row],[Salary]]&lt;90000,"70k-89k","90k+")))</f>
        <v>70k-89k</v>
      </c>
      <c r="M834" t="s">
        <v>6236</v>
      </c>
      <c r="N834">
        <f t="shared" ref="N834:N897" ca="1" si="54">DATEDIF(M834,TODAY(),"y")</f>
        <v>7</v>
      </c>
      <c r="O834" t="str">
        <f t="shared" ref="O834:O897" ca="1" si="55">IF(N834&lt;=2,"Beginner",IF(N834&lt;=6,"Intermediate level","Senior level"))</f>
        <v>Senior level</v>
      </c>
    </row>
    <row r="835" spans="1:15" x14ac:dyDescent="0.3">
      <c r="A835" t="s">
        <v>6237</v>
      </c>
      <c r="B835" t="s">
        <v>6238</v>
      </c>
      <c r="C835" t="s">
        <v>257</v>
      </c>
      <c r="D835" t="s">
        <v>6239</v>
      </c>
      <c r="E835" t="s">
        <v>6240</v>
      </c>
      <c r="F835" t="s">
        <v>2051</v>
      </c>
      <c r="G835" t="s">
        <v>6241</v>
      </c>
      <c r="H835" t="s">
        <v>6242</v>
      </c>
      <c r="I835">
        <f t="shared" ca="1" si="52"/>
        <v>45</v>
      </c>
      <c r="J835" t="str">
        <f t="shared" ca="1" si="53"/>
        <v>40-49</v>
      </c>
      <c r="K835">
        <v>88536.09</v>
      </c>
      <c r="L835" t="str">
        <f>IF(Workforce[[#This Row],[Salary]]&lt;50000,"30k-49k",IF(Workforce[[#This Row],[Salary]]&lt;70000,"50k-69k",IF(Workforce[[#This Row],[Salary]]&lt;90000,"70k-89k","90k+")))</f>
        <v>70k-89k</v>
      </c>
      <c r="M835" t="s">
        <v>5137</v>
      </c>
      <c r="N835">
        <f t="shared" ca="1" si="54"/>
        <v>1</v>
      </c>
      <c r="O835" t="str">
        <f t="shared" ca="1" si="55"/>
        <v>Beginner</v>
      </c>
    </row>
    <row r="836" spans="1:15" x14ac:dyDescent="0.3">
      <c r="A836" t="s">
        <v>6243</v>
      </c>
      <c r="B836" t="s">
        <v>6244</v>
      </c>
      <c r="C836" t="s">
        <v>26</v>
      </c>
      <c r="D836" t="s">
        <v>6245</v>
      </c>
      <c r="E836" t="s">
        <v>6246</v>
      </c>
      <c r="F836" t="s">
        <v>6247</v>
      </c>
      <c r="G836" t="s">
        <v>6248</v>
      </c>
      <c r="H836" t="s">
        <v>6249</v>
      </c>
      <c r="I836">
        <f t="shared" ca="1" si="52"/>
        <v>35</v>
      </c>
      <c r="J836" t="str">
        <f t="shared" ca="1" si="53"/>
        <v>30-39</v>
      </c>
      <c r="K836">
        <v>109087.78</v>
      </c>
      <c r="L836" t="str">
        <f>IF(Workforce[[#This Row],[Salary]]&lt;50000,"30k-49k",IF(Workforce[[#This Row],[Salary]]&lt;70000,"50k-69k",IF(Workforce[[#This Row],[Salary]]&lt;90000,"70k-89k","90k+")))</f>
        <v>90k+</v>
      </c>
      <c r="M836" t="s">
        <v>5225</v>
      </c>
      <c r="N836">
        <f t="shared" ca="1" si="54"/>
        <v>1</v>
      </c>
      <c r="O836" t="str">
        <f t="shared" ca="1" si="55"/>
        <v>Beginner</v>
      </c>
    </row>
    <row r="837" spans="1:15" x14ac:dyDescent="0.3">
      <c r="A837" t="s">
        <v>6250</v>
      </c>
      <c r="B837" t="s">
        <v>6251</v>
      </c>
      <c r="C837" t="s">
        <v>774</v>
      </c>
      <c r="D837" t="s">
        <v>6252</v>
      </c>
      <c r="E837" t="s">
        <v>6253</v>
      </c>
      <c r="F837" t="s">
        <v>3126</v>
      </c>
      <c r="G837" t="s">
        <v>6254</v>
      </c>
      <c r="H837" t="s">
        <v>1691</v>
      </c>
      <c r="I837">
        <f t="shared" ca="1" si="52"/>
        <v>30</v>
      </c>
      <c r="J837" t="str">
        <f t="shared" ca="1" si="53"/>
        <v>30-39</v>
      </c>
      <c r="K837">
        <v>114451.89</v>
      </c>
      <c r="L837" t="str">
        <f>IF(Workforce[[#This Row],[Salary]]&lt;50000,"30k-49k",IF(Workforce[[#This Row],[Salary]]&lt;70000,"50k-69k",IF(Workforce[[#This Row],[Salary]]&lt;90000,"70k-89k","90k+")))</f>
        <v>90k+</v>
      </c>
      <c r="M837" t="s">
        <v>6255</v>
      </c>
      <c r="N837">
        <f t="shared" ca="1" si="54"/>
        <v>1</v>
      </c>
      <c r="O837" t="str">
        <f t="shared" ca="1" si="55"/>
        <v>Beginner</v>
      </c>
    </row>
    <row r="838" spans="1:15" x14ac:dyDescent="0.3">
      <c r="A838" t="s">
        <v>6256</v>
      </c>
      <c r="B838" t="s">
        <v>6257</v>
      </c>
      <c r="C838" t="s">
        <v>995</v>
      </c>
      <c r="D838" t="s">
        <v>6258</v>
      </c>
      <c r="E838" t="s">
        <v>6259</v>
      </c>
      <c r="F838" t="s">
        <v>6260</v>
      </c>
      <c r="G838" t="s">
        <v>6261</v>
      </c>
      <c r="H838" t="s">
        <v>6262</v>
      </c>
      <c r="I838">
        <f t="shared" ca="1" si="52"/>
        <v>49</v>
      </c>
      <c r="J838" t="str">
        <f t="shared" ca="1" si="53"/>
        <v>40-49</v>
      </c>
      <c r="K838">
        <v>60867.43</v>
      </c>
      <c r="L838" t="str">
        <f>IF(Workforce[[#This Row],[Salary]]&lt;50000,"30k-49k",IF(Workforce[[#This Row],[Salary]]&lt;70000,"50k-69k",IF(Workforce[[#This Row],[Salary]]&lt;90000,"70k-89k","90k+")))</f>
        <v>50k-69k</v>
      </c>
      <c r="M838" t="s">
        <v>6263</v>
      </c>
      <c r="N838">
        <f t="shared" ca="1" si="54"/>
        <v>4</v>
      </c>
      <c r="O838" t="str">
        <f t="shared" ca="1" si="55"/>
        <v>Intermediate level</v>
      </c>
    </row>
    <row r="839" spans="1:15" x14ac:dyDescent="0.3">
      <c r="A839" t="s">
        <v>6264</v>
      </c>
      <c r="B839" t="s">
        <v>6265</v>
      </c>
      <c r="C839" t="s">
        <v>774</v>
      </c>
      <c r="D839" t="s">
        <v>6266</v>
      </c>
      <c r="E839" t="s">
        <v>6267</v>
      </c>
      <c r="F839" t="s">
        <v>2585</v>
      </c>
      <c r="G839" t="s">
        <v>6268</v>
      </c>
      <c r="H839" t="s">
        <v>6269</v>
      </c>
      <c r="I839">
        <f t="shared" ca="1" si="52"/>
        <v>41</v>
      </c>
      <c r="J839" t="str">
        <f t="shared" ca="1" si="53"/>
        <v>40-49</v>
      </c>
      <c r="K839">
        <v>44013.55</v>
      </c>
      <c r="L839" t="str">
        <f>IF(Workforce[[#This Row],[Salary]]&lt;50000,"30k-49k",IF(Workforce[[#This Row],[Salary]]&lt;70000,"50k-69k",IF(Workforce[[#This Row],[Salary]]&lt;90000,"70k-89k","90k+")))</f>
        <v>30k-49k</v>
      </c>
      <c r="M839" t="s">
        <v>6270</v>
      </c>
      <c r="N839">
        <f t="shared" ca="1" si="54"/>
        <v>1</v>
      </c>
      <c r="O839" t="str">
        <f t="shared" ca="1" si="55"/>
        <v>Beginner</v>
      </c>
    </row>
    <row r="840" spans="1:15" x14ac:dyDescent="0.3">
      <c r="A840" t="s">
        <v>6271</v>
      </c>
      <c r="B840" t="s">
        <v>6272</v>
      </c>
      <c r="C840" t="s">
        <v>1223</v>
      </c>
      <c r="D840" t="s">
        <v>6273</v>
      </c>
      <c r="E840" t="s">
        <v>6274</v>
      </c>
      <c r="F840" t="s">
        <v>6275</v>
      </c>
      <c r="G840" t="s">
        <v>6276</v>
      </c>
      <c r="H840" t="s">
        <v>6277</v>
      </c>
      <c r="I840">
        <f t="shared" ca="1" si="52"/>
        <v>27</v>
      </c>
      <c r="J840" t="str">
        <f t="shared" ca="1" si="53"/>
        <v>18-29</v>
      </c>
      <c r="K840">
        <v>71946.570000000007</v>
      </c>
      <c r="L840" t="str">
        <f>IF(Workforce[[#This Row],[Salary]]&lt;50000,"30k-49k",IF(Workforce[[#This Row],[Salary]]&lt;70000,"50k-69k",IF(Workforce[[#This Row],[Salary]]&lt;90000,"70k-89k","90k+")))</f>
        <v>70k-89k</v>
      </c>
      <c r="M840" t="s">
        <v>6278</v>
      </c>
      <c r="N840">
        <f t="shared" ca="1" si="54"/>
        <v>6</v>
      </c>
      <c r="O840" t="str">
        <f t="shared" ca="1" si="55"/>
        <v>Intermediate level</v>
      </c>
    </row>
    <row r="841" spans="1:15" x14ac:dyDescent="0.3">
      <c r="A841" t="s">
        <v>6279</v>
      </c>
      <c r="B841" t="s">
        <v>6280</v>
      </c>
      <c r="C841" t="s">
        <v>124</v>
      </c>
      <c r="D841" t="s">
        <v>6281</v>
      </c>
      <c r="E841" t="s">
        <v>6282</v>
      </c>
      <c r="F841" t="s">
        <v>6283</v>
      </c>
      <c r="G841" t="s">
        <v>6284</v>
      </c>
      <c r="H841" t="s">
        <v>6285</v>
      </c>
      <c r="I841">
        <f t="shared" ca="1" si="52"/>
        <v>32</v>
      </c>
      <c r="J841" t="str">
        <f t="shared" ca="1" si="53"/>
        <v>30-39</v>
      </c>
      <c r="K841">
        <v>91125.69</v>
      </c>
      <c r="L841" t="str">
        <f>IF(Workforce[[#This Row],[Salary]]&lt;50000,"30k-49k",IF(Workforce[[#This Row],[Salary]]&lt;70000,"50k-69k",IF(Workforce[[#This Row],[Salary]]&lt;90000,"70k-89k","90k+")))</f>
        <v>90k+</v>
      </c>
      <c r="M841" t="s">
        <v>4868</v>
      </c>
      <c r="N841">
        <f t="shared" ca="1" si="54"/>
        <v>6</v>
      </c>
      <c r="O841" t="str">
        <f t="shared" ca="1" si="55"/>
        <v>Intermediate level</v>
      </c>
    </row>
    <row r="842" spans="1:15" x14ac:dyDescent="0.3">
      <c r="A842" t="s">
        <v>6286</v>
      </c>
      <c r="B842" t="s">
        <v>6287</v>
      </c>
      <c r="C842" t="s">
        <v>317</v>
      </c>
      <c r="D842" t="s">
        <v>6288</v>
      </c>
      <c r="E842" t="s">
        <v>6289</v>
      </c>
      <c r="F842" t="s">
        <v>6290</v>
      </c>
      <c r="G842" t="s">
        <v>6291</v>
      </c>
      <c r="H842" t="s">
        <v>6292</v>
      </c>
      <c r="I842">
        <f t="shared" ca="1" si="52"/>
        <v>26</v>
      </c>
      <c r="J842" t="str">
        <f t="shared" ca="1" si="53"/>
        <v>18-29</v>
      </c>
      <c r="K842">
        <v>46619.09</v>
      </c>
      <c r="L842" t="str">
        <f>IF(Workforce[[#This Row],[Salary]]&lt;50000,"30k-49k",IF(Workforce[[#This Row],[Salary]]&lt;70000,"50k-69k",IF(Workforce[[#This Row],[Salary]]&lt;90000,"70k-89k","90k+")))</f>
        <v>30k-49k</v>
      </c>
      <c r="M842" t="s">
        <v>6293</v>
      </c>
      <c r="N842">
        <f t="shared" ca="1" si="54"/>
        <v>10</v>
      </c>
      <c r="O842" t="str">
        <f t="shared" ca="1" si="55"/>
        <v>Senior level</v>
      </c>
    </row>
    <row r="843" spans="1:15" x14ac:dyDescent="0.3">
      <c r="A843" t="s">
        <v>6294</v>
      </c>
      <c r="B843" t="s">
        <v>6295</v>
      </c>
      <c r="C843" t="s">
        <v>351</v>
      </c>
      <c r="D843" t="s">
        <v>6296</v>
      </c>
      <c r="E843" t="s">
        <v>6297</v>
      </c>
      <c r="F843" t="s">
        <v>6132</v>
      </c>
      <c r="G843" t="s">
        <v>6298</v>
      </c>
      <c r="H843" t="s">
        <v>6299</v>
      </c>
      <c r="I843">
        <f t="shared" ca="1" si="52"/>
        <v>44</v>
      </c>
      <c r="J843" t="str">
        <f t="shared" ca="1" si="53"/>
        <v>40-49</v>
      </c>
      <c r="K843">
        <v>81031.33</v>
      </c>
      <c r="L843" t="str">
        <f>IF(Workforce[[#This Row],[Salary]]&lt;50000,"30k-49k",IF(Workforce[[#This Row],[Salary]]&lt;70000,"50k-69k",IF(Workforce[[#This Row],[Salary]]&lt;90000,"70k-89k","90k+")))</f>
        <v>70k-89k</v>
      </c>
      <c r="M843" t="s">
        <v>1599</v>
      </c>
      <c r="N843">
        <f t="shared" ca="1" si="54"/>
        <v>4</v>
      </c>
      <c r="O843" t="str">
        <f t="shared" ca="1" si="55"/>
        <v>Intermediate level</v>
      </c>
    </row>
    <row r="844" spans="1:15" x14ac:dyDescent="0.3">
      <c r="A844" t="s">
        <v>6300</v>
      </c>
      <c r="B844" t="s">
        <v>6301</v>
      </c>
      <c r="C844" t="s">
        <v>17</v>
      </c>
      <c r="D844" t="s">
        <v>6302</v>
      </c>
      <c r="E844" t="s">
        <v>6303</v>
      </c>
      <c r="F844" t="s">
        <v>3329</v>
      </c>
      <c r="G844" t="s">
        <v>6304</v>
      </c>
      <c r="H844" t="s">
        <v>6305</v>
      </c>
      <c r="I844">
        <f t="shared" ca="1" si="52"/>
        <v>28</v>
      </c>
      <c r="J844" t="str">
        <f t="shared" ca="1" si="53"/>
        <v>18-29</v>
      </c>
      <c r="K844">
        <v>45276.93</v>
      </c>
      <c r="L844" t="str">
        <f>IF(Workforce[[#This Row],[Salary]]&lt;50000,"30k-49k",IF(Workforce[[#This Row],[Salary]]&lt;70000,"50k-69k",IF(Workforce[[#This Row],[Salary]]&lt;90000,"70k-89k","90k+")))</f>
        <v>30k-49k</v>
      </c>
      <c r="M844" t="s">
        <v>6306</v>
      </c>
      <c r="N844">
        <f t="shared" ca="1" si="54"/>
        <v>5</v>
      </c>
      <c r="O844" t="str">
        <f t="shared" ca="1" si="55"/>
        <v>Intermediate level</v>
      </c>
    </row>
    <row r="845" spans="1:15" x14ac:dyDescent="0.3">
      <c r="A845" t="s">
        <v>6307</v>
      </c>
      <c r="B845" t="s">
        <v>6308</v>
      </c>
      <c r="C845" t="s">
        <v>1223</v>
      </c>
      <c r="D845" t="s">
        <v>6309</v>
      </c>
      <c r="E845" t="s">
        <v>6310</v>
      </c>
      <c r="F845" t="s">
        <v>6311</v>
      </c>
      <c r="G845" t="s">
        <v>6312</v>
      </c>
      <c r="H845" t="s">
        <v>6313</v>
      </c>
      <c r="I845">
        <f t="shared" ca="1" si="52"/>
        <v>64</v>
      </c>
      <c r="J845" t="str">
        <f t="shared" ca="1" si="53"/>
        <v>60+</v>
      </c>
      <c r="K845">
        <v>46768.480000000003</v>
      </c>
      <c r="L845" t="str">
        <f>IF(Workforce[[#This Row],[Salary]]&lt;50000,"30k-49k",IF(Workforce[[#This Row],[Salary]]&lt;70000,"50k-69k",IF(Workforce[[#This Row],[Salary]]&lt;90000,"70k-89k","90k+")))</f>
        <v>30k-49k</v>
      </c>
      <c r="M845" t="s">
        <v>3376</v>
      </c>
      <c r="N845">
        <f t="shared" ca="1" si="54"/>
        <v>0</v>
      </c>
      <c r="O845" t="str">
        <f t="shared" ca="1" si="55"/>
        <v>Beginner</v>
      </c>
    </row>
    <row r="846" spans="1:15" x14ac:dyDescent="0.3">
      <c r="A846" t="s">
        <v>6314</v>
      </c>
      <c r="B846" t="s">
        <v>6315</v>
      </c>
      <c r="C846" t="s">
        <v>440</v>
      </c>
      <c r="D846" t="s">
        <v>6316</v>
      </c>
      <c r="E846" t="s">
        <v>6317</v>
      </c>
      <c r="F846" t="s">
        <v>4772</v>
      </c>
      <c r="G846" t="s">
        <v>6318</v>
      </c>
      <c r="H846" t="s">
        <v>6319</v>
      </c>
      <c r="I846">
        <f t="shared" ca="1" si="52"/>
        <v>45</v>
      </c>
      <c r="J846" t="str">
        <f t="shared" ca="1" si="53"/>
        <v>40-49</v>
      </c>
      <c r="K846">
        <v>52755.06</v>
      </c>
      <c r="L846" t="str">
        <f>IF(Workforce[[#This Row],[Salary]]&lt;50000,"30k-49k",IF(Workforce[[#This Row],[Salary]]&lt;70000,"50k-69k",IF(Workforce[[#This Row],[Salary]]&lt;90000,"70k-89k","90k+")))</f>
        <v>50k-69k</v>
      </c>
      <c r="M846" t="s">
        <v>6320</v>
      </c>
      <c r="N846">
        <f t="shared" ca="1" si="54"/>
        <v>8</v>
      </c>
      <c r="O846" t="str">
        <f t="shared" ca="1" si="55"/>
        <v>Senior level</v>
      </c>
    </row>
    <row r="847" spans="1:15" x14ac:dyDescent="0.3">
      <c r="A847" t="s">
        <v>6321</v>
      </c>
      <c r="B847" t="s">
        <v>6322</v>
      </c>
      <c r="C847" t="s">
        <v>2086</v>
      </c>
      <c r="D847" t="s">
        <v>6323</v>
      </c>
      <c r="E847" t="s">
        <v>6324</v>
      </c>
      <c r="F847" t="s">
        <v>493</v>
      </c>
      <c r="G847" t="s">
        <v>6325</v>
      </c>
      <c r="H847" t="s">
        <v>6326</v>
      </c>
      <c r="I847">
        <f t="shared" ca="1" si="52"/>
        <v>28</v>
      </c>
      <c r="J847" t="str">
        <f t="shared" ca="1" si="53"/>
        <v>18-29</v>
      </c>
      <c r="K847">
        <v>116713.3</v>
      </c>
      <c r="L847" t="str">
        <f>IF(Workforce[[#This Row],[Salary]]&lt;50000,"30k-49k",IF(Workforce[[#This Row],[Salary]]&lt;70000,"50k-69k",IF(Workforce[[#This Row],[Salary]]&lt;90000,"70k-89k","90k+")))</f>
        <v>90k+</v>
      </c>
      <c r="M847" t="s">
        <v>2112</v>
      </c>
      <c r="N847">
        <f t="shared" ca="1" si="54"/>
        <v>1</v>
      </c>
      <c r="O847" t="str">
        <f t="shared" ca="1" si="55"/>
        <v>Beginner</v>
      </c>
    </row>
    <row r="848" spans="1:15" x14ac:dyDescent="0.3">
      <c r="A848" t="s">
        <v>6327</v>
      </c>
      <c r="B848" t="s">
        <v>6328</v>
      </c>
      <c r="C848" t="s">
        <v>169</v>
      </c>
      <c r="D848" t="s">
        <v>6329</v>
      </c>
      <c r="E848" t="s">
        <v>6330</v>
      </c>
      <c r="F848" t="s">
        <v>2505</v>
      </c>
      <c r="G848" t="s">
        <v>6331</v>
      </c>
      <c r="H848" t="s">
        <v>6332</v>
      </c>
      <c r="I848">
        <f t="shared" ca="1" si="52"/>
        <v>30</v>
      </c>
      <c r="J848" t="str">
        <f t="shared" ca="1" si="53"/>
        <v>30-39</v>
      </c>
      <c r="K848">
        <v>107374.98</v>
      </c>
      <c r="L848" t="str">
        <f>IF(Workforce[[#This Row],[Salary]]&lt;50000,"30k-49k",IF(Workforce[[#This Row],[Salary]]&lt;70000,"50k-69k",IF(Workforce[[#This Row],[Salary]]&lt;90000,"70k-89k","90k+")))</f>
        <v>90k+</v>
      </c>
      <c r="M848" t="s">
        <v>6333</v>
      </c>
      <c r="N848">
        <f t="shared" ca="1" si="54"/>
        <v>7</v>
      </c>
      <c r="O848" t="str">
        <f t="shared" ca="1" si="55"/>
        <v>Senior level</v>
      </c>
    </row>
    <row r="849" spans="1:15" x14ac:dyDescent="0.3">
      <c r="A849" t="s">
        <v>1206</v>
      </c>
      <c r="B849" t="s">
        <v>6334</v>
      </c>
      <c r="C849" t="s">
        <v>79</v>
      </c>
      <c r="D849" t="s">
        <v>6335</v>
      </c>
      <c r="E849" t="s">
        <v>6336</v>
      </c>
      <c r="F849" t="s">
        <v>2975</v>
      </c>
      <c r="G849" t="s">
        <v>6337</v>
      </c>
      <c r="H849" t="s">
        <v>6338</v>
      </c>
      <c r="I849">
        <f t="shared" ca="1" si="52"/>
        <v>66</v>
      </c>
      <c r="J849" t="str">
        <f t="shared" ca="1" si="53"/>
        <v>60+</v>
      </c>
      <c r="K849">
        <v>42069.14</v>
      </c>
      <c r="L849" t="str">
        <f>IF(Workforce[[#This Row],[Salary]]&lt;50000,"30k-49k",IF(Workforce[[#This Row],[Salary]]&lt;70000,"50k-69k",IF(Workforce[[#This Row],[Salary]]&lt;90000,"70k-89k","90k+")))</f>
        <v>30k-49k</v>
      </c>
      <c r="M849" t="s">
        <v>6339</v>
      </c>
      <c r="N849">
        <f t="shared" ca="1" si="54"/>
        <v>1</v>
      </c>
      <c r="O849" t="str">
        <f t="shared" ca="1" si="55"/>
        <v>Beginner</v>
      </c>
    </row>
    <row r="850" spans="1:15" x14ac:dyDescent="0.3">
      <c r="A850" t="s">
        <v>6340</v>
      </c>
      <c r="B850" t="s">
        <v>6341</v>
      </c>
      <c r="C850" t="s">
        <v>106</v>
      </c>
      <c r="D850" t="s">
        <v>6342</v>
      </c>
      <c r="E850" t="s">
        <v>6343</v>
      </c>
      <c r="F850" t="s">
        <v>1572</v>
      </c>
      <c r="G850" t="s">
        <v>6344</v>
      </c>
      <c r="H850" t="s">
        <v>6345</v>
      </c>
      <c r="I850">
        <f t="shared" ca="1" si="52"/>
        <v>61</v>
      </c>
      <c r="J850" t="str">
        <f t="shared" ca="1" si="53"/>
        <v>60+</v>
      </c>
      <c r="K850">
        <v>31219.02</v>
      </c>
      <c r="L850" t="str">
        <f>IF(Workforce[[#This Row],[Salary]]&lt;50000,"30k-49k",IF(Workforce[[#This Row],[Salary]]&lt;70000,"50k-69k",IF(Workforce[[#This Row],[Salary]]&lt;90000,"70k-89k","90k+")))</f>
        <v>30k-49k</v>
      </c>
      <c r="M850" t="s">
        <v>6346</v>
      </c>
      <c r="N850">
        <f t="shared" ca="1" si="54"/>
        <v>9</v>
      </c>
      <c r="O850" t="str">
        <f t="shared" ca="1" si="55"/>
        <v>Senior level</v>
      </c>
    </row>
    <row r="851" spans="1:15" x14ac:dyDescent="0.3">
      <c r="A851" t="s">
        <v>6347</v>
      </c>
      <c r="B851" t="s">
        <v>6348</v>
      </c>
      <c r="C851" t="s">
        <v>1004</v>
      </c>
      <c r="D851" t="s">
        <v>6349</v>
      </c>
      <c r="E851" t="s">
        <v>6350</v>
      </c>
      <c r="F851" t="s">
        <v>1888</v>
      </c>
      <c r="G851" t="s">
        <v>6351</v>
      </c>
      <c r="H851" t="s">
        <v>6352</v>
      </c>
      <c r="I851">
        <f t="shared" ca="1" si="52"/>
        <v>65</v>
      </c>
      <c r="J851" t="str">
        <f t="shared" ca="1" si="53"/>
        <v>60+</v>
      </c>
      <c r="K851">
        <v>116097.54</v>
      </c>
      <c r="L851" t="str">
        <f>IF(Workforce[[#This Row],[Salary]]&lt;50000,"30k-49k",IF(Workforce[[#This Row],[Salary]]&lt;70000,"50k-69k",IF(Workforce[[#This Row],[Salary]]&lt;90000,"70k-89k","90k+")))</f>
        <v>90k+</v>
      </c>
      <c r="M851" t="s">
        <v>6353</v>
      </c>
      <c r="N851">
        <f t="shared" ca="1" si="54"/>
        <v>10</v>
      </c>
      <c r="O851" t="str">
        <f t="shared" ca="1" si="55"/>
        <v>Senior level</v>
      </c>
    </row>
    <row r="852" spans="1:15" x14ac:dyDescent="0.3">
      <c r="A852" t="s">
        <v>6354</v>
      </c>
      <c r="B852" t="s">
        <v>6355</v>
      </c>
      <c r="C852" t="s">
        <v>580</v>
      </c>
      <c r="D852" t="s">
        <v>6356</v>
      </c>
      <c r="E852" t="s">
        <v>6357</v>
      </c>
      <c r="F852" t="s">
        <v>1241</v>
      </c>
      <c r="G852" t="s">
        <v>6358</v>
      </c>
      <c r="H852" t="s">
        <v>6359</v>
      </c>
      <c r="I852">
        <f t="shared" ca="1" si="52"/>
        <v>24</v>
      </c>
      <c r="J852" t="str">
        <f t="shared" ca="1" si="53"/>
        <v>18-29</v>
      </c>
      <c r="K852">
        <v>30203.67</v>
      </c>
      <c r="L852" t="str">
        <f>IF(Workforce[[#This Row],[Salary]]&lt;50000,"30k-49k",IF(Workforce[[#This Row],[Salary]]&lt;70000,"50k-69k",IF(Workforce[[#This Row],[Salary]]&lt;90000,"70k-89k","90k+")))</f>
        <v>30k-49k</v>
      </c>
      <c r="M852" t="s">
        <v>1960</v>
      </c>
      <c r="N852">
        <f t="shared" ca="1" si="54"/>
        <v>5</v>
      </c>
      <c r="O852" t="str">
        <f t="shared" ca="1" si="55"/>
        <v>Intermediate level</v>
      </c>
    </row>
    <row r="853" spans="1:15" x14ac:dyDescent="0.3">
      <c r="A853" t="s">
        <v>6360</v>
      </c>
      <c r="B853" t="s">
        <v>6361</v>
      </c>
      <c r="C853" t="s">
        <v>70</v>
      </c>
      <c r="D853" t="s">
        <v>6362</v>
      </c>
      <c r="E853" t="s">
        <v>6363</v>
      </c>
      <c r="F853" t="s">
        <v>5103</v>
      </c>
      <c r="G853" t="s">
        <v>6364</v>
      </c>
      <c r="H853" t="s">
        <v>6365</v>
      </c>
      <c r="I853">
        <f t="shared" ca="1" si="52"/>
        <v>63</v>
      </c>
      <c r="J853" t="str">
        <f t="shared" ca="1" si="53"/>
        <v>60+</v>
      </c>
      <c r="K853">
        <v>32476.67</v>
      </c>
      <c r="L853" t="str">
        <f>IF(Workforce[[#This Row],[Salary]]&lt;50000,"30k-49k",IF(Workforce[[#This Row],[Salary]]&lt;70000,"50k-69k",IF(Workforce[[#This Row],[Salary]]&lt;90000,"70k-89k","90k+")))</f>
        <v>30k-49k</v>
      </c>
      <c r="M853" t="s">
        <v>6366</v>
      </c>
      <c r="N853">
        <f t="shared" ca="1" si="54"/>
        <v>4</v>
      </c>
      <c r="O853" t="str">
        <f t="shared" ca="1" si="55"/>
        <v>Intermediate level</v>
      </c>
    </row>
    <row r="854" spans="1:15" x14ac:dyDescent="0.3">
      <c r="A854" t="s">
        <v>6367</v>
      </c>
      <c r="B854" t="s">
        <v>6368</v>
      </c>
      <c r="C854" t="s">
        <v>1043</v>
      </c>
      <c r="D854" t="s">
        <v>6369</v>
      </c>
      <c r="E854" t="s">
        <v>6370</v>
      </c>
      <c r="F854" t="s">
        <v>1596</v>
      </c>
      <c r="G854" t="s">
        <v>6371</v>
      </c>
      <c r="H854" t="s">
        <v>6372</v>
      </c>
      <c r="I854">
        <f t="shared" ca="1" si="52"/>
        <v>33</v>
      </c>
      <c r="J854" t="str">
        <f t="shared" ca="1" si="53"/>
        <v>30-39</v>
      </c>
      <c r="K854">
        <v>118196.2</v>
      </c>
      <c r="L854" t="str">
        <f>IF(Workforce[[#This Row],[Salary]]&lt;50000,"30k-49k",IF(Workforce[[#This Row],[Salary]]&lt;70000,"50k-69k",IF(Workforce[[#This Row],[Salary]]&lt;90000,"70k-89k","90k+")))</f>
        <v>90k+</v>
      </c>
      <c r="M854" t="s">
        <v>6373</v>
      </c>
      <c r="N854">
        <f t="shared" ca="1" si="54"/>
        <v>7</v>
      </c>
      <c r="O854" t="str">
        <f t="shared" ca="1" si="55"/>
        <v>Senior level</v>
      </c>
    </row>
    <row r="855" spans="1:15" x14ac:dyDescent="0.3">
      <c r="A855" t="s">
        <v>6374</v>
      </c>
      <c r="B855" t="s">
        <v>6375</v>
      </c>
      <c r="C855" t="s">
        <v>653</v>
      </c>
      <c r="D855" t="s">
        <v>6376</v>
      </c>
      <c r="E855" t="s">
        <v>6377</v>
      </c>
      <c r="F855" t="s">
        <v>4270</v>
      </c>
      <c r="G855" t="s">
        <v>6378</v>
      </c>
      <c r="H855" t="s">
        <v>6379</v>
      </c>
      <c r="I855">
        <f t="shared" ca="1" si="52"/>
        <v>51</v>
      </c>
      <c r="J855" t="str">
        <f t="shared" ca="1" si="53"/>
        <v>50-59</v>
      </c>
      <c r="K855">
        <v>69956.5</v>
      </c>
      <c r="L855" t="str">
        <f>IF(Workforce[[#This Row],[Salary]]&lt;50000,"30k-49k",IF(Workforce[[#This Row],[Salary]]&lt;70000,"50k-69k",IF(Workforce[[#This Row],[Salary]]&lt;90000,"70k-89k","90k+")))</f>
        <v>50k-69k</v>
      </c>
      <c r="M855" t="s">
        <v>3517</v>
      </c>
      <c r="N855">
        <f t="shared" ca="1" si="54"/>
        <v>6</v>
      </c>
      <c r="O855" t="str">
        <f t="shared" ca="1" si="55"/>
        <v>Intermediate level</v>
      </c>
    </row>
    <row r="856" spans="1:15" x14ac:dyDescent="0.3">
      <c r="A856" t="s">
        <v>6380</v>
      </c>
      <c r="B856" t="s">
        <v>6381</v>
      </c>
      <c r="C856" t="s">
        <v>266</v>
      </c>
      <c r="D856" t="s">
        <v>6382</v>
      </c>
      <c r="E856" t="s">
        <v>6383</v>
      </c>
      <c r="F856" t="s">
        <v>269</v>
      </c>
      <c r="G856" t="s">
        <v>6384</v>
      </c>
      <c r="H856" t="s">
        <v>6385</v>
      </c>
      <c r="I856">
        <f t="shared" ca="1" si="52"/>
        <v>60</v>
      </c>
      <c r="J856" t="str">
        <f t="shared" ca="1" si="53"/>
        <v>60+</v>
      </c>
      <c r="K856">
        <v>116847.85</v>
      </c>
      <c r="L856" t="str">
        <f>IF(Workforce[[#This Row],[Salary]]&lt;50000,"30k-49k",IF(Workforce[[#This Row],[Salary]]&lt;70000,"50k-69k",IF(Workforce[[#This Row],[Salary]]&lt;90000,"70k-89k","90k+")))</f>
        <v>90k+</v>
      </c>
      <c r="M856" t="s">
        <v>6386</v>
      </c>
      <c r="N856">
        <f t="shared" ca="1" si="54"/>
        <v>5</v>
      </c>
      <c r="O856" t="str">
        <f t="shared" ca="1" si="55"/>
        <v>Intermediate level</v>
      </c>
    </row>
    <row r="857" spans="1:15" x14ac:dyDescent="0.3">
      <c r="A857" t="s">
        <v>6387</v>
      </c>
      <c r="B857" t="s">
        <v>6388</v>
      </c>
      <c r="C857" t="s">
        <v>2086</v>
      </c>
      <c r="D857" t="s">
        <v>6389</v>
      </c>
      <c r="E857" t="s">
        <v>6390</v>
      </c>
      <c r="F857" t="s">
        <v>6391</v>
      </c>
      <c r="G857" t="s">
        <v>6392</v>
      </c>
      <c r="H857" t="s">
        <v>6393</v>
      </c>
      <c r="I857">
        <f t="shared" ca="1" si="52"/>
        <v>24</v>
      </c>
      <c r="J857" t="str">
        <f t="shared" ca="1" si="53"/>
        <v>18-29</v>
      </c>
      <c r="K857">
        <v>52393.96</v>
      </c>
      <c r="L857" t="str">
        <f>IF(Workforce[[#This Row],[Salary]]&lt;50000,"30k-49k",IF(Workforce[[#This Row],[Salary]]&lt;70000,"50k-69k",IF(Workforce[[#This Row],[Salary]]&lt;90000,"70k-89k","90k+")))</f>
        <v>50k-69k</v>
      </c>
      <c r="M857" t="s">
        <v>6394</v>
      </c>
      <c r="N857">
        <f t="shared" ca="1" si="54"/>
        <v>1</v>
      </c>
      <c r="O857" t="str">
        <f t="shared" ca="1" si="55"/>
        <v>Beginner</v>
      </c>
    </row>
    <row r="858" spans="1:15" x14ac:dyDescent="0.3">
      <c r="A858" t="s">
        <v>6395</v>
      </c>
      <c r="B858" t="s">
        <v>6396</v>
      </c>
      <c r="C858" t="s">
        <v>79</v>
      </c>
      <c r="D858" t="s">
        <v>6397</v>
      </c>
      <c r="E858" t="s">
        <v>6398</v>
      </c>
      <c r="F858" t="s">
        <v>6399</v>
      </c>
      <c r="G858" t="s">
        <v>6400</v>
      </c>
      <c r="H858" t="s">
        <v>6401</v>
      </c>
      <c r="I858">
        <f t="shared" ca="1" si="52"/>
        <v>29</v>
      </c>
      <c r="J858" t="str">
        <f t="shared" ca="1" si="53"/>
        <v>18-29</v>
      </c>
      <c r="K858">
        <v>105180.61</v>
      </c>
      <c r="L858" t="str">
        <f>IF(Workforce[[#This Row],[Salary]]&lt;50000,"30k-49k",IF(Workforce[[#This Row],[Salary]]&lt;70000,"50k-69k",IF(Workforce[[#This Row],[Salary]]&lt;90000,"70k-89k","90k+")))</f>
        <v>90k+</v>
      </c>
      <c r="M858" t="s">
        <v>6402</v>
      </c>
      <c r="N858">
        <f t="shared" ca="1" si="54"/>
        <v>9</v>
      </c>
      <c r="O858" t="str">
        <f t="shared" ca="1" si="55"/>
        <v>Senior level</v>
      </c>
    </row>
    <row r="859" spans="1:15" x14ac:dyDescent="0.3">
      <c r="A859" t="s">
        <v>6403</v>
      </c>
      <c r="B859" t="s">
        <v>6404</v>
      </c>
      <c r="C859" t="s">
        <v>35</v>
      </c>
      <c r="D859" t="s">
        <v>6405</v>
      </c>
      <c r="E859" t="s">
        <v>6406</v>
      </c>
      <c r="F859" t="s">
        <v>639</v>
      </c>
      <c r="G859" t="s">
        <v>6407</v>
      </c>
      <c r="H859" t="s">
        <v>6408</v>
      </c>
      <c r="I859">
        <f t="shared" ca="1" si="52"/>
        <v>42</v>
      </c>
      <c r="J859" t="str">
        <f t="shared" ca="1" si="53"/>
        <v>40-49</v>
      </c>
      <c r="K859">
        <v>118191.69</v>
      </c>
      <c r="L859" t="str">
        <f>IF(Workforce[[#This Row],[Salary]]&lt;50000,"30k-49k",IF(Workforce[[#This Row],[Salary]]&lt;70000,"50k-69k",IF(Workforce[[#This Row],[Salary]]&lt;90000,"70k-89k","90k+")))</f>
        <v>90k+</v>
      </c>
      <c r="M859" t="s">
        <v>6409</v>
      </c>
      <c r="N859">
        <f t="shared" ca="1" si="54"/>
        <v>3</v>
      </c>
      <c r="O859" t="str">
        <f t="shared" ca="1" si="55"/>
        <v>Intermediate level</v>
      </c>
    </row>
    <row r="860" spans="1:15" x14ac:dyDescent="0.3">
      <c r="A860" t="s">
        <v>6410</v>
      </c>
      <c r="B860" t="s">
        <v>6411</v>
      </c>
      <c r="C860" t="s">
        <v>142</v>
      </c>
      <c r="D860" t="s">
        <v>6412</v>
      </c>
      <c r="E860" t="s">
        <v>6413</v>
      </c>
      <c r="F860" t="s">
        <v>4669</v>
      </c>
      <c r="G860" t="s">
        <v>6414</v>
      </c>
      <c r="H860" t="s">
        <v>6415</v>
      </c>
      <c r="I860">
        <f t="shared" ca="1" si="52"/>
        <v>33</v>
      </c>
      <c r="J860" t="str">
        <f t="shared" ca="1" si="53"/>
        <v>30-39</v>
      </c>
      <c r="K860">
        <v>79019.27</v>
      </c>
      <c r="L860" t="str">
        <f>IF(Workforce[[#This Row],[Salary]]&lt;50000,"30k-49k",IF(Workforce[[#This Row],[Salary]]&lt;70000,"50k-69k",IF(Workforce[[#This Row],[Salary]]&lt;90000,"70k-89k","90k+")))</f>
        <v>70k-89k</v>
      </c>
      <c r="M860" t="s">
        <v>6416</v>
      </c>
      <c r="N860">
        <f t="shared" ca="1" si="54"/>
        <v>8</v>
      </c>
      <c r="O860" t="str">
        <f t="shared" ca="1" si="55"/>
        <v>Senior level</v>
      </c>
    </row>
    <row r="861" spans="1:15" x14ac:dyDescent="0.3">
      <c r="A861" t="s">
        <v>6417</v>
      </c>
      <c r="B861" t="s">
        <v>6418</v>
      </c>
      <c r="C861" t="s">
        <v>284</v>
      </c>
      <c r="D861" t="s">
        <v>6419</v>
      </c>
      <c r="E861" t="s">
        <v>6420</v>
      </c>
      <c r="F861" t="s">
        <v>5493</v>
      </c>
      <c r="G861" t="s">
        <v>6421</v>
      </c>
      <c r="H861" t="s">
        <v>6422</v>
      </c>
      <c r="I861">
        <f t="shared" ca="1" si="52"/>
        <v>64</v>
      </c>
      <c r="J861" t="str">
        <f t="shared" ca="1" si="53"/>
        <v>60+</v>
      </c>
      <c r="K861">
        <v>95164.32</v>
      </c>
      <c r="L861" t="str">
        <f>IF(Workforce[[#This Row],[Salary]]&lt;50000,"30k-49k",IF(Workforce[[#This Row],[Salary]]&lt;70000,"50k-69k",IF(Workforce[[#This Row],[Salary]]&lt;90000,"70k-89k","90k+")))</f>
        <v>90k+</v>
      </c>
      <c r="M861" t="s">
        <v>6423</v>
      </c>
      <c r="N861">
        <f t="shared" ca="1" si="54"/>
        <v>7</v>
      </c>
      <c r="O861" t="str">
        <f t="shared" ca="1" si="55"/>
        <v>Senior level</v>
      </c>
    </row>
    <row r="862" spans="1:15" x14ac:dyDescent="0.3">
      <c r="A862" t="s">
        <v>6424</v>
      </c>
      <c r="B862" t="s">
        <v>6425</v>
      </c>
      <c r="C862" t="s">
        <v>169</v>
      </c>
      <c r="D862" t="s">
        <v>6426</v>
      </c>
      <c r="E862" t="s">
        <v>6427</v>
      </c>
      <c r="F862" t="s">
        <v>6428</v>
      </c>
      <c r="G862" t="s">
        <v>6429</v>
      </c>
      <c r="H862" t="s">
        <v>6430</v>
      </c>
      <c r="I862">
        <f t="shared" ca="1" si="52"/>
        <v>38</v>
      </c>
      <c r="J862" t="str">
        <f t="shared" ca="1" si="53"/>
        <v>30-39</v>
      </c>
      <c r="K862">
        <v>32036.2</v>
      </c>
      <c r="L862" t="str">
        <f>IF(Workforce[[#This Row],[Salary]]&lt;50000,"30k-49k",IF(Workforce[[#This Row],[Salary]]&lt;70000,"50k-69k",IF(Workforce[[#This Row],[Salary]]&lt;90000,"70k-89k","90k+")))</f>
        <v>30k-49k</v>
      </c>
      <c r="M862" t="s">
        <v>3734</v>
      </c>
      <c r="N862">
        <f t="shared" ca="1" si="54"/>
        <v>8</v>
      </c>
      <c r="O862" t="str">
        <f t="shared" ca="1" si="55"/>
        <v>Senior level</v>
      </c>
    </row>
    <row r="863" spans="1:15" x14ac:dyDescent="0.3">
      <c r="A863" t="s">
        <v>6431</v>
      </c>
      <c r="B863" t="s">
        <v>6432</v>
      </c>
      <c r="C863" t="s">
        <v>653</v>
      </c>
      <c r="D863" t="s">
        <v>6433</v>
      </c>
      <c r="E863" t="s">
        <v>6434</v>
      </c>
      <c r="F863" t="s">
        <v>1712</v>
      </c>
      <c r="G863" t="s">
        <v>6435</v>
      </c>
      <c r="H863" t="s">
        <v>6436</v>
      </c>
      <c r="I863">
        <f t="shared" ca="1" si="52"/>
        <v>64</v>
      </c>
      <c r="J863" t="str">
        <f t="shared" ca="1" si="53"/>
        <v>60+</v>
      </c>
      <c r="K863">
        <v>70836.95</v>
      </c>
      <c r="L863" t="str">
        <f>IF(Workforce[[#This Row],[Salary]]&lt;50000,"30k-49k",IF(Workforce[[#This Row],[Salary]]&lt;70000,"50k-69k",IF(Workforce[[#This Row],[Salary]]&lt;90000,"70k-89k","90k+")))</f>
        <v>70k-89k</v>
      </c>
      <c r="M863" t="s">
        <v>6437</v>
      </c>
      <c r="N863">
        <f t="shared" ca="1" si="54"/>
        <v>7</v>
      </c>
      <c r="O863" t="str">
        <f t="shared" ca="1" si="55"/>
        <v>Senior level</v>
      </c>
    </row>
    <row r="864" spans="1:15" x14ac:dyDescent="0.3">
      <c r="A864" t="s">
        <v>6438</v>
      </c>
      <c r="B864" t="s">
        <v>6439</v>
      </c>
      <c r="C864" t="s">
        <v>457</v>
      </c>
      <c r="D864" t="s">
        <v>6440</v>
      </c>
      <c r="E864" t="s">
        <v>6441</v>
      </c>
      <c r="F864" t="s">
        <v>3892</v>
      </c>
      <c r="G864" t="s">
        <v>6442</v>
      </c>
      <c r="H864" t="s">
        <v>6184</v>
      </c>
      <c r="I864">
        <f t="shared" ca="1" si="52"/>
        <v>56</v>
      </c>
      <c r="J864" t="str">
        <f t="shared" ca="1" si="53"/>
        <v>50-59</v>
      </c>
      <c r="K864">
        <v>77565.25</v>
      </c>
      <c r="L864" t="str">
        <f>IF(Workforce[[#This Row],[Salary]]&lt;50000,"30k-49k",IF(Workforce[[#This Row],[Salary]]&lt;70000,"50k-69k",IF(Workforce[[#This Row],[Salary]]&lt;90000,"70k-89k","90k+")))</f>
        <v>70k-89k</v>
      </c>
      <c r="M864" t="s">
        <v>6443</v>
      </c>
      <c r="N864">
        <f t="shared" ca="1" si="54"/>
        <v>9</v>
      </c>
      <c r="O864" t="str">
        <f t="shared" ca="1" si="55"/>
        <v>Senior level</v>
      </c>
    </row>
    <row r="865" spans="1:15" x14ac:dyDescent="0.3">
      <c r="A865" t="s">
        <v>6444</v>
      </c>
      <c r="B865" t="s">
        <v>6445</v>
      </c>
      <c r="C865" t="s">
        <v>266</v>
      </c>
      <c r="D865" t="s">
        <v>6446</v>
      </c>
      <c r="E865" t="s">
        <v>6447</v>
      </c>
      <c r="F865" t="s">
        <v>6448</v>
      </c>
      <c r="G865" t="s">
        <v>6449</v>
      </c>
      <c r="H865" t="s">
        <v>6450</v>
      </c>
      <c r="I865">
        <f t="shared" ca="1" si="52"/>
        <v>20</v>
      </c>
      <c r="J865" t="str">
        <f t="shared" ca="1" si="53"/>
        <v>18-29</v>
      </c>
      <c r="K865">
        <v>110562.99</v>
      </c>
      <c r="L865" t="str">
        <f>IF(Workforce[[#This Row],[Salary]]&lt;50000,"30k-49k",IF(Workforce[[#This Row],[Salary]]&lt;70000,"50k-69k",IF(Workforce[[#This Row],[Salary]]&lt;90000,"70k-89k","90k+")))</f>
        <v>90k+</v>
      </c>
      <c r="M865" t="s">
        <v>6451</v>
      </c>
      <c r="N865">
        <f t="shared" ca="1" si="54"/>
        <v>3</v>
      </c>
      <c r="O865" t="str">
        <f t="shared" ca="1" si="55"/>
        <v>Intermediate level</v>
      </c>
    </row>
    <row r="866" spans="1:15" x14ac:dyDescent="0.3">
      <c r="A866" t="s">
        <v>6452</v>
      </c>
      <c r="B866" t="s">
        <v>6453</v>
      </c>
      <c r="C866" t="s">
        <v>2086</v>
      </c>
      <c r="D866" t="s">
        <v>6454</v>
      </c>
      <c r="E866" t="s">
        <v>6455</v>
      </c>
      <c r="F866" t="s">
        <v>6456</v>
      </c>
      <c r="G866" t="s">
        <v>6457</v>
      </c>
      <c r="H866" t="s">
        <v>6458</v>
      </c>
      <c r="I866">
        <f t="shared" ca="1" si="52"/>
        <v>65</v>
      </c>
      <c r="J866" t="str">
        <f t="shared" ca="1" si="53"/>
        <v>60+</v>
      </c>
      <c r="K866">
        <v>82131.34</v>
      </c>
      <c r="L866" t="str">
        <f>IF(Workforce[[#This Row],[Salary]]&lt;50000,"30k-49k",IF(Workforce[[#This Row],[Salary]]&lt;70000,"50k-69k",IF(Workforce[[#This Row],[Salary]]&lt;90000,"70k-89k","90k+")))</f>
        <v>70k-89k</v>
      </c>
      <c r="M866" t="s">
        <v>6459</v>
      </c>
      <c r="N866">
        <f t="shared" ca="1" si="54"/>
        <v>2</v>
      </c>
      <c r="O866" t="str">
        <f t="shared" ca="1" si="55"/>
        <v>Beginner</v>
      </c>
    </row>
    <row r="867" spans="1:15" x14ac:dyDescent="0.3">
      <c r="A867" t="s">
        <v>6460</v>
      </c>
      <c r="B867" t="s">
        <v>6461</v>
      </c>
      <c r="C867" t="s">
        <v>115</v>
      </c>
      <c r="D867" t="s">
        <v>6462</v>
      </c>
      <c r="E867" t="s">
        <v>6463</v>
      </c>
      <c r="F867" t="s">
        <v>5322</v>
      </c>
      <c r="G867" t="s">
        <v>6464</v>
      </c>
      <c r="H867" t="s">
        <v>6465</v>
      </c>
      <c r="I867">
        <f t="shared" ca="1" si="52"/>
        <v>46</v>
      </c>
      <c r="J867" t="str">
        <f t="shared" ca="1" si="53"/>
        <v>40-49</v>
      </c>
      <c r="K867">
        <v>80574.91</v>
      </c>
      <c r="L867" t="str">
        <f>IF(Workforce[[#This Row],[Salary]]&lt;50000,"30k-49k",IF(Workforce[[#This Row],[Salary]]&lt;70000,"50k-69k",IF(Workforce[[#This Row],[Salary]]&lt;90000,"70k-89k","90k+")))</f>
        <v>70k-89k</v>
      </c>
      <c r="M867" t="s">
        <v>2734</v>
      </c>
      <c r="N867">
        <f t="shared" ca="1" si="54"/>
        <v>7</v>
      </c>
      <c r="O867" t="str">
        <f t="shared" ca="1" si="55"/>
        <v>Senior level</v>
      </c>
    </row>
    <row r="868" spans="1:15" x14ac:dyDescent="0.3">
      <c r="A868" t="s">
        <v>6466</v>
      </c>
      <c r="B868" t="s">
        <v>6467</v>
      </c>
      <c r="C868" t="s">
        <v>169</v>
      </c>
      <c r="D868" t="s">
        <v>6468</v>
      </c>
      <c r="E868" t="s">
        <v>6469</v>
      </c>
      <c r="F868" t="s">
        <v>5379</v>
      </c>
      <c r="G868" t="s">
        <v>6470</v>
      </c>
      <c r="H868" t="s">
        <v>6471</v>
      </c>
      <c r="I868">
        <f t="shared" ca="1" si="52"/>
        <v>49</v>
      </c>
      <c r="J868" t="str">
        <f t="shared" ca="1" si="53"/>
        <v>40-49</v>
      </c>
      <c r="K868">
        <v>43259.99</v>
      </c>
      <c r="L868" t="str">
        <f>IF(Workforce[[#This Row],[Salary]]&lt;50000,"30k-49k",IF(Workforce[[#This Row],[Salary]]&lt;70000,"50k-69k",IF(Workforce[[#This Row],[Salary]]&lt;90000,"70k-89k","90k+")))</f>
        <v>30k-49k</v>
      </c>
      <c r="M868" t="s">
        <v>4265</v>
      </c>
      <c r="N868">
        <f t="shared" ca="1" si="54"/>
        <v>1</v>
      </c>
      <c r="O868" t="str">
        <f t="shared" ca="1" si="55"/>
        <v>Beginner</v>
      </c>
    </row>
    <row r="869" spans="1:15" x14ac:dyDescent="0.3">
      <c r="A869" t="s">
        <v>6472</v>
      </c>
      <c r="B869" t="s">
        <v>6473</v>
      </c>
      <c r="C869" t="s">
        <v>124</v>
      </c>
      <c r="D869" t="s">
        <v>6474</v>
      </c>
      <c r="E869" t="s">
        <v>6475</v>
      </c>
      <c r="F869" t="s">
        <v>3668</v>
      </c>
      <c r="G869" t="s">
        <v>6476</v>
      </c>
      <c r="H869" t="s">
        <v>6477</v>
      </c>
      <c r="I869">
        <f t="shared" ca="1" si="52"/>
        <v>49</v>
      </c>
      <c r="J869" t="str">
        <f t="shared" ca="1" si="53"/>
        <v>40-49</v>
      </c>
      <c r="K869">
        <v>31766.799999999999</v>
      </c>
      <c r="L869" t="str">
        <f>IF(Workforce[[#This Row],[Salary]]&lt;50000,"30k-49k",IF(Workforce[[#This Row],[Salary]]&lt;70000,"50k-69k",IF(Workforce[[#This Row],[Salary]]&lt;90000,"70k-89k","90k+")))</f>
        <v>30k-49k</v>
      </c>
      <c r="M869" t="s">
        <v>6478</v>
      </c>
      <c r="N869">
        <f t="shared" ca="1" si="54"/>
        <v>2</v>
      </c>
      <c r="O869" t="str">
        <f t="shared" ca="1" si="55"/>
        <v>Beginner</v>
      </c>
    </row>
    <row r="870" spans="1:15" x14ac:dyDescent="0.3">
      <c r="A870" t="s">
        <v>6479</v>
      </c>
      <c r="B870" t="s">
        <v>6480</v>
      </c>
      <c r="C870" t="s">
        <v>196</v>
      </c>
      <c r="D870" t="s">
        <v>6481</v>
      </c>
      <c r="E870" t="s">
        <v>6482</v>
      </c>
      <c r="F870" t="s">
        <v>501</v>
      </c>
      <c r="G870" t="s">
        <v>6483</v>
      </c>
      <c r="H870" t="s">
        <v>6484</v>
      </c>
      <c r="I870">
        <f t="shared" ca="1" si="52"/>
        <v>63</v>
      </c>
      <c r="J870" t="str">
        <f t="shared" ca="1" si="53"/>
        <v>60+</v>
      </c>
      <c r="K870">
        <v>39049.17</v>
      </c>
      <c r="L870" t="str">
        <f>IF(Workforce[[#This Row],[Salary]]&lt;50000,"30k-49k",IF(Workforce[[#This Row],[Salary]]&lt;70000,"50k-69k",IF(Workforce[[#This Row],[Salary]]&lt;90000,"70k-89k","90k+")))</f>
        <v>30k-49k</v>
      </c>
      <c r="M870" t="s">
        <v>6485</v>
      </c>
      <c r="N870">
        <f t="shared" ca="1" si="54"/>
        <v>4</v>
      </c>
      <c r="O870" t="str">
        <f t="shared" ca="1" si="55"/>
        <v>Intermediate level</v>
      </c>
    </row>
    <row r="871" spans="1:15" x14ac:dyDescent="0.3">
      <c r="A871" t="s">
        <v>6486</v>
      </c>
      <c r="B871" t="s">
        <v>6487</v>
      </c>
      <c r="C871" t="s">
        <v>160</v>
      </c>
      <c r="D871" t="s">
        <v>6488</v>
      </c>
      <c r="E871" t="s">
        <v>6489</v>
      </c>
      <c r="F871" t="s">
        <v>434</v>
      </c>
      <c r="G871" t="s">
        <v>6490</v>
      </c>
      <c r="H871" t="s">
        <v>6491</v>
      </c>
      <c r="I871">
        <f t="shared" ca="1" si="52"/>
        <v>30</v>
      </c>
      <c r="J871" t="str">
        <f t="shared" ca="1" si="53"/>
        <v>30-39</v>
      </c>
      <c r="K871">
        <v>70273.48</v>
      </c>
      <c r="L871" t="str">
        <f>IF(Workforce[[#This Row],[Salary]]&lt;50000,"30k-49k",IF(Workforce[[#This Row],[Salary]]&lt;70000,"50k-69k",IF(Workforce[[#This Row],[Salary]]&lt;90000,"70k-89k","90k+")))</f>
        <v>70k-89k</v>
      </c>
      <c r="M871" t="s">
        <v>6053</v>
      </c>
      <c r="N871">
        <f t="shared" ca="1" si="54"/>
        <v>3</v>
      </c>
      <c r="O871" t="str">
        <f t="shared" ca="1" si="55"/>
        <v>Intermediate level</v>
      </c>
    </row>
    <row r="872" spans="1:15" x14ac:dyDescent="0.3">
      <c r="A872" t="s">
        <v>6492</v>
      </c>
      <c r="B872" t="s">
        <v>6493</v>
      </c>
      <c r="C872" t="s">
        <v>351</v>
      </c>
      <c r="D872" t="s">
        <v>6494</v>
      </c>
      <c r="E872" t="s">
        <v>6495</v>
      </c>
      <c r="F872" t="s">
        <v>1572</v>
      </c>
      <c r="G872" t="s">
        <v>6496</v>
      </c>
      <c r="H872" t="s">
        <v>6497</v>
      </c>
      <c r="I872">
        <f t="shared" ca="1" si="52"/>
        <v>34</v>
      </c>
      <c r="J872" t="str">
        <f t="shared" ca="1" si="53"/>
        <v>30-39</v>
      </c>
      <c r="K872">
        <v>81292.91</v>
      </c>
      <c r="L872" t="str">
        <f>IF(Workforce[[#This Row],[Salary]]&lt;50000,"30k-49k",IF(Workforce[[#This Row],[Salary]]&lt;70000,"50k-69k",IF(Workforce[[#This Row],[Salary]]&lt;90000,"70k-89k","90k+")))</f>
        <v>70k-89k</v>
      </c>
      <c r="M872" t="s">
        <v>6498</v>
      </c>
      <c r="N872">
        <f t="shared" ca="1" si="54"/>
        <v>5</v>
      </c>
      <c r="O872" t="str">
        <f t="shared" ca="1" si="55"/>
        <v>Intermediate level</v>
      </c>
    </row>
    <row r="873" spans="1:15" x14ac:dyDescent="0.3">
      <c r="A873" t="s">
        <v>6499</v>
      </c>
      <c r="B873" t="s">
        <v>6500</v>
      </c>
      <c r="C873" t="s">
        <v>35</v>
      </c>
      <c r="D873" t="s">
        <v>6501</v>
      </c>
      <c r="E873" t="s">
        <v>6502</v>
      </c>
      <c r="F873" t="s">
        <v>6503</v>
      </c>
      <c r="G873" t="s">
        <v>6504</v>
      </c>
      <c r="H873" t="s">
        <v>6505</v>
      </c>
      <c r="I873">
        <f t="shared" ca="1" si="52"/>
        <v>53</v>
      </c>
      <c r="J873" t="str">
        <f t="shared" ca="1" si="53"/>
        <v>50-59</v>
      </c>
      <c r="K873">
        <v>58143.1</v>
      </c>
      <c r="L873" t="str">
        <f>IF(Workforce[[#This Row],[Salary]]&lt;50000,"30k-49k",IF(Workforce[[#This Row],[Salary]]&lt;70000,"50k-69k",IF(Workforce[[#This Row],[Salary]]&lt;90000,"70k-89k","90k+")))</f>
        <v>50k-69k</v>
      </c>
      <c r="M873" t="s">
        <v>6506</v>
      </c>
      <c r="N873">
        <f t="shared" ca="1" si="54"/>
        <v>3</v>
      </c>
      <c r="O873" t="str">
        <f t="shared" ca="1" si="55"/>
        <v>Intermediate level</v>
      </c>
    </row>
    <row r="874" spans="1:15" x14ac:dyDescent="0.3">
      <c r="A874" t="s">
        <v>6507</v>
      </c>
      <c r="B874" t="s">
        <v>6508</v>
      </c>
      <c r="C874" t="s">
        <v>26</v>
      </c>
      <c r="D874" t="s">
        <v>6509</v>
      </c>
      <c r="E874" t="s">
        <v>6510</v>
      </c>
      <c r="F874" t="s">
        <v>894</v>
      </c>
      <c r="G874" t="s">
        <v>6511</v>
      </c>
      <c r="H874" t="s">
        <v>6512</v>
      </c>
      <c r="I874">
        <f t="shared" ca="1" si="52"/>
        <v>57</v>
      </c>
      <c r="J874" t="str">
        <f t="shared" ca="1" si="53"/>
        <v>50-59</v>
      </c>
      <c r="K874">
        <v>55067.25</v>
      </c>
      <c r="L874" t="str">
        <f>IF(Workforce[[#This Row],[Salary]]&lt;50000,"30k-49k",IF(Workforce[[#This Row],[Salary]]&lt;70000,"50k-69k",IF(Workforce[[#This Row],[Salary]]&lt;90000,"70k-89k","90k+")))</f>
        <v>50k-69k</v>
      </c>
      <c r="M874" t="s">
        <v>6513</v>
      </c>
      <c r="N874">
        <f t="shared" ca="1" si="54"/>
        <v>2</v>
      </c>
      <c r="O874" t="str">
        <f t="shared" ca="1" si="55"/>
        <v>Beginner</v>
      </c>
    </row>
    <row r="875" spans="1:15" x14ac:dyDescent="0.3">
      <c r="A875" t="s">
        <v>6514</v>
      </c>
      <c r="B875" t="s">
        <v>6515</v>
      </c>
      <c r="C875" t="s">
        <v>97</v>
      </c>
      <c r="D875" t="s">
        <v>6516</v>
      </c>
      <c r="E875" t="s">
        <v>6517</v>
      </c>
      <c r="F875" t="s">
        <v>4843</v>
      </c>
      <c r="G875" t="s">
        <v>6518</v>
      </c>
      <c r="H875" t="s">
        <v>6519</v>
      </c>
      <c r="I875">
        <f t="shared" ca="1" si="52"/>
        <v>26</v>
      </c>
      <c r="J875" t="str">
        <f t="shared" ca="1" si="53"/>
        <v>18-29</v>
      </c>
      <c r="K875">
        <v>42515.59</v>
      </c>
      <c r="L875" t="str">
        <f>IF(Workforce[[#This Row],[Salary]]&lt;50000,"30k-49k",IF(Workforce[[#This Row],[Salary]]&lt;70000,"50k-69k",IF(Workforce[[#This Row],[Salary]]&lt;90000,"70k-89k","90k+")))</f>
        <v>30k-49k</v>
      </c>
      <c r="M875" t="s">
        <v>1399</v>
      </c>
      <c r="N875">
        <f t="shared" ca="1" si="54"/>
        <v>8</v>
      </c>
      <c r="O875" t="str">
        <f t="shared" ca="1" si="55"/>
        <v>Senior level</v>
      </c>
    </row>
    <row r="876" spans="1:15" x14ac:dyDescent="0.3">
      <c r="A876" t="s">
        <v>6520</v>
      </c>
      <c r="B876" t="s">
        <v>6521</v>
      </c>
      <c r="C876" t="s">
        <v>844</v>
      </c>
      <c r="D876" t="s">
        <v>6522</v>
      </c>
      <c r="E876" t="s">
        <v>6523</v>
      </c>
      <c r="F876" t="s">
        <v>2577</v>
      </c>
      <c r="G876" t="s">
        <v>6524</v>
      </c>
      <c r="H876" t="s">
        <v>3916</v>
      </c>
      <c r="I876">
        <f t="shared" ca="1" si="52"/>
        <v>56</v>
      </c>
      <c r="J876" t="str">
        <f t="shared" ca="1" si="53"/>
        <v>50-59</v>
      </c>
      <c r="K876">
        <v>43287.03</v>
      </c>
      <c r="L876" t="str">
        <f>IF(Workforce[[#This Row],[Salary]]&lt;50000,"30k-49k",IF(Workforce[[#This Row],[Salary]]&lt;70000,"50k-69k",IF(Workforce[[#This Row],[Salary]]&lt;90000,"70k-89k","90k+")))</f>
        <v>30k-49k</v>
      </c>
      <c r="M876" t="s">
        <v>6525</v>
      </c>
      <c r="N876">
        <f t="shared" ca="1" si="54"/>
        <v>8</v>
      </c>
      <c r="O876" t="str">
        <f t="shared" ca="1" si="55"/>
        <v>Senior level</v>
      </c>
    </row>
    <row r="877" spans="1:15" x14ac:dyDescent="0.3">
      <c r="A877" t="s">
        <v>6526</v>
      </c>
      <c r="B877" t="s">
        <v>6527</v>
      </c>
      <c r="C877" t="s">
        <v>26</v>
      </c>
      <c r="D877" t="s">
        <v>6528</v>
      </c>
      <c r="E877" t="s">
        <v>6529</v>
      </c>
      <c r="F877" t="s">
        <v>525</v>
      </c>
      <c r="G877" t="s">
        <v>6530</v>
      </c>
      <c r="H877" t="s">
        <v>6531</v>
      </c>
      <c r="I877">
        <f t="shared" ca="1" si="52"/>
        <v>64</v>
      </c>
      <c r="J877" t="str">
        <f t="shared" ca="1" si="53"/>
        <v>60+</v>
      </c>
      <c r="K877">
        <v>91789.51</v>
      </c>
      <c r="L877" t="str">
        <f>IF(Workforce[[#This Row],[Salary]]&lt;50000,"30k-49k",IF(Workforce[[#This Row],[Salary]]&lt;70000,"50k-69k",IF(Workforce[[#This Row],[Salary]]&lt;90000,"70k-89k","90k+")))</f>
        <v>90k+</v>
      </c>
      <c r="M877" t="s">
        <v>1729</v>
      </c>
      <c r="N877">
        <f t="shared" ca="1" si="54"/>
        <v>2</v>
      </c>
      <c r="O877" t="str">
        <f t="shared" ca="1" si="55"/>
        <v>Beginner</v>
      </c>
    </row>
    <row r="878" spans="1:15" x14ac:dyDescent="0.3">
      <c r="A878" t="s">
        <v>6532</v>
      </c>
      <c r="B878" t="s">
        <v>6533</v>
      </c>
      <c r="C878" t="s">
        <v>196</v>
      </c>
      <c r="D878" t="s">
        <v>6534</v>
      </c>
      <c r="E878" t="s">
        <v>6535</v>
      </c>
      <c r="F878" t="s">
        <v>3412</v>
      </c>
      <c r="G878" t="s">
        <v>6536</v>
      </c>
      <c r="H878" t="s">
        <v>6537</v>
      </c>
      <c r="I878">
        <f t="shared" ca="1" si="52"/>
        <v>20</v>
      </c>
      <c r="J878" t="str">
        <f t="shared" ca="1" si="53"/>
        <v>18-29</v>
      </c>
      <c r="K878">
        <v>33348.629999999997</v>
      </c>
      <c r="L878" t="str">
        <f>IF(Workforce[[#This Row],[Salary]]&lt;50000,"30k-49k",IF(Workforce[[#This Row],[Salary]]&lt;70000,"50k-69k",IF(Workforce[[#This Row],[Salary]]&lt;90000,"70k-89k","90k+")))</f>
        <v>30k-49k</v>
      </c>
      <c r="M878" t="s">
        <v>1852</v>
      </c>
      <c r="N878">
        <f t="shared" ca="1" si="54"/>
        <v>8</v>
      </c>
      <c r="O878" t="str">
        <f t="shared" ca="1" si="55"/>
        <v>Senior level</v>
      </c>
    </row>
    <row r="879" spans="1:15" x14ac:dyDescent="0.3">
      <c r="A879" t="s">
        <v>6538</v>
      </c>
      <c r="B879" t="s">
        <v>6539</v>
      </c>
      <c r="C879" t="s">
        <v>17</v>
      </c>
      <c r="D879" t="s">
        <v>6540</v>
      </c>
      <c r="E879" t="s">
        <v>6541</v>
      </c>
      <c r="F879" t="s">
        <v>4546</v>
      </c>
      <c r="G879" t="s">
        <v>6542</v>
      </c>
      <c r="H879" t="s">
        <v>6543</v>
      </c>
      <c r="I879">
        <f t="shared" ca="1" si="52"/>
        <v>42</v>
      </c>
      <c r="J879" t="str">
        <f t="shared" ca="1" si="53"/>
        <v>40-49</v>
      </c>
      <c r="K879">
        <v>52940.46</v>
      </c>
      <c r="L879" t="str">
        <f>IF(Workforce[[#This Row],[Salary]]&lt;50000,"30k-49k",IF(Workforce[[#This Row],[Salary]]&lt;70000,"50k-69k",IF(Workforce[[#This Row],[Salary]]&lt;90000,"70k-89k","90k+")))</f>
        <v>50k-69k</v>
      </c>
      <c r="M879" t="s">
        <v>6544</v>
      </c>
      <c r="N879">
        <f t="shared" ca="1" si="54"/>
        <v>6</v>
      </c>
      <c r="O879" t="str">
        <f t="shared" ca="1" si="55"/>
        <v>Intermediate level</v>
      </c>
    </row>
    <row r="880" spans="1:15" x14ac:dyDescent="0.3">
      <c r="A880" t="s">
        <v>6545</v>
      </c>
      <c r="B880" t="s">
        <v>6546</v>
      </c>
      <c r="C880" t="s">
        <v>61</v>
      </c>
      <c r="D880" t="s">
        <v>6547</v>
      </c>
      <c r="E880" t="s">
        <v>6548</v>
      </c>
      <c r="F880" t="s">
        <v>1145</v>
      </c>
      <c r="G880" t="s">
        <v>6549</v>
      </c>
      <c r="H880" t="s">
        <v>6550</v>
      </c>
      <c r="I880">
        <f t="shared" ca="1" si="52"/>
        <v>36</v>
      </c>
      <c r="J880" t="str">
        <f t="shared" ca="1" si="53"/>
        <v>30-39</v>
      </c>
      <c r="K880">
        <v>37256.89</v>
      </c>
      <c r="L880" t="str">
        <f>IF(Workforce[[#This Row],[Salary]]&lt;50000,"30k-49k",IF(Workforce[[#This Row],[Salary]]&lt;70000,"50k-69k",IF(Workforce[[#This Row],[Salary]]&lt;90000,"70k-89k","90k+")))</f>
        <v>30k-49k</v>
      </c>
      <c r="M880" t="s">
        <v>6551</v>
      </c>
      <c r="N880">
        <f t="shared" ca="1" si="54"/>
        <v>6</v>
      </c>
      <c r="O880" t="str">
        <f t="shared" ca="1" si="55"/>
        <v>Intermediate level</v>
      </c>
    </row>
    <row r="881" spans="1:15" x14ac:dyDescent="0.3">
      <c r="A881" t="s">
        <v>6552</v>
      </c>
      <c r="B881" t="s">
        <v>6553</v>
      </c>
      <c r="C881" t="s">
        <v>604</v>
      </c>
      <c r="D881" t="s">
        <v>6554</v>
      </c>
      <c r="E881" t="s">
        <v>6555</v>
      </c>
      <c r="F881" t="s">
        <v>6556</v>
      </c>
      <c r="G881" t="s">
        <v>6557</v>
      </c>
      <c r="H881" t="s">
        <v>6558</v>
      </c>
      <c r="I881">
        <f t="shared" ca="1" si="52"/>
        <v>39</v>
      </c>
      <c r="J881" t="str">
        <f t="shared" ca="1" si="53"/>
        <v>30-39</v>
      </c>
      <c r="K881">
        <v>69705.320000000007</v>
      </c>
      <c r="L881" t="str">
        <f>IF(Workforce[[#This Row],[Salary]]&lt;50000,"30k-49k",IF(Workforce[[#This Row],[Salary]]&lt;70000,"50k-69k",IF(Workforce[[#This Row],[Salary]]&lt;90000,"70k-89k","90k+")))</f>
        <v>50k-69k</v>
      </c>
      <c r="M881" t="s">
        <v>6559</v>
      </c>
      <c r="N881">
        <f t="shared" ca="1" si="54"/>
        <v>9</v>
      </c>
      <c r="O881" t="str">
        <f t="shared" ca="1" si="55"/>
        <v>Senior level</v>
      </c>
    </row>
    <row r="882" spans="1:15" x14ac:dyDescent="0.3">
      <c r="A882" t="s">
        <v>6560</v>
      </c>
      <c r="B882" t="s">
        <v>6561</v>
      </c>
      <c r="C882" t="s">
        <v>231</v>
      </c>
      <c r="D882" t="s">
        <v>6562</v>
      </c>
      <c r="E882" t="s">
        <v>6563</v>
      </c>
      <c r="F882" t="s">
        <v>1426</v>
      </c>
      <c r="G882" t="s">
        <v>6564</v>
      </c>
      <c r="H882" t="s">
        <v>6565</v>
      </c>
      <c r="I882">
        <f t="shared" ca="1" si="52"/>
        <v>53</v>
      </c>
      <c r="J882" t="str">
        <f t="shared" ca="1" si="53"/>
        <v>50-59</v>
      </c>
      <c r="K882">
        <v>99850.43</v>
      </c>
      <c r="L882" t="str">
        <f>IF(Workforce[[#This Row],[Salary]]&lt;50000,"30k-49k",IF(Workforce[[#This Row],[Salary]]&lt;70000,"50k-69k",IF(Workforce[[#This Row],[Salary]]&lt;90000,"70k-89k","90k+")))</f>
        <v>90k+</v>
      </c>
      <c r="M882" t="s">
        <v>2778</v>
      </c>
      <c r="N882">
        <f t="shared" ca="1" si="54"/>
        <v>7</v>
      </c>
      <c r="O882" t="str">
        <f t="shared" ca="1" si="55"/>
        <v>Senior level</v>
      </c>
    </row>
    <row r="883" spans="1:15" x14ac:dyDescent="0.3">
      <c r="A883" t="s">
        <v>6566</v>
      </c>
      <c r="B883" t="s">
        <v>6567</v>
      </c>
      <c r="C883" t="s">
        <v>1159</v>
      </c>
      <c r="D883" t="s">
        <v>6568</v>
      </c>
      <c r="E883" t="s">
        <v>6569</v>
      </c>
      <c r="F883" t="s">
        <v>6570</v>
      </c>
      <c r="G883" t="s">
        <v>6571</v>
      </c>
      <c r="H883" t="s">
        <v>6572</v>
      </c>
      <c r="I883">
        <f t="shared" ca="1" si="52"/>
        <v>34</v>
      </c>
      <c r="J883" t="str">
        <f t="shared" ca="1" si="53"/>
        <v>30-39</v>
      </c>
      <c r="K883">
        <v>81158.11</v>
      </c>
      <c r="L883" t="str">
        <f>IF(Workforce[[#This Row],[Salary]]&lt;50000,"30k-49k",IF(Workforce[[#This Row],[Salary]]&lt;70000,"50k-69k",IF(Workforce[[#This Row],[Salary]]&lt;90000,"70k-89k","90k+")))</f>
        <v>70k-89k</v>
      </c>
      <c r="M883" t="s">
        <v>6573</v>
      </c>
      <c r="N883">
        <f t="shared" ca="1" si="54"/>
        <v>5</v>
      </c>
      <c r="O883" t="str">
        <f t="shared" ca="1" si="55"/>
        <v>Intermediate level</v>
      </c>
    </row>
    <row r="884" spans="1:15" x14ac:dyDescent="0.3">
      <c r="A884" t="s">
        <v>6574</v>
      </c>
      <c r="B884" t="s">
        <v>6575</v>
      </c>
      <c r="C884" t="s">
        <v>995</v>
      </c>
      <c r="D884" t="s">
        <v>6576</v>
      </c>
      <c r="E884" t="s">
        <v>6577</v>
      </c>
      <c r="F884" t="s">
        <v>926</v>
      </c>
      <c r="G884" t="s">
        <v>6578</v>
      </c>
      <c r="H884" t="s">
        <v>6579</v>
      </c>
      <c r="I884">
        <f t="shared" ca="1" si="52"/>
        <v>44</v>
      </c>
      <c r="J884" t="str">
        <f t="shared" ca="1" si="53"/>
        <v>40-49</v>
      </c>
      <c r="K884">
        <v>43891.74</v>
      </c>
      <c r="L884" t="str">
        <f>IF(Workforce[[#This Row],[Salary]]&lt;50000,"30k-49k",IF(Workforce[[#This Row],[Salary]]&lt;70000,"50k-69k",IF(Workforce[[#This Row],[Salary]]&lt;90000,"70k-89k","90k+")))</f>
        <v>30k-49k</v>
      </c>
      <c r="M884" t="s">
        <v>6580</v>
      </c>
      <c r="N884">
        <f t="shared" ca="1" si="54"/>
        <v>4</v>
      </c>
      <c r="O884" t="str">
        <f t="shared" ca="1" si="55"/>
        <v>Intermediate level</v>
      </c>
    </row>
    <row r="885" spans="1:15" x14ac:dyDescent="0.3">
      <c r="A885" t="s">
        <v>6581</v>
      </c>
      <c r="B885" t="s">
        <v>6582</v>
      </c>
      <c r="C885" t="s">
        <v>440</v>
      </c>
      <c r="D885" t="s">
        <v>6583</v>
      </c>
      <c r="E885" t="s">
        <v>6584</v>
      </c>
      <c r="F885" t="s">
        <v>6585</v>
      </c>
      <c r="G885" t="s">
        <v>6586</v>
      </c>
      <c r="H885" t="s">
        <v>6587</v>
      </c>
      <c r="I885">
        <f t="shared" ca="1" si="52"/>
        <v>34</v>
      </c>
      <c r="J885" t="str">
        <f t="shared" ca="1" si="53"/>
        <v>30-39</v>
      </c>
      <c r="K885">
        <v>62129.120000000003</v>
      </c>
      <c r="L885" t="str">
        <f>IF(Workforce[[#This Row],[Salary]]&lt;50000,"30k-49k",IF(Workforce[[#This Row],[Salary]]&lt;70000,"50k-69k",IF(Workforce[[#This Row],[Salary]]&lt;90000,"70k-89k","90k+")))</f>
        <v>50k-69k</v>
      </c>
      <c r="M885" t="s">
        <v>6588</v>
      </c>
      <c r="N885">
        <f t="shared" ca="1" si="54"/>
        <v>2</v>
      </c>
      <c r="O885" t="str">
        <f t="shared" ca="1" si="55"/>
        <v>Beginner</v>
      </c>
    </row>
    <row r="886" spans="1:15" x14ac:dyDescent="0.3">
      <c r="A886" t="s">
        <v>6589</v>
      </c>
      <c r="B886" t="s">
        <v>6590</v>
      </c>
      <c r="C886" t="s">
        <v>169</v>
      </c>
      <c r="D886" t="s">
        <v>6591</v>
      </c>
      <c r="E886" t="s">
        <v>6592</v>
      </c>
      <c r="F886" t="s">
        <v>5751</v>
      </c>
      <c r="G886" t="s">
        <v>6593</v>
      </c>
      <c r="H886" t="s">
        <v>6594</v>
      </c>
      <c r="I886">
        <f t="shared" ca="1" si="52"/>
        <v>61</v>
      </c>
      <c r="J886" t="str">
        <f t="shared" ca="1" si="53"/>
        <v>60+</v>
      </c>
      <c r="K886">
        <v>65682.11</v>
      </c>
      <c r="L886" t="str">
        <f>IF(Workforce[[#This Row],[Salary]]&lt;50000,"30k-49k",IF(Workforce[[#This Row],[Salary]]&lt;70000,"50k-69k",IF(Workforce[[#This Row],[Salary]]&lt;90000,"70k-89k","90k+")))</f>
        <v>50k-69k</v>
      </c>
      <c r="M886" t="s">
        <v>3838</v>
      </c>
      <c r="N886">
        <f t="shared" ca="1" si="54"/>
        <v>7</v>
      </c>
      <c r="O886" t="str">
        <f t="shared" ca="1" si="55"/>
        <v>Senior level</v>
      </c>
    </row>
    <row r="887" spans="1:15" x14ac:dyDescent="0.3">
      <c r="A887" t="s">
        <v>6595</v>
      </c>
      <c r="B887" t="s">
        <v>6596</v>
      </c>
      <c r="C887" t="s">
        <v>266</v>
      </c>
      <c r="D887" t="s">
        <v>6597</v>
      </c>
      <c r="E887" t="s">
        <v>6598</v>
      </c>
      <c r="F887" t="s">
        <v>163</v>
      </c>
      <c r="G887" t="s">
        <v>6599</v>
      </c>
      <c r="H887" t="s">
        <v>6600</v>
      </c>
      <c r="I887">
        <f t="shared" ca="1" si="52"/>
        <v>60</v>
      </c>
      <c r="J887" t="str">
        <f t="shared" ca="1" si="53"/>
        <v>60+</v>
      </c>
      <c r="K887">
        <v>106481.69</v>
      </c>
      <c r="L887" t="str">
        <f>IF(Workforce[[#This Row],[Salary]]&lt;50000,"30k-49k",IF(Workforce[[#This Row],[Salary]]&lt;70000,"50k-69k",IF(Workforce[[#This Row],[Salary]]&lt;90000,"70k-89k","90k+")))</f>
        <v>90k+</v>
      </c>
      <c r="M887" t="s">
        <v>6601</v>
      </c>
      <c r="N887">
        <f t="shared" ca="1" si="54"/>
        <v>6</v>
      </c>
      <c r="O887" t="str">
        <f t="shared" ca="1" si="55"/>
        <v>Intermediate level</v>
      </c>
    </row>
    <row r="888" spans="1:15" x14ac:dyDescent="0.3">
      <c r="A888" t="s">
        <v>6602</v>
      </c>
      <c r="B888" t="s">
        <v>6603</v>
      </c>
      <c r="C888" t="s">
        <v>44</v>
      </c>
      <c r="D888" t="s">
        <v>6604</v>
      </c>
      <c r="E888" t="s">
        <v>6605</v>
      </c>
      <c r="F888" t="s">
        <v>3731</v>
      </c>
      <c r="G888" t="s">
        <v>6606</v>
      </c>
      <c r="H888" t="s">
        <v>6607</v>
      </c>
      <c r="I888">
        <f t="shared" ca="1" si="52"/>
        <v>32</v>
      </c>
      <c r="J888" t="str">
        <f t="shared" ca="1" si="53"/>
        <v>30-39</v>
      </c>
      <c r="K888">
        <v>48109.06</v>
      </c>
      <c r="L888" t="str">
        <f>IF(Workforce[[#This Row],[Salary]]&lt;50000,"30k-49k",IF(Workforce[[#This Row],[Salary]]&lt;70000,"50k-69k",IF(Workforce[[#This Row],[Salary]]&lt;90000,"70k-89k","90k+")))</f>
        <v>30k-49k</v>
      </c>
      <c r="M888" t="s">
        <v>6608</v>
      </c>
      <c r="N888">
        <f t="shared" ca="1" si="54"/>
        <v>9</v>
      </c>
      <c r="O888" t="str">
        <f t="shared" ca="1" si="55"/>
        <v>Senior level</v>
      </c>
    </row>
    <row r="889" spans="1:15" x14ac:dyDescent="0.3">
      <c r="A889" t="s">
        <v>4672</v>
      </c>
      <c r="B889" t="s">
        <v>6609</v>
      </c>
      <c r="C889" t="s">
        <v>844</v>
      </c>
      <c r="D889" t="s">
        <v>6610</v>
      </c>
      <c r="E889" t="s">
        <v>6611</v>
      </c>
      <c r="F889" t="s">
        <v>1249</v>
      </c>
      <c r="G889" t="s">
        <v>6612</v>
      </c>
      <c r="H889" t="s">
        <v>6613</v>
      </c>
      <c r="I889">
        <f t="shared" ca="1" si="52"/>
        <v>37</v>
      </c>
      <c r="J889" t="str">
        <f t="shared" ca="1" si="53"/>
        <v>30-39</v>
      </c>
      <c r="K889">
        <v>103275.04</v>
      </c>
      <c r="L889" t="str">
        <f>IF(Workforce[[#This Row],[Salary]]&lt;50000,"30k-49k",IF(Workforce[[#This Row],[Salary]]&lt;70000,"50k-69k",IF(Workforce[[#This Row],[Salary]]&lt;90000,"70k-89k","90k+")))</f>
        <v>90k+</v>
      </c>
      <c r="M889" t="s">
        <v>6614</v>
      </c>
      <c r="N889">
        <f t="shared" ca="1" si="54"/>
        <v>1</v>
      </c>
      <c r="O889" t="str">
        <f t="shared" ca="1" si="55"/>
        <v>Beginner</v>
      </c>
    </row>
    <row r="890" spans="1:15" x14ac:dyDescent="0.3">
      <c r="A890" t="s">
        <v>6615</v>
      </c>
      <c r="B890" t="s">
        <v>6616</v>
      </c>
      <c r="C890" t="s">
        <v>604</v>
      </c>
      <c r="D890" t="s">
        <v>6617</v>
      </c>
      <c r="E890" t="s">
        <v>6618</v>
      </c>
      <c r="F890" t="s">
        <v>5214</v>
      </c>
      <c r="G890" t="s">
        <v>6619</v>
      </c>
      <c r="H890" t="s">
        <v>6620</v>
      </c>
      <c r="I890">
        <f t="shared" ca="1" si="52"/>
        <v>19</v>
      </c>
      <c r="J890" t="str">
        <f t="shared" ca="1" si="53"/>
        <v>18-29</v>
      </c>
      <c r="K890">
        <v>95684.99</v>
      </c>
      <c r="L890" t="str">
        <f>IF(Workforce[[#This Row],[Salary]]&lt;50000,"30k-49k",IF(Workforce[[#This Row],[Salary]]&lt;70000,"50k-69k",IF(Workforce[[#This Row],[Salary]]&lt;90000,"70k-89k","90k+")))</f>
        <v>90k+</v>
      </c>
      <c r="M890" t="s">
        <v>6621</v>
      </c>
      <c r="N890">
        <f t="shared" ca="1" si="54"/>
        <v>9</v>
      </c>
      <c r="O890" t="str">
        <f t="shared" ca="1" si="55"/>
        <v>Senior level</v>
      </c>
    </row>
    <row r="891" spans="1:15" x14ac:dyDescent="0.3">
      <c r="A891" t="s">
        <v>6622</v>
      </c>
      <c r="B891" t="s">
        <v>6623</v>
      </c>
      <c r="C891" t="s">
        <v>35</v>
      </c>
      <c r="D891" t="s">
        <v>6624</v>
      </c>
      <c r="E891" t="s">
        <v>6625</v>
      </c>
      <c r="F891" t="s">
        <v>1210</v>
      </c>
      <c r="G891" t="s">
        <v>6626</v>
      </c>
      <c r="H891" t="s">
        <v>6627</v>
      </c>
      <c r="I891">
        <f t="shared" ca="1" si="52"/>
        <v>33</v>
      </c>
      <c r="J891" t="str">
        <f t="shared" ca="1" si="53"/>
        <v>30-39</v>
      </c>
      <c r="K891">
        <v>102565.08</v>
      </c>
      <c r="L891" t="str">
        <f>IF(Workforce[[#This Row],[Salary]]&lt;50000,"30k-49k",IF(Workforce[[#This Row],[Salary]]&lt;70000,"50k-69k",IF(Workforce[[#This Row],[Salary]]&lt;90000,"70k-89k","90k+")))</f>
        <v>90k+</v>
      </c>
      <c r="M891" t="s">
        <v>6628</v>
      </c>
      <c r="N891">
        <f t="shared" ca="1" si="54"/>
        <v>3</v>
      </c>
      <c r="O891" t="str">
        <f t="shared" ca="1" si="55"/>
        <v>Intermediate level</v>
      </c>
    </row>
    <row r="892" spans="1:15" x14ac:dyDescent="0.3">
      <c r="A892" t="s">
        <v>6629</v>
      </c>
      <c r="B892" t="s">
        <v>6630</v>
      </c>
      <c r="C892" t="s">
        <v>1004</v>
      </c>
      <c r="D892" t="s">
        <v>6631</v>
      </c>
      <c r="E892" t="s">
        <v>6632</v>
      </c>
      <c r="F892" t="s">
        <v>4096</v>
      </c>
      <c r="G892" t="s">
        <v>6633</v>
      </c>
      <c r="H892" t="s">
        <v>6634</v>
      </c>
      <c r="I892">
        <f t="shared" ca="1" si="52"/>
        <v>45</v>
      </c>
      <c r="J892" t="str">
        <f t="shared" ca="1" si="53"/>
        <v>40-49</v>
      </c>
      <c r="K892">
        <v>105453.89</v>
      </c>
      <c r="L892" t="str">
        <f>IF(Workforce[[#This Row],[Salary]]&lt;50000,"30k-49k",IF(Workforce[[#This Row],[Salary]]&lt;70000,"50k-69k",IF(Workforce[[#This Row],[Salary]]&lt;90000,"70k-89k","90k+")))</f>
        <v>90k+</v>
      </c>
      <c r="M892" t="s">
        <v>6635</v>
      </c>
      <c r="N892">
        <f t="shared" ca="1" si="54"/>
        <v>5</v>
      </c>
      <c r="O892" t="str">
        <f t="shared" ca="1" si="55"/>
        <v>Intermediate level</v>
      </c>
    </row>
    <row r="893" spans="1:15" x14ac:dyDescent="0.3">
      <c r="A893" t="s">
        <v>6636</v>
      </c>
      <c r="B893" t="s">
        <v>6637</v>
      </c>
      <c r="C893" t="s">
        <v>400</v>
      </c>
      <c r="D893" t="s">
        <v>6638</v>
      </c>
      <c r="E893" t="s">
        <v>6639</v>
      </c>
      <c r="F893" t="s">
        <v>1596</v>
      </c>
      <c r="G893" t="s">
        <v>6640</v>
      </c>
      <c r="H893" t="s">
        <v>6641</v>
      </c>
      <c r="I893">
        <f t="shared" ca="1" si="52"/>
        <v>53</v>
      </c>
      <c r="J893" t="str">
        <f t="shared" ca="1" si="53"/>
        <v>50-59</v>
      </c>
      <c r="K893">
        <v>54993.06</v>
      </c>
      <c r="L893" t="str">
        <f>IF(Workforce[[#This Row],[Salary]]&lt;50000,"30k-49k",IF(Workforce[[#This Row],[Salary]]&lt;70000,"50k-69k",IF(Workforce[[#This Row],[Salary]]&lt;90000,"70k-89k","90k+")))</f>
        <v>50k-69k</v>
      </c>
      <c r="M893" t="s">
        <v>6642</v>
      </c>
      <c r="N893">
        <f t="shared" ca="1" si="54"/>
        <v>1</v>
      </c>
      <c r="O893" t="str">
        <f t="shared" ca="1" si="55"/>
        <v>Beginner</v>
      </c>
    </row>
    <row r="894" spans="1:15" x14ac:dyDescent="0.3">
      <c r="A894" t="s">
        <v>6643</v>
      </c>
      <c r="B894" t="s">
        <v>6644</v>
      </c>
      <c r="C894" t="s">
        <v>440</v>
      </c>
      <c r="D894" t="s">
        <v>6645</v>
      </c>
      <c r="E894" t="s">
        <v>6646</v>
      </c>
      <c r="F894" t="s">
        <v>5031</v>
      </c>
      <c r="G894" t="s">
        <v>6647</v>
      </c>
      <c r="H894" t="s">
        <v>6648</v>
      </c>
      <c r="I894">
        <f t="shared" ca="1" si="52"/>
        <v>53</v>
      </c>
      <c r="J894" t="str">
        <f t="shared" ca="1" si="53"/>
        <v>50-59</v>
      </c>
      <c r="K894">
        <v>65519.44</v>
      </c>
      <c r="L894" t="str">
        <f>IF(Workforce[[#This Row],[Salary]]&lt;50000,"30k-49k",IF(Workforce[[#This Row],[Salary]]&lt;70000,"50k-69k",IF(Workforce[[#This Row],[Salary]]&lt;90000,"70k-89k","90k+")))</f>
        <v>50k-69k</v>
      </c>
      <c r="M894" t="s">
        <v>6649</v>
      </c>
      <c r="N894">
        <f t="shared" ca="1" si="54"/>
        <v>6</v>
      </c>
      <c r="O894" t="str">
        <f t="shared" ca="1" si="55"/>
        <v>Intermediate level</v>
      </c>
    </row>
    <row r="895" spans="1:15" x14ac:dyDescent="0.3">
      <c r="A895" t="s">
        <v>6650</v>
      </c>
      <c r="B895" t="s">
        <v>6651</v>
      </c>
      <c r="C895" t="s">
        <v>539</v>
      </c>
      <c r="D895" t="s">
        <v>6652</v>
      </c>
      <c r="E895" t="s">
        <v>6653</v>
      </c>
      <c r="F895" t="s">
        <v>1712</v>
      </c>
      <c r="G895" t="s">
        <v>6654</v>
      </c>
      <c r="H895" t="s">
        <v>6655</v>
      </c>
      <c r="I895">
        <f t="shared" ca="1" si="52"/>
        <v>29</v>
      </c>
      <c r="J895" t="str">
        <f t="shared" ca="1" si="53"/>
        <v>18-29</v>
      </c>
      <c r="K895">
        <v>54183.55</v>
      </c>
      <c r="L895" t="str">
        <f>IF(Workforce[[#This Row],[Salary]]&lt;50000,"30k-49k",IF(Workforce[[#This Row],[Salary]]&lt;70000,"50k-69k",IF(Workforce[[#This Row],[Salary]]&lt;90000,"70k-89k","90k+")))</f>
        <v>50k-69k</v>
      </c>
      <c r="M895" t="s">
        <v>6656</v>
      </c>
      <c r="N895">
        <f t="shared" ca="1" si="54"/>
        <v>6</v>
      </c>
      <c r="O895" t="str">
        <f t="shared" ca="1" si="55"/>
        <v>Intermediate level</v>
      </c>
    </row>
    <row r="896" spans="1:15" x14ac:dyDescent="0.3">
      <c r="A896" t="s">
        <v>6657</v>
      </c>
      <c r="B896" t="s">
        <v>6658</v>
      </c>
      <c r="C896" t="s">
        <v>326</v>
      </c>
      <c r="D896" t="s">
        <v>6659</v>
      </c>
      <c r="E896" t="s">
        <v>6660</v>
      </c>
      <c r="F896" t="s">
        <v>6661</v>
      </c>
      <c r="G896" t="s">
        <v>6662</v>
      </c>
      <c r="H896" t="s">
        <v>6663</v>
      </c>
      <c r="I896">
        <f t="shared" ca="1" si="52"/>
        <v>22</v>
      </c>
      <c r="J896" t="str">
        <f t="shared" ca="1" si="53"/>
        <v>18-29</v>
      </c>
      <c r="K896">
        <v>48218.66</v>
      </c>
      <c r="L896" t="str">
        <f>IF(Workforce[[#This Row],[Salary]]&lt;50000,"30k-49k",IF(Workforce[[#This Row],[Salary]]&lt;70000,"50k-69k",IF(Workforce[[#This Row],[Salary]]&lt;90000,"70k-89k","90k+")))</f>
        <v>30k-49k</v>
      </c>
      <c r="M896" t="s">
        <v>6664</v>
      </c>
      <c r="N896">
        <f t="shared" ca="1" si="54"/>
        <v>1</v>
      </c>
      <c r="O896" t="str">
        <f t="shared" ca="1" si="55"/>
        <v>Beginner</v>
      </c>
    </row>
    <row r="897" spans="1:15" x14ac:dyDescent="0.3">
      <c r="A897" t="s">
        <v>6665</v>
      </c>
      <c r="B897" t="s">
        <v>6666</v>
      </c>
      <c r="C897" t="s">
        <v>151</v>
      </c>
      <c r="D897" t="s">
        <v>6667</v>
      </c>
      <c r="E897" t="s">
        <v>6668</v>
      </c>
      <c r="F897" t="s">
        <v>1343</v>
      </c>
      <c r="G897" t="s">
        <v>6669</v>
      </c>
      <c r="H897" t="s">
        <v>6670</v>
      </c>
      <c r="I897">
        <f t="shared" ca="1" si="52"/>
        <v>48</v>
      </c>
      <c r="J897" t="str">
        <f t="shared" ca="1" si="53"/>
        <v>40-49</v>
      </c>
      <c r="K897">
        <v>97807.52</v>
      </c>
      <c r="L897" t="str">
        <f>IF(Workforce[[#This Row],[Salary]]&lt;50000,"30k-49k",IF(Workforce[[#This Row],[Salary]]&lt;70000,"50k-69k",IF(Workforce[[#This Row],[Salary]]&lt;90000,"70k-89k","90k+")))</f>
        <v>90k+</v>
      </c>
      <c r="M897" t="s">
        <v>6671</v>
      </c>
      <c r="N897">
        <f t="shared" ca="1" si="54"/>
        <v>1</v>
      </c>
      <c r="O897" t="str">
        <f t="shared" ca="1" si="55"/>
        <v>Beginner</v>
      </c>
    </row>
    <row r="898" spans="1:15" x14ac:dyDescent="0.3">
      <c r="A898" t="s">
        <v>6672</v>
      </c>
      <c r="B898" t="s">
        <v>6673</v>
      </c>
      <c r="C898" t="s">
        <v>70</v>
      </c>
      <c r="D898" t="s">
        <v>6674</v>
      </c>
      <c r="E898" t="s">
        <v>6675</v>
      </c>
      <c r="F898" t="s">
        <v>6676</v>
      </c>
      <c r="G898" t="s">
        <v>6677</v>
      </c>
      <c r="H898" t="s">
        <v>6678</v>
      </c>
      <c r="I898">
        <f t="shared" ref="I898:I961" ca="1" si="56">DATEDIF(H898,TODAY(),"y")</f>
        <v>54</v>
      </c>
      <c r="J898" t="str">
        <f t="shared" ref="J898:J961" ca="1" si="57">IF(I898&lt;30,"18-29",IF(I898&lt;40,"30-39",IF(I898&lt;50,"40-49",IF(I898&lt;60,"50-59","60+"))))</f>
        <v>50-59</v>
      </c>
      <c r="K898">
        <v>79641.67</v>
      </c>
      <c r="L898" t="str">
        <f>IF(Workforce[[#This Row],[Salary]]&lt;50000,"30k-49k",IF(Workforce[[#This Row],[Salary]]&lt;70000,"50k-69k",IF(Workforce[[#This Row],[Salary]]&lt;90000,"70k-89k","90k+")))</f>
        <v>70k-89k</v>
      </c>
      <c r="M898" t="s">
        <v>6679</v>
      </c>
      <c r="N898">
        <f t="shared" ref="N898:N961" ca="1" si="58">DATEDIF(M898,TODAY(),"y")</f>
        <v>2</v>
      </c>
      <c r="O898" t="str">
        <f t="shared" ref="O898:O961" ca="1" si="59">IF(N898&lt;=2,"Beginner",IF(N898&lt;=6,"Intermediate level","Senior level"))</f>
        <v>Beginner</v>
      </c>
    </row>
    <row r="899" spans="1:15" x14ac:dyDescent="0.3">
      <c r="A899" t="s">
        <v>6680</v>
      </c>
      <c r="B899" t="s">
        <v>6681</v>
      </c>
      <c r="C899" t="s">
        <v>213</v>
      </c>
      <c r="D899" t="s">
        <v>6682</v>
      </c>
      <c r="E899" t="s">
        <v>6683</v>
      </c>
      <c r="F899" t="s">
        <v>6684</v>
      </c>
      <c r="G899" t="s">
        <v>6685</v>
      </c>
      <c r="H899" t="s">
        <v>6686</v>
      </c>
      <c r="I899">
        <f t="shared" ca="1" si="56"/>
        <v>60</v>
      </c>
      <c r="J899" t="str">
        <f t="shared" ca="1" si="57"/>
        <v>60+</v>
      </c>
      <c r="K899">
        <v>73554.399999999994</v>
      </c>
      <c r="L899" t="str">
        <f>IF(Workforce[[#This Row],[Salary]]&lt;50000,"30k-49k",IF(Workforce[[#This Row],[Salary]]&lt;70000,"50k-69k",IF(Workforce[[#This Row],[Salary]]&lt;90000,"70k-89k","90k+")))</f>
        <v>70k-89k</v>
      </c>
      <c r="M899" t="s">
        <v>6687</v>
      </c>
      <c r="N899">
        <f t="shared" ca="1" si="58"/>
        <v>2</v>
      </c>
      <c r="O899" t="str">
        <f t="shared" ca="1" si="59"/>
        <v>Beginner</v>
      </c>
    </row>
    <row r="900" spans="1:15" x14ac:dyDescent="0.3">
      <c r="A900" t="s">
        <v>6688</v>
      </c>
      <c r="B900" t="s">
        <v>6689</v>
      </c>
      <c r="C900" t="s">
        <v>774</v>
      </c>
      <c r="D900" t="s">
        <v>6690</v>
      </c>
      <c r="E900" t="s">
        <v>6691</v>
      </c>
      <c r="F900" t="s">
        <v>4772</v>
      </c>
      <c r="G900" t="s">
        <v>6692</v>
      </c>
      <c r="H900" t="s">
        <v>5968</v>
      </c>
      <c r="I900">
        <f t="shared" ca="1" si="56"/>
        <v>54</v>
      </c>
      <c r="J900" t="str">
        <f t="shared" ca="1" si="57"/>
        <v>50-59</v>
      </c>
      <c r="K900">
        <v>32635.21</v>
      </c>
      <c r="L900" t="str">
        <f>IF(Workforce[[#This Row],[Salary]]&lt;50000,"30k-49k",IF(Workforce[[#This Row],[Salary]]&lt;70000,"50k-69k",IF(Workforce[[#This Row],[Salary]]&lt;90000,"70k-89k","90k+")))</f>
        <v>30k-49k</v>
      </c>
      <c r="M900" t="s">
        <v>6693</v>
      </c>
      <c r="N900">
        <f t="shared" ca="1" si="58"/>
        <v>7</v>
      </c>
      <c r="O900" t="str">
        <f t="shared" ca="1" si="59"/>
        <v>Senior level</v>
      </c>
    </row>
    <row r="901" spans="1:15" x14ac:dyDescent="0.3">
      <c r="A901" t="s">
        <v>6694</v>
      </c>
      <c r="B901" t="s">
        <v>6695</v>
      </c>
      <c r="C901" t="s">
        <v>317</v>
      </c>
      <c r="D901" t="s">
        <v>6696</v>
      </c>
      <c r="E901" t="s">
        <v>6697</v>
      </c>
      <c r="F901" t="s">
        <v>1927</v>
      </c>
      <c r="G901" t="s">
        <v>6698</v>
      </c>
      <c r="H901" t="s">
        <v>6699</v>
      </c>
      <c r="I901">
        <f t="shared" ca="1" si="56"/>
        <v>38</v>
      </c>
      <c r="J901" t="str">
        <f t="shared" ca="1" si="57"/>
        <v>30-39</v>
      </c>
      <c r="K901">
        <v>63502.46</v>
      </c>
      <c r="L901" t="str">
        <f>IF(Workforce[[#This Row],[Salary]]&lt;50000,"30k-49k",IF(Workforce[[#This Row],[Salary]]&lt;70000,"50k-69k",IF(Workforce[[#This Row],[Salary]]&lt;90000,"70k-89k","90k+")))</f>
        <v>50k-69k</v>
      </c>
      <c r="M901" t="s">
        <v>6700</v>
      </c>
      <c r="N901">
        <f t="shared" ca="1" si="58"/>
        <v>5</v>
      </c>
      <c r="O901" t="str">
        <f t="shared" ca="1" si="59"/>
        <v>Intermediate level</v>
      </c>
    </row>
    <row r="902" spans="1:15" x14ac:dyDescent="0.3">
      <c r="A902" t="s">
        <v>6701</v>
      </c>
      <c r="B902" t="s">
        <v>6702</v>
      </c>
      <c r="C902" t="s">
        <v>1159</v>
      </c>
      <c r="D902" t="s">
        <v>6703</v>
      </c>
      <c r="E902" t="s">
        <v>6704</v>
      </c>
      <c r="F902" t="s">
        <v>3264</v>
      </c>
      <c r="G902" t="s">
        <v>6705</v>
      </c>
      <c r="H902" t="s">
        <v>6706</v>
      </c>
      <c r="I902">
        <f t="shared" ca="1" si="56"/>
        <v>29</v>
      </c>
      <c r="J902" t="str">
        <f t="shared" ca="1" si="57"/>
        <v>18-29</v>
      </c>
      <c r="K902">
        <v>112873</v>
      </c>
      <c r="L902" t="str">
        <f>IF(Workforce[[#This Row],[Salary]]&lt;50000,"30k-49k",IF(Workforce[[#This Row],[Salary]]&lt;70000,"50k-69k",IF(Workforce[[#This Row],[Salary]]&lt;90000,"70k-89k","90k+")))</f>
        <v>90k+</v>
      </c>
      <c r="M902" t="s">
        <v>6707</v>
      </c>
      <c r="N902">
        <f t="shared" ca="1" si="58"/>
        <v>6</v>
      </c>
      <c r="O902" t="str">
        <f t="shared" ca="1" si="59"/>
        <v>Intermediate level</v>
      </c>
    </row>
    <row r="903" spans="1:15" x14ac:dyDescent="0.3">
      <c r="A903" t="s">
        <v>6708</v>
      </c>
      <c r="B903" t="s">
        <v>6709</v>
      </c>
      <c r="C903" t="s">
        <v>2086</v>
      </c>
      <c r="D903" t="s">
        <v>6710</v>
      </c>
      <c r="E903" t="s">
        <v>6711</v>
      </c>
      <c r="F903" t="s">
        <v>6712</v>
      </c>
      <c r="G903" t="s">
        <v>6713</v>
      </c>
      <c r="H903" t="s">
        <v>6714</v>
      </c>
      <c r="I903">
        <f t="shared" ca="1" si="56"/>
        <v>21</v>
      </c>
      <c r="J903" t="str">
        <f t="shared" ca="1" si="57"/>
        <v>18-29</v>
      </c>
      <c r="K903">
        <v>70405.27</v>
      </c>
      <c r="L903" t="str">
        <f>IF(Workforce[[#This Row],[Salary]]&lt;50000,"30k-49k",IF(Workforce[[#This Row],[Salary]]&lt;70000,"50k-69k",IF(Workforce[[#This Row],[Salary]]&lt;90000,"70k-89k","90k+")))</f>
        <v>70k-89k</v>
      </c>
      <c r="M903" t="s">
        <v>6715</v>
      </c>
      <c r="N903">
        <f t="shared" ca="1" si="58"/>
        <v>3</v>
      </c>
      <c r="O903" t="str">
        <f t="shared" ca="1" si="59"/>
        <v>Intermediate level</v>
      </c>
    </row>
    <row r="904" spans="1:15" x14ac:dyDescent="0.3">
      <c r="A904" t="s">
        <v>6716</v>
      </c>
      <c r="B904" t="s">
        <v>6717</v>
      </c>
      <c r="C904" t="s">
        <v>580</v>
      </c>
      <c r="D904" t="s">
        <v>6718</v>
      </c>
      <c r="E904" t="s">
        <v>6719</v>
      </c>
      <c r="F904" t="s">
        <v>1473</v>
      </c>
      <c r="G904" t="s">
        <v>6720</v>
      </c>
      <c r="H904" t="s">
        <v>6721</v>
      </c>
      <c r="I904">
        <f t="shared" ca="1" si="56"/>
        <v>61</v>
      </c>
      <c r="J904" t="str">
        <f t="shared" ca="1" si="57"/>
        <v>60+</v>
      </c>
      <c r="K904">
        <v>48967.18</v>
      </c>
      <c r="L904" t="str">
        <f>IF(Workforce[[#This Row],[Salary]]&lt;50000,"30k-49k",IF(Workforce[[#This Row],[Salary]]&lt;70000,"50k-69k",IF(Workforce[[#This Row],[Salary]]&lt;90000,"70k-89k","90k+")))</f>
        <v>30k-49k</v>
      </c>
      <c r="M904" t="s">
        <v>6722</v>
      </c>
      <c r="N904">
        <f t="shared" ca="1" si="58"/>
        <v>5</v>
      </c>
      <c r="O904" t="str">
        <f t="shared" ca="1" si="59"/>
        <v>Intermediate level</v>
      </c>
    </row>
    <row r="905" spans="1:15" x14ac:dyDescent="0.3">
      <c r="A905" t="s">
        <v>6723</v>
      </c>
      <c r="B905" t="s">
        <v>6724</v>
      </c>
      <c r="C905" t="s">
        <v>580</v>
      </c>
      <c r="D905" t="s">
        <v>6725</v>
      </c>
      <c r="E905" t="s">
        <v>6726</v>
      </c>
      <c r="F905" t="s">
        <v>4726</v>
      </c>
      <c r="G905" t="s">
        <v>6727</v>
      </c>
      <c r="H905" t="s">
        <v>6728</v>
      </c>
      <c r="I905">
        <f t="shared" ca="1" si="56"/>
        <v>24</v>
      </c>
      <c r="J905" t="str">
        <f t="shared" ca="1" si="57"/>
        <v>18-29</v>
      </c>
      <c r="K905">
        <v>85204.7</v>
      </c>
      <c r="L905" t="str">
        <f>IF(Workforce[[#This Row],[Salary]]&lt;50000,"30k-49k",IF(Workforce[[#This Row],[Salary]]&lt;70000,"50k-69k",IF(Workforce[[#This Row],[Salary]]&lt;90000,"70k-89k","90k+")))</f>
        <v>70k-89k</v>
      </c>
      <c r="M905" t="s">
        <v>3671</v>
      </c>
      <c r="N905">
        <f t="shared" ca="1" si="58"/>
        <v>8</v>
      </c>
      <c r="O905" t="str">
        <f t="shared" ca="1" si="59"/>
        <v>Senior level</v>
      </c>
    </row>
    <row r="906" spans="1:15" x14ac:dyDescent="0.3">
      <c r="A906" t="s">
        <v>6729</v>
      </c>
      <c r="B906" t="s">
        <v>6730</v>
      </c>
      <c r="C906" t="s">
        <v>580</v>
      </c>
      <c r="D906" t="s">
        <v>6731</v>
      </c>
      <c r="E906" t="s">
        <v>6732</v>
      </c>
      <c r="F906" t="s">
        <v>1312</v>
      </c>
      <c r="G906" t="s">
        <v>6733</v>
      </c>
      <c r="H906" t="s">
        <v>6734</v>
      </c>
      <c r="I906">
        <f t="shared" ca="1" si="56"/>
        <v>53</v>
      </c>
      <c r="J906" t="str">
        <f t="shared" ca="1" si="57"/>
        <v>50-59</v>
      </c>
      <c r="K906">
        <v>43476.52</v>
      </c>
      <c r="L906" t="str">
        <f>IF(Workforce[[#This Row],[Salary]]&lt;50000,"30k-49k",IF(Workforce[[#This Row],[Salary]]&lt;70000,"50k-69k",IF(Workforce[[#This Row],[Salary]]&lt;90000,"70k-89k","90k+")))</f>
        <v>30k-49k</v>
      </c>
      <c r="M906" t="s">
        <v>6735</v>
      </c>
      <c r="N906">
        <f t="shared" ca="1" si="58"/>
        <v>5</v>
      </c>
      <c r="O906" t="str">
        <f t="shared" ca="1" si="59"/>
        <v>Intermediate level</v>
      </c>
    </row>
    <row r="907" spans="1:15" x14ac:dyDescent="0.3">
      <c r="A907" t="s">
        <v>6736</v>
      </c>
      <c r="B907" t="s">
        <v>6737</v>
      </c>
      <c r="C907" t="s">
        <v>187</v>
      </c>
      <c r="D907" t="s">
        <v>6738</v>
      </c>
      <c r="E907" t="s">
        <v>6739</v>
      </c>
      <c r="F907" t="s">
        <v>6740</v>
      </c>
      <c r="G907" t="s">
        <v>6741</v>
      </c>
      <c r="H907" t="s">
        <v>6742</v>
      </c>
      <c r="I907">
        <f t="shared" ca="1" si="56"/>
        <v>23</v>
      </c>
      <c r="J907" t="str">
        <f t="shared" ca="1" si="57"/>
        <v>18-29</v>
      </c>
      <c r="K907">
        <v>103589.82</v>
      </c>
      <c r="L907" t="str">
        <f>IF(Workforce[[#This Row],[Salary]]&lt;50000,"30k-49k",IF(Workforce[[#This Row],[Salary]]&lt;70000,"50k-69k",IF(Workforce[[#This Row],[Salary]]&lt;90000,"70k-89k","90k+")))</f>
        <v>90k+</v>
      </c>
      <c r="M907" t="s">
        <v>6743</v>
      </c>
      <c r="N907">
        <f t="shared" ca="1" si="58"/>
        <v>3</v>
      </c>
      <c r="O907" t="str">
        <f t="shared" ca="1" si="59"/>
        <v>Intermediate level</v>
      </c>
    </row>
    <row r="908" spans="1:15" x14ac:dyDescent="0.3">
      <c r="A908" t="s">
        <v>6744</v>
      </c>
      <c r="B908" t="s">
        <v>6745</v>
      </c>
      <c r="C908" t="s">
        <v>240</v>
      </c>
      <c r="D908" t="s">
        <v>6746</v>
      </c>
      <c r="E908" t="s">
        <v>6747</v>
      </c>
      <c r="F908" t="s">
        <v>6748</v>
      </c>
      <c r="G908" t="s">
        <v>6749</v>
      </c>
      <c r="H908" t="s">
        <v>6750</v>
      </c>
      <c r="I908">
        <f t="shared" ca="1" si="56"/>
        <v>34</v>
      </c>
      <c r="J908" t="str">
        <f t="shared" ca="1" si="57"/>
        <v>30-39</v>
      </c>
      <c r="K908">
        <v>96114.880000000005</v>
      </c>
      <c r="L908" t="str">
        <f>IF(Workforce[[#This Row],[Salary]]&lt;50000,"30k-49k",IF(Workforce[[#This Row],[Salary]]&lt;70000,"50k-69k",IF(Workforce[[#This Row],[Salary]]&lt;90000,"70k-89k","90k+")))</f>
        <v>90k+</v>
      </c>
      <c r="M908" t="s">
        <v>6751</v>
      </c>
      <c r="N908">
        <f t="shared" ca="1" si="58"/>
        <v>4</v>
      </c>
      <c r="O908" t="str">
        <f t="shared" ca="1" si="59"/>
        <v>Intermediate level</v>
      </c>
    </row>
    <row r="909" spans="1:15" x14ac:dyDescent="0.3">
      <c r="A909" t="s">
        <v>6752</v>
      </c>
      <c r="B909" t="s">
        <v>6753</v>
      </c>
      <c r="C909" t="s">
        <v>995</v>
      </c>
      <c r="D909" t="s">
        <v>6754</v>
      </c>
      <c r="E909" t="s">
        <v>6755</v>
      </c>
      <c r="F909" t="s">
        <v>3272</v>
      </c>
      <c r="G909" t="s">
        <v>6756</v>
      </c>
      <c r="H909" t="s">
        <v>6757</v>
      </c>
      <c r="I909">
        <f t="shared" ca="1" si="56"/>
        <v>52</v>
      </c>
      <c r="J909" t="str">
        <f t="shared" ca="1" si="57"/>
        <v>50-59</v>
      </c>
      <c r="K909">
        <v>43567.57</v>
      </c>
      <c r="L909" t="str">
        <f>IF(Workforce[[#This Row],[Salary]]&lt;50000,"30k-49k",IF(Workforce[[#This Row],[Salary]]&lt;70000,"50k-69k",IF(Workforce[[#This Row],[Salary]]&lt;90000,"70k-89k","90k+")))</f>
        <v>30k-49k</v>
      </c>
      <c r="M909" t="s">
        <v>6758</v>
      </c>
      <c r="N909">
        <f t="shared" ca="1" si="58"/>
        <v>0</v>
      </c>
      <c r="O909" t="str">
        <f t="shared" ca="1" si="59"/>
        <v>Beginner</v>
      </c>
    </row>
    <row r="910" spans="1:15" x14ac:dyDescent="0.3">
      <c r="A910" t="s">
        <v>6759</v>
      </c>
      <c r="B910" t="s">
        <v>6760</v>
      </c>
      <c r="C910" t="s">
        <v>222</v>
      </c>
      <c r="D910" t="s">
        <v>6761</v>
      </c>
      <c r="E910" t="s">
        <v>6762</v>
      </c>
      <c r="F910" t="s">
        <v>6763</v>
      </c>
      <c r="G910" t="s">
        <v>6764</v>
      </c>
      <c r="H910" t="s">
        <v>6765</v>
      </c>
      <c r="I910">
        <f t="shared" ca="1" si="56"/>
        <v>34</v>
      </c>
      <c r="J910" t="str">
        <f t="shared" ca="1" si="57"/>
        <v>30-39</v>
      </c>
      <c r="K910">
        <v>46934.71</v>
      </c>
      <c r="L910" t="str">
        <f>IF(Workforce[[#This Row],[Salary]]&lt;50000,"30k-49k",IF(Workforce[[#This Row],[Salary]]&lt;70000,"50k-69k",IF(Workforce[[#This Row],[Salary]]&lt;90000,"70k-89k","90k+")))</f>
        <v>30k-49k</v>
      </c>
      <c r="M910" t="s">
        <v>6766</v>
      </c>
      <c r="N910">
        <f t="shared" ca="1" si="58"/>
        <v>4</v>
      </c>
      <c r="O910" t="str">
        <f t="shared" ca="1" si="59"/>
        <v>Intermediate level</v>
      </c>
    </row>
    <row r="911" spans="1:15" x14ac:dyDescent="0.3">
      <c r="A911" t="s">
        <v>6767</v>
      </c>
      <c r="B911" t="s">
        <v>6768</v>
      </c>
      <c r="C911" t="s">
        <v>88</v>
      </c>
      <c r="D911" t="s">
        <v>6769</v>
      </c>
      <c r="E911" t="s">
        <v>6770</v>
      </c>
      <c r="F911" t="s">
        <v>4821</v>
      </c>
      <c r="G911" t="s">
        <v>6771</v>
      </c>
      <c r="H911" t="s">
        <v>6772</v>
      </c>
      <c r="I911">
        <f t="shared" ca="1" si="56"/>
        <v>29</v>
      </c>
      <c r="J911" t="str">
        <f t="shared" ca="1" si="57"/>
        <v>18-29</v>
      </c>
      <c r="K911">
        <v>38028.54</v>
      </c>
      <c r="L911" t="str">
        <f>IF(Workforce[[#This Row],[Salary]]&lt;50000,"30k-49k",IF(Workforce[[#This Row],[Salary]]&lt;70000,"50k-69k",IF(Workforce[[#This Row],[Salary]]&lt;90000,"70k-89k","90k+")))</f>
        <v>30k-49k</v>
      </c>
      <c r="M911" t="s">
        <v>6773</v>
      </c>
      <c r="N911">
        <f t="shared" ca="1" si="58"/>
        <v>4</v>
      </c>
      <c r="O911" t="str">
        <f t="shared" ca="1" si="59"/>
        <v>Intermediate level</v>
      </c>
    </row>
    <row r="912" spans="1:15" x14ac:dyDescent="0.3">
      <c r="A912" t="s">
        <v>6774</v>
      </c>
      <c r="B912" t="s">
        <v>6775</v>
      </c>
      <c r="C912" t="s">
        <v>187</v>
      </c>
      <c r="D912" t="s">
        <v>6776</v>
      </c>
      <c r="E912" t="s">
        <v>6777</v>
      </c>
      <c r="F912" t="s">
        <v>5439</v>
      </c>
      <c r="G912" t="s">
        <v>6778</v>
      </c>
      <c r="H912" t="s">
        <v>6779</v>
      </c>
      <c r="I912">
        <f t="shared" ca="1" si="56"/>
        <v>29</v>
      </c>
      <c r="J912" t="str">
        <f t="shared" ca="1" si="57"/>
        <v>18-29</v>
      </c>
      <c r="K912">
        <v>63568.03</v>
      </c>
      <c r="L912" t="str">
        <f>IF(Workforce[[#This Row],[Salary]]&lt;50000,"30k-49k",IF(Workforce[[#This Row],[Salary]]&lt;70000,"50k-69k",IF(Workforce[[#This Row],[Salary]]&lt;90000,"70k-89k","90k+")))</f>
        <v>50k-69k</v>
      </c>
      <c r="M912" t="s">
        <v>6780</v>
      </c>
      <c r="N912">
        <f t="shared" ca="1" si="58"/>
        <v>3</v>
      </c>
      <c r="O912" t="str">
        <f t="shared" ca="1" si="59"/>
        <v>Intermediate level</v>
      </c>
    </row>
    <row r="913" spans="1:15" x14ac:dyDescent="0.3">
      <c r="A913" t="s">
        <v>6781</v>
      </c>
      <c r="B913" t="s">
        <v>6782</v>
      </c>
      <c r="C913" t="s">
        <v>142</v>
      </c>
      <c r="D913" t="s">
        <v>6783</v>
      </c>
      <c r="E913" t="s">
        <v>6784</v>
      </c>
      <c r="F913" t="s">
        <v>3783</v>
      </c>
      <c r="G913" t="s">
        <v>6785</v>
      </c>
      <c r="H913" t="s">
        <v>6786</v>
      </c>
      <c r="I913">
        <f t="shared" ca="1" si="56"/>
        <v>52</v>
      </c>
      <c r="J913" t="str">
        <f t="shared" ca="1" si="57"/>
        <v>50-59</v>
      </c>
      <c r="K913">
        <v>93514.92</v>
      </c>
      <c r="L913" t="str">
        <f>IF(Workforce[[#This Row],[Salary]]&lt;50000,"30k-49k",IF(Workforce[[#This Row],[Salary]]&lt;70000,"50k-69k",IF(Workforce[[#This Row],[Salary]]&lt;90000,"70k-89k","90k+")))</f>
        <v>90k+</v>
      </c>
      <c r="M913" t="s">
        <v>6787</v>
      </c>
      <c r="N913">
        <f t="shared" ca="1" si="58"/>
        <v>1</v>
      </c>
      <c r="O913" t="str">
        <f t="shared" ca="1" si="59"/>
        <v>Beginner</v>
      </c>
    </row>
    <row r="914" spans="1:15" x14ac:dyDescent="0.3">
      <c r="A914" t="s">
        <v>6788</v>
      </c>
      <c r="B914" t="s">
        <v>6789</v>
      </c>
      <c r="C914" t="s">
        <v>213</v>
      </c>
      <c r="D914" t="s">
        <v>6790</v>
      </c>
      <c r="E914" t="s">
        <v>6791</v>
      </c>
      <c r="F914" t="s">
        <v>2267</v>
      </c>
      <c r="G914" t="s">
        <v>6792</v>
      </c>
      <c r="H914" t="s">
        <v>6793</v>
      </c>
      <c r="I914">
        <f t="shared" ca="1" si="56"/>
        <v>41</v>
      </c>
      <c r="J914" t="str">
        <f t="shared" ca="1" si="57"/>
        <v>40-49</v>
      </c>
      <c r="K914">
        <v>70821.73</v>
      </c>
      <c r="L914" t="str">
        <f>IF(Workforce[[#This Row],[Salary]]&lt;50000,"30k-49k",IF(Workforce[[#This Row],[Salary]]&lt;70000,"50k-69k",IF(Workforce[[#This Row],[Salary]]&lt;90000,"70k-89k","90k+")))</f>
        <v>70k-89k</v>
      </c>
      <c r="M914" t="s">
        <v>1714</v>
      </c>
      <c r="N914">
        <f t="shared" ca="1" si="58"/>
        <v>8</v>
      </c>
      <c r="O914" t="str">
        <f t="shared" ca="1" si="59"/>
        <v>Senior level</v>
      </c>
    </row>
    <row r="915" spans="1:15" x14ac:dyDescent="0.3">
      <c r="A915" t="s">
        <v>6794</v>
      </c>
      <c r="B915" t="s">
        <v>6795</v>
      </c>
      <c r="C915" t="s">
        <v>79</v>
      </c>
      <c r="D915" t="s">
        <v>6796</v>
      </c>
      <c r="E915" t="s">
        <v>6797</v>
      </c>
      <c r="F915" t="s">
        <v>800</v>
      </c>
      <c r="G915" t="s">
        <v>6798</v>
      </c>
      <c r="H915" t="s">
        <v>6799</v>
      </c>
      <c r="I915">
        <f t="shared" ca="1" si="56"/>
        <v>63</v>
      </c>
      <c r="J915" t="str">
        <f t="shared" ca="1" si="57"/>
        <v>60+</v>
      </c>
      <c r="K915">
        <v>93463.94</v>
      </c>
      <c r="L915" t="str">
        <f>IF(Workforce[[#This Row],[Salary]]&lt;50000,"30k-49k",IF(Workforce[[#This Row],[Salary]]&lt;70000,"50k-69k",IF(Workforce[[#This Row],[Salary]]&lt;90000,"70k-89k","90k+")))</f>
        <v>90k+</v>
      </c>
      <c r="M915" t="s">
        <v>6800</v>
      </c>
      <c r="N915">
        <f t="shared" ca="1" si="58"/>
        <v>8</v>
      </c>
      <c r="O915" t="str">
        <f t="shared" ca="1" si="59"/>
        <v>Senior level</v>
      </c>
    </row>
    <row r="916" spans="1:15" x14ac:dyDescent="0.3">
      <c r="A916" t="s">
        <v>6801</v>
      </c>
      <c r="B916" t="s">
        <v>6802</v>
      </c>
      <c r="C916" t="s">
        <v>151</v>
      </c>
      <c r="D916" t="s">
        <v>6803</v>
      </c>
      <c r="E916" t="s">
        <v>6804</v>
      </c>
      <c r="F916" t="s">
        <v>3404</v>
      </c>
      <c r="G916" t="s">
        <v>6805</v>
      </c>
      <c r="H916" t="s">
        <v>6806</v>
      </c>
      <c r="I916">
        <f t="shared" ca="1" si="56"/>
        <v>25</v>
      </c>
      <c r="J916" t="str">
        <f t="shared" ca="1" si="57"/>
        <v>18-29</v>
      </c>
      <c r="K916">
        <v>67967.17</v>
      </c>
      <c r="L916" t="str">
        <f>IF(Workforce[[#This Row],[Salary]]&lt;50000,"30k-49k",IF(Workforce[[#This Row],[Salary]]&lt;70000,"50k-69k",IF(Workforce[[#This Row],[Salary]]&lt;90000,"70k-89k","90k+")))</f>
        <v>50k-69k</v>
      </c>
      <c r="M916" t="s">
        <v>6807</v>
      </c>
      <c r="N916">
        <f t="shared" ca="1" si="58"/>
        <v>10</v>
      </c>
      <c r="O916" t="str">
        <f t="shared" ca="1" si="59"/>
        <v>Senior level</v>
      </c>
    </row>
    <row r="917" spans="1:15" x14ac:dyDescent="0.3">
      <c r="A917" t="s">
        <v>6808</v>
      </c>
      <c r="B917" t="s">
        <v>6809</v>
      </c>
      <c r="C917" t="s">
        <v>44</v>
      </c>
      <c r="D917" t="s">
        <v>6810</v>
      </c>
      <c r="E917" t="s">
        <v>6811</v>
      </c>
      <c r="F917" t="s">
        <v>718</v>
      </c>
      <c r="G917" t="s">
        <v>6812</v>
      </c>
      <c r="H917" t="s">
        <v>6813</v>
      </c>
      <c r="I917">
        <f t="shared" ca="1" si="56"/>
        <v>42</v>
      </c>
      <c r="J917" t="str">
        <f t="shared" ca="1" si="57"/>
        <v>40-49</v>
      </c>
      <c r="K917">
        <v>38304.39</v>
      </c>
      <c r="L917" t="str">
        <f>IF(Workforce[[#This Row],[Salary]]&lt;50000,"30k-49k",IF(Workforce[[#This Row],[Salary]]&lt;70000,"50k-69k",IF(Workforce[[#This Row],[Salary]]&lt;90000,"70k-89k","90k+")))</f>
        <v>30k-49k</v>
      </c>
      <c r="M917" t="s">
        <v>6814</v>
      </c>
      <c r="N917">
        <f t="shared" ca="1" si="58"/>
        <v>7</v>
      </c>
      <c r="O917" t="str">
        <f t="shared" ca="1" si="59"/>
        <v>Senior level</v>
      </c>
    </row>
    <row r="918" spans="1:15" x14ac:dyDescent="0.3">
      <c r="A918" t="s">
        <v>6815</v>
      </c>
      <c r="B918" t="s">
        <v>6816</v>
      </c>
      <c r="C918" t="s">
        <v>70</v>
      </c>
      <c r="D918" t="s">
        <v>6817</v>
      </c>
      <c r="E918" t="s">
        <v>6818</v>
      </c>
      <c r="F918" t="s">
        <v>6819</v>
      </c>
      <c r="G918" t="s">
        <v>6820</v>
      </c>
      <c r="H918" t="s">
        <v>6821</v>
      </c>
      <c r="I918">
        <f t="shared" ca="1" si="56"/>
        <v>31</v>
      </c>
      <c r="J918" t="str">
        <f t="shared" ca="1" si="57"/>
        <v>30-39</v>
      </c>
      <c r="K918">
        <v>114472.19</v>
      </c>
      <c r="L918" t="str">
        <f>IF(Workforce[[#This Row],[Salary]]&lt;50000,"30k-49k",IF(Workforce[[#This Row],[Salary]]&lt;70000,"50k-69k",IF(Workforce[[#This Row],[Salary]]&lt;90000,"70k-89k","90k+")))</f>
        <v>90k+</v>
      </c>
      <c r="M918" t="s">
        <v>6822</v>
      </c>
      <c r="N918">
        <f t="shared" ca="1" si="58"/>
        <v>4</v>
      </c>
      <c r="O918" t="str">
        <f t="shared" ca="1" si="59"/>
        <v>Intermediate level</v>
      </c>
    </row>
    <row r="919" spans="1:15" x14ac:dyDescent="0.3">
      <c r="A919" t="s">
        <v>6823</v>
      </c>
      <c r="B919" t="s">
        <v>6824</v>
      </c>
      <c r="C919" t="s">
        <v>124</v>
      </c>
      <c r="D919" t="s">
        <v>6825</v>
      </c>
      <c r="E919" t="s">
        <v>6826</v>
      </c>
      <c r="F919" t="s">
        <v>6827</v>
      </c>
      <c r="G919" t="s">
        <v>5142</v>
      </c>
      <c r="H919" t="s">
        <v>6828</v>
      </c>
      <c r="I919">
        <f t="shared" ca="1" si="56"/>
        <v>41</v>
      </c>
      <c r="J919" t="str">
        <f t="shared" ca="1" si="57"/>
        <v>40-49</v>
      </c>
      <c r="K919">
        <v>112750.98</v>
      </c>
      <c r="L919" t="str">
        <f>IF(Workforce[[#This Row],[Salary]]&lt;50000,"30k-49k",IF(Workforce[[#This Row],[Salary]]&lt;70000,"50k-69k",IF(Workforce[[#This Row],[Salary]]&lt;90000,"70k-89k","90k+")))</f>
        <v>90k+</v>
      </c>
      <c r="M919" t="s">
        <v>6829</v>
      </c>
      <c r="N919">
        <f t="shared" ca="1" si="58"/>
        <v>1</v>
      </c>
      <c r="O919" t="str">
        <f t="shared" ca="1" si="59"/>
        <v>Beginner</v>
      </c>
    </row>
    <row r="920" spans="1:15" x14ac:dyDescent="0.3">
      <c r="A920" t="s">
        <v>6830</v>
      </c>
      <c r="B920" t="s">
        <v>6831</v>
      </c>
      <c r="C920" t="s">
        <v>604</v>
      </c>
      <c r="D920" t="s">
        <v>6832</v>
      </c>
      <c r="E920" t="s">
        <v>6833</v>
      </c>
      <c r="F920" t="s">
        <v>1304</v>
      </c>
      <c r="G920" t="s">
        <v>6834</v>
      </c>
      <c r="H920" t="s">
        <v>6835</v>
      </c>
      <c r="I920">
        <f t="shared" ca="1" si="56"/>
        <v>41</v>
      </c>
      <c r="J920" t="str">
        <f t="shared" ca="1" si="57"/>
        <v>40-49</v>
      </c>
      <c r="K920">
        <v>75895.69</v>
      </c>
      <c r="L920" t="str">
        <f>IF(Workforce[[#This Row],[Salary]]&lt;50000,"30k-49k",IF(Workforce[[#This Row],[Salary]]&lt;70000,"50k-69k",IF(Workforce[[#This Row],[Salary]]&lt;90000,"70k-89k","90k+")))</f>
        <v>70k-89k</v>
      </c>
      <c r="M920" t="s">
        <v>6836</v>
      </c>
      <c r="N920">
        <f t="shared" ca="1" si="58"/>
        <v>9</v>
      </c>
      <c r="O920" t="str">
        <f t="shared" ca="1" si="59"/>
        <v>Senior level</v>
      </c>
    </row>
    <row r="921" spans="1:15" x14ac:dyDescent="0.3">
      <c r="A921" t="s">
        <v>6837</v>
      </c>
      <c r="B921" t="s">
        <v>6838</v>
      </c>
      <c r="C921" t="s">
        <v>351</v>
      </c>
      <c r="D921" t="s">
        <v>6839</v>
      </c>
      <c r="E921" t="s">
        <v>6840</v>
      </c>
      <c r="F921" t="s">
        <v>5751</v>
      </c>
      <c r="G921" t="s">
        <v>6841</v>
      </c>
      <c r="H921" t="s">
        <v>6842</v>
      </c>
      <c r="I921">
        <f t="shared" ca="1" si="56"/>
        <v>45</v>
      </c>
      <c r="J921" t="str">
        <f t="shared" ca="1" si="57"/>
        <v>40-49</v>
      </c>
      <c r="K921">
        <v>41119.15</v>
      </c>
      <c r="L921" t="str">
        <f>IF(Workforce[[#This Row],[Salary]]&lt;50000,"30k-49k",IF(Workforce[[#This Row],[Salary]]&lt;70000,"50k-69k",IF(Workforce[[#This Row],[Salary]]&lt;90000,"70k-89k","90k+")))</f>
        <v>30k-49k</v>
      </c>
      <c r="M921" t="s">
        <v>6843</v>
      </c>
      <c r="N921">
        <f t="shared" ca="1" si="58"/>
        <v>2</v>
      </c>
      <c r="O921" t="str">
        <f t="shared" ca="1" si="59"/>
        <v>Beginner</v>
      </c>
    </row>
    <row r="922" spans="1:15" x14ac:dyDescent="0.3">
      <c r="A922" t="s">
        <v>6844</v>
      </c>
      <c r="B922" t="s">
        <v>6845</v>
      </c>
      <c r="C922" t="s">
        <v>88</v>
      </c>
      <c r="D922" t="s">
        <v>6846</v>
      </c>
      <c r="E922" t="s">
        <v>6847</v>
      </c>
      <c r="F922" t="s">
        <v>3095</v>
      </c>
      <c r="G922" t="s">
        <v>6848</v>
      </c>
      <c r="H922" t="s">
        <v>6849</v>
      </c>
      <c r="I922">
        <f t="shared" ca="1" si="56"/>
        <v>63</v>
      </c>
      <c r="J922" t="str">
        <f t="shared" ca="1" si="57"/>
        <v>60+</v>
      </c>
      <c r="K922">
        <v>72147.509999999995</v>
      </c>
      <c r="L922" t="str">
        <f>IF(Workforce[[#This Row],[Salary]]&lt;50000,"30k-49k",IF(Workforce[[#This Row],[Salary]]&lt;70000,"50k-69k",IF(Workforce[[#This Row],[Salary]]&lt;90000,"70k-89k","90k+")))</f>
        <v>70k-89k</v>
      </c>
      <c r="M922" t="s">
        <v>6850</v>
      </c>
      <c r="N922">
        <f t="shared" ca="1" si="58"/>
        <v>1</v>
      </c>
      <c r="O922" t="str">
        <f t="shared" ca="1" si="59"/>
        <v>Beginner</v>
      </c>
    </row>
    <row r="923" spans="1:15" x14ac:dyDescent="0.3">
      <c r="A923" t="s">
        <v>6851</v>
      </c>
      <c r="B923" t="s">
        <v>6852</v>
      </c>
      <c r="C923" t="s">
        <v>26</v>
      </c>
      <c r="D923" t="s">
        <v>6853</v>
      </c>
      <c r="E923" t="s">
        <v>6854</v>
      </c>
      <c r="F923" t="s">
        <v>6570</v>
      </c>
      <c r="G923" t="s">
        <v>6855</v>
      </c>
      <c r="H923" t="s">
        <v>6856</v>
      </c>
      <c r="I923">
        <f t="shared" ca="1" si="56"/>
        <v>54</v>
      </c>
      <c r="J923" t="str">
        <f t="shared" ca="1" si="57"/>
        <v>50-59</v>
      </c>
      <c r="K923">
        <v>108108.56</v>
      </c>
      <c r="L923" t="str">
        <f>IF(Workforce[[#This Row],[Salary]]&lt;50000,"30k-49k",IF(Workforce[[#This Row],[Salary]]&lt;70000,"50k-69k",IF(Workforce[[#This Row],[Salary]]&lt;90000,"70k-89k","90k+")))</f>
        <v>90k+</v>
      </c>
      <c r="M923" t="s">
        <v>6857</v>
      </c>
      <c r="N923">
        <f t="shared" ca="1" si="58"/>
        <v>9</v>
      </c>
      <c r="O923" t="str">
        <f t="shared" ca="1" si="59"/>
        <v>Senior level</v>
      </c>
    </row>
    <row r="924" spans="1:15" x14ac:dyDescent="0.3">
      <c r="A924" t="s">
        <v>6858</v>
      </c>
      <c r="B924" t="s">
        <v>6859</v>
      </c>
      <c r="C924" t="s">
        <v>178</v>
      </c>
      <c r="D924" t="s">
        <v>6860</v>
      </c>
      <c r="E924" t="s">
        <v>6861</v>
      </c>
      <c r="F924" t="s">
        <v>6862</v>
      </c>
      <c r="G924" t="s">
        <v>6863</v>
      </c>
      <c r="H924" t="s">
        <v>6864</v>
      </c>
      <c r="I924">
        <f t="shared" ca="1" si="56"/>
        <v>60</v>
      </c>
      <c r="J924" t="str">
        <f t="shared" ca="1" si="57"/>
        <v>60+</v>
      </c>
      <c r="K924">
        <v>42458.01</v>
      </c>
      <c r="L924" t="str">
        <f>IF(Workforce[[#This Row],[Salary]]&lt;50000,"30k-49k",IF(Workforce[[#This Row],[Salary]]&lt;70000,"50k-69k",IF(Workforce[[#This Row],[Salary]]&lt;90000,"70k-89k","90k+")))</f>
        <v>30k-49k</v>
      </c>
      <c r="M924" t="s">
        <v>6865</v>
      </c>
      <c r="N924">
        <f t="shared" ca="1" si="58"/>
        <v>6</v>
      </c>
      <c r="O924" t="str">
        <f t="shared" ca="1" si="59"/>
        <v>Intermediate level</v>
      </c>
    </row>
    <row r="925" spans="1:15" x14ac:dyDescent="0.3">
      <c r="A925" t="s">
        <v>6866</v>
      </c>
      <c r="B925" t="s">
        <v>6867</v>
      </c>
      <c r="C925" t="s">
        <v>160</v>
      </c>
      <c r="D925" t="s">
        <v>6868</v>
      </c>
      <c r="E925" t="s">
        <v>6869</v>
      </c>
      <c r="F925" t="s">
        <v>38</v>
      </c>
      <c r="G925" t="s">
        <v>6870</v>
      </c>
      <c r="H925" t="s">
        <v>6871</v>
      </c>
      <c r="I925">
        <f t="shared" ca="1" si="56"/>
        <v>44</v>
      </c>
      <c r="J925" t="str">
        <f t="shared" ca="1" si="57"/>
        <v>40-49</v>
      </c>
      <c r="K925">
        <v>65652.75</v>
      </c>
      <c r="L925" t="str">
        <f>IF(Workforce[[#This Row],[Salary]]&lt;50000,"30k-49k",IF(Workforce[[#This Row],[Salary]]&lt;70000,"50k-69k",IF(Workforce[[#This Row],[Salary]]&lt;90000,"70k-89k","90k+")))</f>
        <v>50k-69k</v>
      </c>
      <c r="M925" t="s">
        <v>4760</v>
      </c>
      <c r="N925">
        <f t="shared" ca="1" si="58"/>
        <v>2</v>
      </c>
      <c r="O925" t="str">
        <f t="shared" ca="1" si="59"/>
        <v>Beginner</v>
      </c>
    </row>
    <row r="926" spans="1:15" x14ac:dyDescent="0.3">
      <c r="A926" t="s">
        <v>6872</v>
      </c>
      <c r="B926" t="s">
        <v>6873</v>
      </c>
      <c r="C926" t="s">
        <v>240</v>
      </c>
      <c r="D926" t="s">
        <v>6874</v>
      </c>
      <c r="E926" t="s">
        <v>6875</v>
      </c>
      <c r="F926" t="s">
        <v>6876</v>
      </c>
      <c r="G926" t="s">
        <v>6877</v>
      </c>
      <c r="H926" t="s">
        <v>6878</v>
      </c>
      <c r="I926">
        <f t="shared" ca="1" si="56"/>
        <v>30</v>
      </c>
      <c r="J926" t="str">
        <f t="shared" ca="1" si="57"/>
        <v>30-39</v>
      </c>
      <c r="K926">
        <v>34263.03</v>
      </c>
      <c r="L926" t="str">
        <f>IF(Workforce[[#This Row],[Salary]]&lt;50000,"30k-49k",IF(Workforce[[#This Row],[Salary]]&lt;70000,"50k-69k",IF(Workforce[[#This Row],[Salary]]&lt;90000,"70k-89k","90k+")))</f>
        <v>30k-49k</v>
      </c>
      <c r="M926" t="s">
        <v>6879</v>
      </c>
      <c r="N926">
        <f t="shared" ca="1" si="58"/>
        <v>4</v>
      </c>
      <c r="O926" t="str">
        <f t="shared" ca="1" si="59"/>
        <v>Intermediate level</v>
      </c>
    </row>
    <row r="927" spans="1:15" x14ac:dyDescent="0.3">
      <c r="A927" t="s">
        <v>2435</v>
      </c>
      <c r="B927" t="s">
        <v>6880</v>
      </c>
      <c r="C927" t="s">
        <v>124</v>
      </c>
      <c r="D927" t="s">
        <v>6881</v>
      </c>
      <c r="E927" t="s">
        <v>6882</v>
      </c>
      <c r="F927" t="s">
        <v>1426</v>
      </c>
      <c r="G927" t="s">
        <v>6883</v>
      </c>
      <c r="H927" t="s">
        <v>658</v>
      </c>
      <c r="I927">
        <f t="shared" ca="1" si="56"/>
        <v>45</v>
      </c>
      <c r="J927" t="str">
        <f t="shared" ca="1" si="57"/>
        <v>40-49</v>
      </c>
      <c r="K927">
        <v>104873.42</v>
      </c>
      <c r="L927" t="str">
        <f>IF(Workforce[[#This Row],[Salary]]&lt;50000,"30k-49k",IF(Workforce[[#This Row],[Salary]]&lt;70000,"50k-69k",IF(Workforce[[#This Row],[Salary]]&lt;90000,"70k-89k","90k+")))</f>
        <v>90k+</v>
      </c>
      <c r="M927" t="s">
        <v>2668</v>
      </c>
      <c r="N927">
        <f t="shared" ca="1" si="58"/>
        <v>2</v>
      </c>
      <c r="O927" t="str">
        <f t="shared" ca="1" si="59"/>
        <v>Beginner</v>
      </c>
    </row>
    <row r="928" spans="1:15" x14ac:dyDescent="0.3">
      <c r="A928" t="s">
        <v>6884</v>
      </c>
      <c r="B928" t="s">
        <v>6885</v>
      </c>
      <c r="C928" t="s">
        <v>151</v>
      </c>
      <c r="D928" t="s">
        <v>6886</v>
      </c>
      <c r="E928" t="s">
        <v>6887</v>
      </c>
      <c r="F928" t="s">
        <v>6888</v>
      </c>
      <c r="G928" t="s">
        <v>6889</v>
      </c>
      <c r="H928" t="s">
        <v>6890</v>
      </c>
      <c r="I928">
        <f t="shared" ca="1" si="56"/>
        <v>39</v>
      </c>
      <c r="J928" t="str">
        <f t="shared" ca="1" si="57"/>
        <v>30-39</v>
      </c>
      <c r="K928">
        <v>84786.11</v>
      </c>
      <c r="L928" t="str">
        <f>IF(Workforce[[#This Row],[Salary]]&lt;50000,"30k-49k",IF(Workforce[[#This Row],[Salary]]&lt;70000,"50k-69k",IF(Workforce[[#This Row],[Salary]]&lt;90000,"70k-89k","90k+")))</f>
        <v>70k-89k</v>
      </c>
      <c r="M928" t="s">
        <v>6891</v>
      </c>
      <c r="N928">
        <f t="shared" ca="1" si="58"/>
        <v>7</v>
      </c>
      <c r="O928" t="str">
        <f t="shared" ca="1" si="59"/>
        <v>Senior level</v>
      </c>
    </row>
    <row r="929" spans="1:15" x14ac:dyDescent="0.3">
      <c r="A929" t="s">
        <v>6892</v>
      </c>
      <c r="B929" t="s">
        <v>6893</v>
      </c>
      <c r="C929" t="s">
        <v>240</v>
      </c>
      <c r="D929" t="s">
        <v>6894</v>
      </c>
      <c r="E929" t="s">
        <v>6895</v>
      </c>
      <c r="F929" t="s">
        <v>3820</v>
      </c>
      <c r="G929" t="s">
        <v>6896</v>
      </c>
      <c r="H929" t="s">
        <v>6897</v>
      </c>
      <c r="I929">
        <f t="shared" ca="1" si="56"/>
        <v>47</v>
      </c>
      <c r="J929" t="str">
        <f t="shared" ca="1" si="57"/>
        <v>40-49</v>
      </c>
      <c r="K929">
        <v>67043.039999999994</v>
      </c>
      <c r="L929" t="str">
        <f>IF(Workforce[[#This Row],[Salary]]&lt;50000,"30k-49k",IF(Workforce[[#This Row],[Salary]]&lt;70000,"50k-69k",IF(Workforce[[#This Row],[Salary]]&lt;90000,"70k-89k","90k+")))</f>
        <v>50k-69k</v>
      </c>
      <c r="M929" t="s">
        <v>6074</v>
      </c>
      <c r="N929">
        <f t="shared" ca="1" si="58"/>
        <v>7</v>
      </c>
      <c r="O929" t="str">
        <f t="shared" ca="1" si="59"/>
        <v>Senior level</v>
      </c>
    </row>
    <row r="930" spans="1:15" x14ac:dyDescent="0.3">
      <c r="A930" t="s">
        <v>6898</v>
      </c>
      <c r="B930" t="s">
        <v>6899</v>
      </c>
      <c r="C930" t="s">
        <v>335</v>
      </c>
      <c r="D930" t="s">
        <v>6900</v>
      </c>
      <c r="E930" t="s">
        <v>6901</v>
      </c>
      <c r="F930" t="s">
        <v>1549</v>
      </c>
      <c r="G930" t="s">
        <v>6902</v>
      </c>
      <c r="H930" t="s">
        <v>6903</v>
      </c>
      <c r="I930">
        <f t="shared" ca="1" si="56"/>
        <v>36</v>
      </c>
      <c r="J930" t="str">
        <f t="shared" ca="1" si="57"/>
        <v>30-39</v>
      </c>
      <c r="K930">
        <v>78177.89</v>
      </c>
      <c r="L930" t="str">
        <f>IF(Workforce[[#This Row],[Salary]]&lt;50000,"30k-49k",IF(Workforce[[#This Row],[Salary]]&lt;70000,"50k-69k",IF(Workforce[[#This Row],[Salary]]&lt;90000,"70k-89k","90k+")))</f>
        <v>70k-89k</v>
      </c>
      <c r="M930" t="s">
        <v>6904</v>
      </c>
      <c r="N930">
        <f t="shared" ca="1" si="58"/>
        <v>5</v>
      </c>
      <c r="O930" t="str">
        <f t="shared" ca="1" si="59"/>
        <v>Intermediate level</v>
      </c>
    </row>
    <row r="931" spans="1:15" x14ac:dyDescent="0.3">
      <c r="A931" t="s">
        <v>6905</v>
      </c>
      <c r="B931" t="s">
        <v>6906</v>
      </c>
      <c r="C931" t="s">
        <v>169</v>
      </c>
      <c r="D931" t="s">
        <v>6907</v>
      </c>
      <c r="E931" t="s">
        <v>6908</v>
      </c>
      <c r="F931" t="s">
        <v>38</v>
      </c>
      <c r="G931" t="s">
        <v>6909</v>
      </c>
      <c r="H931" t="s">
        <v>6910</v>
      </c>
      <c r="I931">
        <f t="shared" ca="1" si="56"/>
        <v>51</v>
      </c>
      <c r="J931" t="str">
        <f t="shared" ca="1" si="57"/>
        <v>50-59</v>
      </c>
      <c r="K931">
        <v>98014.95</v>
      </c>
      <c r="L931" t="str">
        <f>IF(Workforce[[#This Row],[Salary]]&lt;50000,"30k-49k",IF(Workforce[[#This Row],[Salary]]&lt;70000,"50k-69k",IF(Workforce[[#This Row],[Salary]]&lt;90000,"70k-89k","90k+")))</f>
        <v>90k+</v>
      </c>
      <c r="M931" t="s">
        <v>4491</v>
      </c>
      <c r="N931">
        <f t="shared" ca="1" si="58"/>
        <v>8</v>
      </c>
      <c r="O931" t="str">
        <f t="shared" ca="1" si="59"/>
        <v>Senior level</v>
      </c>
    </row>
    <row r="932" spans="1:15" x14ac:dyDescent="0.3">
      <c r="A932" t="s">
        <v>6911</v>
      </c>
      <c r="B932" t="s">
        <v>6912</v>
      </c>
      <c r="C932" t="s">
        <v>97</v>
      </c>
      <c r="D932" t="s">
        <v>6913</v>
      </c>
      <c r="E932" t="s">
        <v>6914</v>
      </c>
      <c r="F932" t="s">
        <v>5477</v>
      </c>
      <c r="G932" t="s">
        <v>6915</v>
      </c>
      <c r="H932" t="s">
        <v>6916</v>
      </c>
      <c r="I932">
        <f t="shared" ca="1" si="56"/>
        <v>34</v>
      </c>
      <c r="J932" t="str">
        <f t="shared" ca="1" si="57"/>
        <v>30-39</v>
      </c>
      <c r="K932">
        <v>56022.33</v>
      </c>
      <c r="L932" t="str">
        <f>IF(Workforce[[#This Row],[Salary]]&lt;50000,"30k-49k",IF(Workforce[[#This Row],[Salary]]&lt;70000,"50k-69k",IF(Workforce[[#This Row],[Salary]]&lt;90000,"70k-89k","90k+")))</f>
        <v>50k-69k</v>
      </c>
      <c r="M932" t="s">
        <v>6346</v>
      </c>
      <c r="N932">
        <f t="shared" ca="1" si="58"/>
        <v>9</v>
      </c>
      <c r="O932" t="str">
        <f t="shared" ca="1" si="59"/>
        <v>Senior level</v>
      </c>
    </row>
    <row r="933" spans="1:15" x14ac:dyDescent="0.3">
      <c r="A933" t="s">
        <v>6917</v>
      </c>
      <c r="B933" t="s">
        <v>6918</v>
      </c>
      <c r="C933" t="s">
        <v>748</v>
      </c>
      <c r="D933" t="s">
        <v>6919</v>
      </c>
      <c r="E933" t="s">
        <v>6920</v>
      </c>
      <c r="F933" t="s">
        <v>199</v>
      </c>
      <c r="G933" t="s">
        <v>2804</v>
      </c>
      <c r="H933" t="s">
        <v>6921</v>
      </c>
      <c r="I933">
        <f t="shared" ca="1" si="56"/>
        <v>27</v>
      </c>
      <c r="J933" t="str">
        <f t="shared" ca="1" si="57"/>
        <v>18-29</v>
      </c>
      <c r="K933">
        <v>69487.53</v>
      </c>
      <c r="L933" t="str">
        <f>IF(Workforce[[#This Row],[Salary]]&lt;50000,"30k-49k",IF(Workforce[[#This Row],[Salary]]&lt;70000,"50k-69k",IF(Workforce[[#This Row],[Salary]]&lt;90000,"70k-89k","90k+")))</f>
        <v>50k-69k</v>
      </c>
      <c r="M933" t="s">
        <v>6922</v>
      </c>
      <c r="N933">
        <f t="shared" ca="1" si="58"/>
        <v>3</v>
      </c>
      <c r="O933" t="str">
        <f t="shared" ca="1" si="59"/>
        <v>Intermediate level</v>
      </c>
    </row>
    <row r="934" spans="1:15" x14ac:dyDescent="0.3">
      <c r="A934" t="s">
        <v>6923</v>
      </c>
      <c r="B934" t="s">
        <v>6924</v>
      </c>
      <c r="C934" t="s">
        <v>213</v>
      </c>
      <c r="D934" t="s">
        <v>6925</v>
      </c>
      <c r="E934" t="s">
        <v>6926</v>
      </c>
      <c r="F934" t="s">
        <v>5729</v>
      </c>
      <c r="G934" t="s">
        <v>6927</v>
      </c>
      <c r="H934" t="s">
        <v>6928</v>
      </c>
      <c r="I934">
        <f t="shared" ca="1" si="56"/>
        <v>39</v>
      </c>
      <c r="J934" t="str">
        <f t="shared" ca="1" si="57"/>
        <v>30-39</v>
      </c>
      <c r="K934">
        <v>76395.78</v>
      </c>
      <c r="L934" t="str">
        <f>IF(Workforce[[#This Row],[Salary]]&lt;50000,"30k-49k",IF(Workforce[[#This Row],[Salary]]&lt;70000,"50k-69k",IF(Workforce[[#This Row],[Salary]]&lt;90000,"70k-89k","90k+")))</f>
        <v>70k-89k</v>
      </c>
      <c r="M934" t="s">
        <v>6929</v>
      </c>
      <c r="N934">
        <f t="shared" ca="1" si="58"/>
        <v>1</v>
      </c>
      <c r="O934" t="str">
        <f t="shared" ca="1" si="59"/>
        <v>Beginner</v>
      </c>
    </row>
    <row r="935" spans="1:15" x14ac:dyDescent="0.3">
      <c r="A935" t="s">
        <v>6930</v>
      </c>
      <c r="B935" t="s">
        <v>6931</v>
      </c>
      <c r="C935" t="s">
        <v>2086</v>
      </c>
      <c r="D935" t="s">
        <v>6932</v>
      </c>
      <c r="E935" t="s">
        <v>6933</v>
      </c>
      <c r="F935" t="s">
        <v>1091</v>
      </c>
      <c r="G935" t="s">
        <v>6934</v>
      </c>
      <c r="H935" t="s">
        <v>6935</v>
      </c>
      <c r="I935">
        <f t="shared" ca="1" si="56"/>
        <v>31</v>
      </c>
      <c r="J935" t="str">
        <f t="shared" ca="1" si="57"/>
        <v>30-39</v>
      </c>
      <c r="K935">
        <v>80111.13</v>
      </c>
      <c r="L935" t="str">
        <f>IF(Workforce[[#This Row],[Salary]]&lt;50000,"30k-49k",IF(Workforce[[#This Row],[Salary]]&lt;70000,"50k-69k",IF(Workforce[[#This Row],[Salary]]&lt;90000,"70k-89k","90k+")))</f>
        <v>70k-89k</v>
      </c>
      <c r="M935" t="s">
        <v>5547</v>
      </c>
      <c r="N935">
        <f t="shared" ca="1" si="58"/>
        <v>4</v>
      </c>
      <c r="O935" t="str">
        <f t="shared" ca="1" si="59"/>
        <v>Intermediate level</v>
      </c>
    </row>
    <row r="936" spans="1:15" x14ac:dyDescent="0.3">
      <c r="A936" t="s">
        <v>6936</v>
      </c>
      <c r="B936" t="s">
        <v>6937</v>
      </c>
      <c r="C936" t="s">
        <v>1043</v>
      </c>
      <c r="D936" t="s">
        <v>6938</v>
      </c>
      <c r="E936" t="s">
        <v>6939</v>
      </c>
      <c r="F936" t="s">
        <v>1162</v>
      </c>
      <c r="G936" t="s">
        <v>6940</v>
      </c>
      <c r="H936" t="s">
        <v>6941</v>
      </c>
      <c r="I936">
        <f t="shared" ca="1" si="56"/>
        <v>65</v>
      </c>
      <c r="J936" t="str">
        <f t="shared" ca="1" si="57"/>
        <v>60+</v>
      </c>
      <c r="K936">
        <v>106646.66</v>
      </c>
      <c r="L936" t="str">
        <f>IF(Workforce[[#This Row],[Salary]]&lt;50000,"30k-49k",IF(Workforce[[#This Row],[Salary]]&lt;70000,"50k-69k",IF(Workforce[[#This Row],[Salary]]&lt;90000,"70k-89k","90k+")))</f>
        <v>90k+</v>
      </c>
      <c r="M936" t="s">
        <v>6942</v>
      </c>
      <c r="N936">
        <f t="shared" ca="1" si="58"/>
        <v>3</v>
      </c>
      <c r="O936" t="str">
        <f t="shared" ca="1" si="59"/>
        <v>Intermediate level</v>
      </c>
    </row>
    <row r="937" spans="1:15" x14ac:dyDescent="0.3">
      <c r="A937" t="s">
        <v>6943</v>
      </c>
      <c r="B937" t="s">
        <v>6944</v>
      </c>
      <c r="C937" t="s">
        <v>124</v>
      </c>
      <c r="D937" t="s">
        <v>6945</v>
      </c>
      <c r="E937" t="s">
        <v>6946</v>
      </c>
      <c r="F937" t="s">
        <v>1965</v>
      </c>
      <c r="G937" t="s">
        <v>6947</v>
      </c>
      <c r="H937" t="s">
        <v>6948</v>
      </c>
      <c r="I937">
        <f t="shared" ca="1" si="56"/>
        <v>19</v>
      </c>
      <c r="J937" t="str">
        <f t="shared" ca="1" si="57"/>
        <v>18-29</v>
      </c>
      <c r="K937">
        <v>70899</v>
      </c>
      <c r="L937" t="str">
        <f>IF(Workforce[[#This Row],[Salary]]&lt;50000,"30k-49k",IF(Workforce[[#This Row],[Salary]]&lt;70000,"50k-69k",IF(Workforce[[#This Row],[Salary]]&lt;90000,"70k-89k","90k+")))</f>
        <v>70k-89k</v>
      </c>
      <c r="M937" t="s">
        <v>1406</v>
      </c>
      <c r="N937">
        <f t="shared" ca="1" si="58"/>
        <v>10</v>
      </c>
      <c r="O937" t="str">
        <f t="shared" ca="1" si="59"/>
        <v>Senior level</v>
      </c>
    </row>
    <row r="938" spans="1:15" x14ac:dyDescent="0.3">
      <c r="A938" t="s">
        <v>6949</v>
      </c>
      <c r="B938" t="s">
        <v>6950</v>
      </c>
      <c r="C938" t="s">
        <v>151</v>
      </c>
      <c r="D938" t="s">
        <v>6951</v>
      </c>
      <c r="E938" t="s">
        <v>6952</v>
      </c>
      <c r="F938" t="s">
        <v>1226</v>
      </c>
      <c r="G938" t="s">
        <v>6953</v>
      </c>
      <c r="H938" t="s">
        <v>6954</v>
      </c>
      <c r="I938">
        <f t="shared" ca="1" si="56"/>
        <v>25</v>
      </c>
      <c r="J938" t="str">
        <f t="shared" ca="1" si="57"/>
        <v>18-29</v>
      </c>
      <c r="K938">
        <v>115677.99</v>
      </c>
      <c r="L938" t="str">
        <f>IF(Workforce[[#This Row],[Salary]]&lt;50000,"30k-49k",IF(Workforce[[#This Row],[Salary]]&lt;70000,"50k-69k",IF(Workforce[[#This Row],[Salary]]&lt;90000,"70k-89k","90k+")))</f>
        <v>90k+</v>
      </c>
      <c r="M938" t="s">
        <v>6955</v>
      </c>
      <c r="N938">
        <f t="shared" ca="1" si="58"/>
        <v>8</v>
      </c>
      <c r="O938" t="str">
        <f t="shared" ca="1" si="59"/>
        <v>Senior level</v>
      </c>
    </row>
    <row r="939" spans="1:15" x14ac:dyDescent="0.3">
      <c r="A939" t="s">
        <v>6956</v>
      </c>
      <c r="B939" t="s">
        <v>6957</v>
      </c>
      <c r="C939" t="s">
        <v>440</v>
      </c>
      <c r="D939" t="s">
        <v>6958</v>
      </c>
      <c r="E939" t="s">
        <v>6959</v>
      </c>
      <c r="F939" t="s">
        <v>3929</v>
      </c>
      <c r="G939" t="s">
        <v>6960</v>
      </c>
      <c r="H939" t="s">
        <v>6961</v>
      </c>
      <c r="I939">
        <f t="shared" ca="1" si="56"/>
        <v>63</v>
      </c>
      <c r="J939" t="str">
        <f t="shared" ca="1" si="57"/>
        <v>60+</v>
      </c>
      <c r="K939">
        <v>86011.87</v>
      </c>
      <c r="L939" t="str">
        <f>IF(Workforce[[#This Row],[Salary]]&lt;50000,"30k-49k",IF(Workforce[[#This Row],[Salary]]&lt;70000,"50k-69k",IF(Workforce[[#This Row],[Salary]]&lt;90000,"70k-89k","90k+")))</f>
        <v>70k-89k</v>
      </c>
      <c r="M939" t="s">
        <v>4491</v>
      </c>
      <c r="N939">
        <f t="shared" ca="1" si="58"/>
        <v>8</v>
      </c>
      <c r="O939" t="str">
        <f t="shared" ca="1" si="59"/>
        <v>Senior level</v>
      </c>
    </row>
    <row r="940" spans="1:15" x14ac:dyDescent="0.3">
      <c r="A940" t="s">
        <v>6962</v>
      </c>
      <c r="B940" t="s">
        <v>6963</v>
      </c>
      <c r="C940" t="s">
        <v>539</v>
      </c>
      <c r="D940" t="s">
        <v>6964</v>
      </c>
      <c r="E940" t="s">
        <v>6965</v>
      </c>
      <c r="F940" t="s">
        <v>6966</v>
      </c>
      <c r="G940" t="s">
        <v>6967</v>
      </c>
      <c r="H940" t="s">
        <v>6968</v>
      </c>
      <c r="I940">
        <f t="shared" ca="1" si="56"/>
        <v>64</v>
      </c>
      <c r="J940" t="str">
        <f t="shared" ca="1" si="57"/>
        <v>60+</v>
      </c>
      <c r="K940">
        <v>110470.83</v>
      </c>
      <c r="L940" t="str">
        <f>IF(Workforce[[#This Row],[Salary]]&lt;50000,"30k-49k",IF(Workforce[[#This Row],[Salary]]&lt;70000,"50k-69k",IF(Workforce[[#This Row],[Salary]]&lt;90000,"70k-89k","90k+")))</f>
        <v>90k+</v>
      </c>
      <c r="M940" t="s">
        <v>2181</v>
      </c>
      <c r="N940">
        <f t="shared" ca="1" si="58"/>
        <v>5</v>
      </c>
      <c r="O940" t="str">
        <f t="shared" ca="1" si="59"/>
        <v>Intermediate level</v>
      </c>
    </row>
    <row r="941" spans="1:15" x14ac:dyDescent="0.3">
      <c r="A941" t="s">
        <v>6969</v>
      </c>
      <c r="B941" t="s">
        <v>6970</v>
      </c>
      <c r="C941" t="s">
        <v>88</v>
      </c>
      <c r="D941" t="s">
        <v>6971</v>
      </c>
      <c r="E941" t="s">
        <v>6972</v>
      </c>
      <c r="F941" t="s">
        <v>1734</v>
      </c>
      <c r="G941" t="s">
        <v>6973</v>
      </c>
      <c r="H941" t="s">
        <v>6974</v>
      </c>
      <c r="I941">
        <f t="shared" ca="1" si="56"/>
        <v>37</v>
      </c>
      <c r="J941" t="str">
        <f t="shared" ca="1" si="57"/>
        <v>30-39</v>
      </c>
      <c r="K941">
        <v>56252.97</v>
      </c>
      <c r="L941" t="str">
        <f>IF(Workforce[[#This Row],[Salary]]&lt;50000,"30k-49k",IF(Workforce[[#This Row],[Salary]]&lt;70000,"50k-69k",IF(Workforce[[#This Row],[Salary]]&lt;90000,"70k-89k","90k+")))</f>
        <v>50k-69k</v>
      </c>
      <c r="M941" t="s">
        <v>6975</v>
      </c>
      <c r="N941">
        <f t="shared" ca="1" si="58"/>
        <v>3</v>
      </c>
      <c r="O941" t="str">
        <f t="shared" ca="1" si="59"/>
        <v>Intermediate level</v>
      </c>
    </row>
    <row r="942" spans="1:15" x14ac:dyDescent="0.3">
      <c r="A942" t="s">
        <v>6976</v>
      </c>
      <c r="B942" t="s">
        <v>6977</v>
      </c>
      <c r="C942" t="s">
        <v>995</v>
      </c>
      <c r="D942" t="s">
        <v>6978</v>
      </c>
      <c r="E942" t="s">
        <v>6979</v>
      </c>
      <c r="F942" t="s">
        <v>6980</v>
      </c>
      <c r="G942" t="s">
        <v>6981</v>
      </c>
      <c r="H942" t="s">
        <v>6982</v>
      </c>
      <c r="I942">
        <f t="shared" ca="1" si="56"/>
        <v>37</v>
      </c>
      <c r="J942" t="str">
        <f t="shared" ca="1" si="57"/>
        <v>30-39</v>
      </c>
      <c r="K942">
        <v>106929.05</v>
      </c>
      <c r="L942" t="str">
        <f>IF(Workforce[[#This Row],[Salary]]&lt;50000,"30k-49k",IF(Workforce[[#This Row],[Salary]]&lt;70000,"50k-69k",IF(Workforce[[#This Row],[Salary]]&lt;90000,"70k-89k","90k+")))</f>
        <v>90k+</v>
      </c>
      <c r="M942" t="s">
        <v>2477</v>
      </c>
      <c r="N942">
        <f t="shared" ca="1" si="58"/>
        <v>9</v>
      </c>
      <c r="O942" t="str">
        <f t="shared" ca="1" si="59"/>
        <v>Senior level</v>
      </c>
    </row>
    <row r="943" spans="1:15" x14ac:dyDescent="0.3">
      <c r="A943" t="s">
        <v>6983</v>
      </c>
      <c r="B943" t="s">
        <v>6984</v>
      </c>
      <c r="C943" t="s">
        <v>151</v>
      </c>
      <c r="D943" t="s">
        <v>6985</v>
      </c>
      <c r="E943" t="s">
        <v>6986</v>
      </c>
      <c r="F943" t="s">
        <v>154</v>
      </c>
      <c r="G943" t="s">
        <v>6987</v>
      </c>
      <c r="H943" t="s">
        <v>6988</v>
      </c>
      <c r="I943">
        <f t="shared" ca="1" si="56"/>
        <v>24</v>
      </c>
      <c r="J943" t="str">
        <f t="shared" ca="1" si="57"/>
        <v>18-29</v>
      </c>
      <c r="K943">
        <v>41172.019999999997</v>
      </c>
      <c r="L943" t="str">
        <f>IF(Workforce[[#This Row],[Salary]]&lt;50000,"30k-49k",IF(Workforce[[#This Row],[Salary]]&lt;70000,"50k-69k",IF(Workforce[[#This Row],[Salary]]&lt;90000,"70k-89k","90k+")))</f>
        <v>30k-49k</v>
      </c>
      <c r="M943" t="s">
        <v>4671</v>
      </c>
      <c r="N943">
        <f t="shared" ca="1" si="58"/>
        <v>9</v>
      </c>
      <c r="O943" t="str">
        <f t="shared" ca="1" si="59"/>
        <v>Senior level</v>
      </c>
    </row>
    <row r="944" spans="1:15" x14ac:dyDescent="0.3">
      <c r="A944" t="s">
        <v>6989</v>
      </c>
      <c r="B944" t="s">
        <v>6990</v>
      </c>
      <c r="C944" t="s">
        <v>326</v>
      </c>
      <c r="D944" t="s">
        <v>6991</v>
      </c>
      <c r="E944" t="s">
        <v>6992</v>
      </c>
      <c r="F944" t="s">
        <v>6993</v>
      </c>
      <c r="G944" t="s">
        <v>6994</v>
      </c>
      <c r="H944" t="s">
        <v>6995</v>
      </c>
      <c r="I944">
        <f t="shared" ca="1" si="56"/>
        <v>61</v>
      </c>
      <c r="J944" t="str">
        <f t="shared" ca="1" si="57"/>
        <v>60+</v>
      </c>
      <c r="K944">
        <v>53453.45</v>
      </c>
      <c r="L944" t="str">
        <f>IF(Workforce[[#This Row],[Salary]]&lt;50000,"30k-49k",IF(Workforce[[#This Row],[Salary]]&lt;70000,"50k-69k",IF(Workforce[[#This Row],[Salary]]&lt;90000,"70k-89k","90k+")))</f>
        <v>50k-69k</v>
      </c>
      <c r="M944" t="s">
        <v>6996</v>
      </c>
      <c r="N944">
        <f t="shared" ca="1" si="58"/>
        <v>6</v>
      </c>
      <c r="O944" t="str">
        <f t="shared" ca="1" si="59"/>
        <v>Intermediate level</v>
      </c>
    </row>
    <row r="945" spans="1:15" x14ac:dyDescent="0.3">
      <c r="A945" t="s">
        <v>6997</v>
      </c>
      <c r="B945" t="s">
        <v>6998</v>
      </c>
      <c r="C945" t="s">
        <v>35</v>
      </c>
      <c r="D945" t="s">
        <v>6999</v>
      </c>
      <c r="E945" t="s">
        <v>7000</v>
      </c>
      <c r="F945" t="s">
        <v>2585</v>
      </c>
      <c r="G945" t="s">
        <v>7001</v>
      </c>
      <c r="H945" t="s">
        <v>7002</v>
      </c>
      <c r="I945">
        <f t="shared" ca="1" si="56"/>
        <v>21</v>
      </c>
      <c r="J945" t="str">
        <f t="shared" ca="1" si="57"/>
        <v>18-29</v>
      </c>
      <c r="K945">
        <v>105655.23</v>
      </c>
      <c r="L945" t="str">
        <f>IF(Workforce[[#This Row],[Salary]]&lt;50000,"30k-49k",IF(Workforce[[#This Row],[Salary]]&lt;70000,"50k-69k",IF(Workforce[[#This Row],[Salary]]&lt;90000,"70k-89k","90k+")))</f>
        <v>90k+</v>
      </c>
      <c r="M945" t="s">
        <v>1102</v>
      </c>
      <c r="N945">
        <f t="shared" ca="1" si="58"/>
        <v>10</v>
      </c>
      <c r="O945" t="str">
        <f t="shared" ca="1" si="59"/>
        <v>Senior level</v>
      </c>
    </row>
    <row r="946" spans="1:15" x14ac:dyDescent="0.3">
      <c r="A946" t="s">
        <v>7003</v>
      </c>
      <c r="B946" t="s">
        <v>7004</v>
      </c>
      <c r="C946" t="s">
        <v>266</v>
      </c>
      <c r="D946" t="s">
        <v>7005</v>
      </c>
      <c r="E946" t="s">
        <v>7006</v>
      </c>
      <c r="F946" t="s">
        <v>815</v>
      </c>
      <c r="G946" t="s">
        <v>7007</v>
      </c>
      <c r="H946" t="s">
        <v>7008</v>
      </c>
      <c r="I946">
        <f t="shared" ca="1" si="56"/>
        <v>38</v>
      </c>
      <c r="J946" t="str">
        <f t="shared" ca="1" si="57"/>
        <v>30-39</v>
      </c>
      <c r="K946">
        <v>113801.18</v>
      </c>
      <c r="L946" t="str">
        <f>IF(Workforce[[#This Row],[Salary]]&lt;50000,"30k-49k",IF(Workforce[[#This Row],[Salary]]&lt;70000,"50k-69k",IF(Workforce[[#This Row],[Salary]]&lt;90000,"70k-89k","90k+")))</f>
        <v>90k+</v>
      </c>
      <c r="M946" t="s">
        <v>7009</v>
      </c>
      <c r="N946">
        <f t="shared" ca="1" si="58"/>
        <v>2</v>
      </c>
      <c r="O946" t="str">
        <f t="shared" ca="1" si="59"/>
        <v>Beginner</v>
      </c>
    </row>
    <row r="947" spans="1:15" x14ac:dyDescent="0.3">
      <c r="A947" t="s">
        <v>7010</v>
      </c>
      <c r="B947" t="s">
        <v>7011</v>
      </c>
      <c r="C947" t="s">
        <v>17</v>
      </c>
      <c r="D947" t="s">
        <v>7012</v>
      </c>
      <c r="E947" t="s">
        <v>7013</v>
      </c>
      <c r="F947" t="s">
        <v>6763</v>
      </c>
      <c r="G947" t="s">
        <v>7014</v>
      </c>
      <c r="H947" t="s">
        <v>7015</v>
      </c>
      <c r="I947">
        <f t="shared" ca="1" si="56"/>
        <v>41</v>
      </c>
      <c r="J947" t="str">
        <f t="shared" ca="1" si="57"/>
        <v>40-49</v>
      </c>
      <c r="K947">
        <v>35348.400000000001</v>
      </c>
      <c r="L947" t="str">
        <f>IF(Workforce[[#This Row],[Salary]]&lt;50000,"30k-49k",IF(Workforce[[#This Row],[Salary]]&lt;70000,"50k-69k",IF(Workforce[[#This Row],[Salary]]&lt;90000,"70k-89k","90k+")))</f>
        <v>30k-49k</v>
      </c>
      <c r="M947" t="s">
        <v>7016</v>
      </c>
      <c r="N947">
        <f t="shared" ca="1" si="58"/>
        <v>7</v>
      </c>
      <c r="O947" t="str">
        <f t="shared" ca="1" si="59"/>
        <v>Senior level</v>
      </c>
    </row>
    <row r="948" spans="1:15" x14ac:dyDescent="0.3">
      <c r="A948" t="s">
        <v>7017</v>
      </c>
      <c r="B948" t="s">
        <v>7018</v>
      </c>
      <c r="C948" t="s">
        <v>266</v>
      </c>
      <c r="D948" t="s">
        <v>7019</v>
      </c>
      <c r="E948" t="s">
        <v>7020</v>
      </c>
      <c r="F948" t="s">
        <v>207</v>
      </c>
      <c r="G948" t="s">
        <v>7021</v>
      </c>
      <c r="H948" t="s">
        <v>7022</v>
      </c>
      <c r="I948">
        <f t="shared" ca="1" si="56"/>
        <v>66</v>
      </c>
      <c r="J948" t="str">
        <f t="shared" ca="1" si="57"/>
        <v>60+</v>
      </c>
      <c r="K948">
        <v>112316.08</v>
      </c>
      <c r="L948" t="str">
        <f>IF(Workforce[[#This Row],[Salary]]&lt;50000,"30k-49k",IF(Workforce[[#This Row],[Salary]]&lt;70000,"50k-69k",IF(Workforce[[#This Row],[Salary]]&lt;90000,"70k-89k","90k+")))</f>
        <v>90k+</v>
      </c>
      <c r="M948" t="s">
        <v>7023</v>
      </c>
      <c r="N948">
        <f t="shared" ca="1" si="58"/>
        <v>8</v>
      </c>
      <c r="O948" t="str">
        <f t="shared" ca="1" si="59"/>
        <v>Senior level</v>
      </c>
    </row>
    <row r="949" spans="1:15" x14ac:dyDescent="0.3">
      <c r="A949" t="s">
        <v>7024</v>
      </c>
      <c r="B949" t="s">
        <v>7025</v>
      </c>
      <c r="C949" t="s">
        <v>178</v>
      </c>
      <c r="D949" t="s">
        <v>7026</v>
      </c>
      <c r="E949" t="s">
        <v>7027</v>
      </c>
      <c r="F949" t="s">
        <v>55</v>
      </c>
      <c r="G949" t="s">
        <v>7028</v>
      </c>
      <c r="H949" t="s">
        <v>7029</v>
      </c>
      <c r="I949">
        <f t="shared" ca="1" si="56"/>
        <v>31</v>
      </c>
      <c r="J949" t="str">
        <f t="shared" ca="1" si="57"/>
        <v>30-39</v>
      </c>
      <c r="K949">
        <v>77779.56</v>
      </c>
      <c r="L949" t="str">
        <f>IF(Workforce[[#This Row],[Salary]]&lt;50000,"30k-49k",IF(Workforce[[#This Row],[Salary]]&lt;70000,"50k-69k",IF(Workforce[[#This Row],[Salary]]&lt;90000,"70k-89k","90k+")))</f>
        <v>70k-89k</v>
      </c>
      <c r="M949" t="s">
        <v>7030</v>
      </c>
      <c r="N949">
        <f t="shared" ca="1" si="58"/>
        <v>4</v>
      </c>
      <c r="O949" t="str">
        <f t="shared" ca="1" si="59"/>
        <v>Intermediate level</v>
      </c>
    </row>
    <row r="950" spans="1:15" x14ac:dyDescent="0.3">
      <c r="A950" t="s">
        <v>7031</v>
      </c>
      <c r="B950" t="s">
        <v>7032</v>
      </c>
      <c r="C950" t="s">
        <v>160</v>
      </c>
      <c r="D950" t="s">
        <v>7033</v>
      </c>
      <c r="E950" t="s">
        <v>7034</v>
      </c>
      <c r="F950" t="s">
        <v>7035</v>
      </c>
      <c r="G950" t="s">
        <v>7036</v>
      </c>
      <c r="H950" t="s">
        <v>7037</v>
      </c>
      <c r="I950">
        <f t="shared" ca="1" si="56"/>
        <v>44</v>
      </c>
      <c r="J950" t="str">
        <f t="shared" ca="1" si="57"/>
        <v>40-49</v>
      </c>
      <c r="K950">
        <v>108388.39</v>
      </c>
      <c r="L950" t="str">
        <f>IF(Workforce[[#This Row],[Salary]]&lt;50000,"30k-49k",IF(Workforce[[#This Row],[Salary]]&lt;70000,"50k-69k",IF(Workforce[[#This Row],[Salary]]&lt;90000,"70k-89k","90k+")))</f>
        <v>90k+</v>
      </c>
      <c r="M950" t="s">
        <v>7038</v>
      </c>
      <c r="N950">
        <f t="shared" ca="1" si="58"/>
        <v>1</v>
      </c>
      <c r="O950" t="str">
        <f t="shared" ca="1" si="59"/>
        <v>Beginner</v>
      </c>
    </row>
    <row r="951" spans="1:15" x14ac:dyDescent="0.3">
      <c r="A951" t="s">
        <v>7039</v>
      </c>
      <c r="B951" t="s">
        <v>7040</v>
      </c>
      <c r="C951" t="s">
        <v>266</v>
      </c>
      <c r="D951" t="s">
        <v>7041</v>
      </c>
      <c r="E951" t="s">
        <v>7042</v>
      </c>
      <c r="F951" t="s">
        <v>7043</v>
      </c>
      <c r="G951" t="s">
        <v>7044</v>
      </c>
      <c r="H951" t="s">
        <v>7045</v>
      </c>
      <c r="I951">
        <f t="shared" ca="1" si="56"/>
        <v>23</v>
      </c>
      <c r="J951" t="str">
        <f t="shared" ca="1" si="57"/>
        <v>18-29</v>
      </c>
      <c r="K951">
        <v>105130.52</v>
      </c>
      <c r="L951" t="str">
        <f>IF(Workforce[[#This Row],[Salary]]&lt;50000,"30k-49k",IF(Workforce[[#This Row],[Salary]]&lt;70000,"50k-69k",IF(Workforce[[#This Row],[Salary]]&lt;90000,"70k-89k","90k+")))</f>
        <v>90k+</v>
      </c>
      <c r="M951" t="s">
        <v>7046</v>
      </c>
      <c r="N951">
        <f t="shared" ca="1" si="58"/>
        <v>1</v>
      </c>
      <c r="O951" t="str">
        <f t="shared" ca="1" si="59"/>
        <v>Beginner</v>
      </c>
    </row>
    <row r="952" spans="1:15" x14ac:dyDescent="0.3">
      <c r="A952" t="s">
        <v>7047</v>
      </c>
      <c r="B952" t="s">
        <v>7048</v>
      </c>
      <c r="C952" t="s">
        <v>995</v>
      </c>
      <c r="D952" t="s">
        <v>7049</v>
      </c>
      <c r="E952" t="s">
        <v>7050</v>
      </c>
      <c r="F952" t="s">
        <v>4669</v>
      </c>
      <c r="G952" t="s">
        <v>7051</v>
      </c>
      <c r="H952" t="s">
        <v>7052</v>
      </c>
      <c r="I952">
        <f t="shared" ca="1" si="56"/>
        <v>60</v>
      </c>
      <c r="J952" t="str">
        <f t="shared" ca="1" si="57"/>
        <v>60+</v>
      </c>
      <c r="K952">
        <v>63665.58</v>
      </c>
      <c r="L952" t="str">
        <f>IF(Workforce[[#This Row],[Salary]]&lt;50000,"30k-49k",IF(Workforce[[#This Row],[Salary]]&lt;70000,"50k-69k",IF(Workforce[[#This Row],[Salary]]&lt;90000,"70k-89k","90k+")))</f>
        <v>50k-69k</v>
      </c>
      <c r="M952" t="s">
        <v>7053</v>
      </c>
      <c r="N952">
        <f t="shared" ca="1" si="58"/>
        <v>1</v>
      </c>
      <c r="O952" t="str">
        <f t="shared" ca="1" si="59"/>
        <v>Beginner</v>
      </c>
    </row>
    <row r="953" spans="1:15" x14ac:dyDescent="0.3">
      <c r="A953" t="s">
        <v>7054</v>
      </c>
      <c r="B953" t="s">
        <v>7055</v>
      </c>
      <c r="C953" t="s">
        <v>17</v>
      </c>
      <c r="D953" t="s">
        <v>7056</v>
      </c>
      <c r="E953" t="s">
        <v>7057</v>
      </c>
      <c r="F953" t="s">
        <v>4030</v>
      </c>
      <c r="G953" t="s">
        <v>7058</v>
      </c>
      <c r="H953" t="s">
        <v>7059</v>
      </c>
      <c r="I953">
        <f t="shared" ca="1" si="56"/>
        <v>34</v>
      </c>
      <c r="J953" t="str">
        <f t="shared" ca="1" si="57"/>
        <v>30-39</v>
      </c>
      <c r="K953">
        <v>30257.439999999999</v>
      </c>
      <c r="L953" t="str">
        <f>IF(Workforce[[#This Row],[Salary]]&lt;50000,"30k-49k",IF(Workforce[[#This Row],[Salary]]&lt;70000,"50k-69k",IF(Workforce[[#This Row],[Salary]]&lt;90000,"70k-89k","90k+")))</f>
        <v>30k-49k</v>
      </c>
      <c r="M953" t="s">
        <v>7060</v>
      </c>
      <c r="N953">
        <f t="shared" ca="1" si="58"/>
        <v>9</v>
      </c>
      <c r="O953" t="str">
        <f t="shared" ca="1" si="59"/>
        <v>Senior level</v>
      </c>
    </row>
    <row r="954" spans="1:15" x14ac:dyDescent="0.3">
      <c r="A954" t="s">
        <v>7061</v>
      </c>
      <c r="B954" t="s">
        <v>7062</v>
      </c>
      <c r="C954" t="s">
        <v>351</v>
      </c>
      <c r="D954" t="s">
        <v>7063</v>
      </c>
      <c r="E954" t="s">
        <v>7064</v>
      </c>
      <c r="F954" t="s">
        <v>1973</v>
      </c>
      <c r="G954" t="s">
        <v>7065</v>
      </c>
      <c r="H954" t="s">
        <v>794</v>
      </c>
      <c r="I954">
        <f t="shared" ca="1" si="56"/>
        <v>41</v>
      </c>
      <c r="J954" t="str">
        <f t="shared" ca="1" si="57"/>
        <v>40-49</v>
      </c>
      <c r="K954">
        <v>41460.31</v>
      </c>
      <c r="L954" t="str">
        <f>IF(Workforce[[#This Row],[Salary]]&lt;50000,"30k-49k",IF(Workforce[[#This Row],[Salary]]&lt;70000,"50k-69k",IF(Workforce[[#This Row],[Salary]]&lt;90000,"70k-89k","90k+")))</f>
        <v>30k-49k</v>
      </c>
      <c r="M954" t="s">
        <v>7066</v>
      </c>
      <c r="N954">
        <f t="shared" ca="1" si="58"/>
        <v>9</v>
      </c>
      <c r="O954" t="str">
        <f t="shared" ca="1" si="59"/>
        <v>Senior level</v>
      </c>
    </row>
    <row r="955" spans="1:15" x14ac:dyDescent="0.3">
      <c r="A955" t="s">
        <v>7067</v>
      </c>
      <c r="B955" t="s">
        <v>7068</v>
      </c>
      <c r="C955" t="s">
        <v>995</v>
      </c>
      <c r="D955" t="s">
        <v>7069</v>
      </c>
      <c r="E955" t="s">
        <v>7070</v>
      </c>
      <c r="F955" t="s">
        <v>7071</v>
      </c>
      <c r="G955" t="s">
        <v>7072</v>
      </c>
      <c r="H955" t="s">
        <v>7073</v>
      </c>
      <c r="I955">
        <f t="shared" ca="1" si="56"/>
        <v>44</v>
      </c>
      <c r="J955" t="str">
        <f t="shared" ca="1" si="57"/>
        <v>40-49</v>
      </c>
      <c r="K955">
        <v>48138</v>
      </c>
      <c r="L955" t="str">
        <f>IF(Workforce[[#This Row],[Salary]]&lt;50000,"30k-49k",IF(Workforce[[#This Row],[Salary]]&lt;70000,"50k-69k",IF(Workforce[[#This Row],[Salary]]&lt;90000,"70k-89k","90k+")))</f>
        <v>30k-49k</v>
      </c>
      <c r="M955" t="s">
        <v>7074</v>
      </c>
      <c r="N955">
        <f t="shared" ca="1" si="58"/>
        <v>4</v>
      </c>
      <c r="O955" t="str">
        <f t="shared" ca="1" si="59"/>
        <v>Intermediate level</v>
      </c>
    </row>
    <row r="956" spans="1:15" x14ac:dyDescent="0.3">
      <c r="A956" t="s">
        <v>7075</v>
      </c>
      <c r="B956" t="s">
        <v>7076</v>
      </c>
      <c r="C956" t="s">
        <v>124</v>
      </c>
      <c r="D956" t="s">
        <v>7077</v>
      </c>
      <c r="E956" t="s">
        <v>7078</v>
      </c>
      <c r="F956" t="s">
        <v>7079</v>
      </c>
      <c r="G956" t="s">
        <v>7080</v>
      </c>
      <c r="H956" t="s">
        <v>7081</v>
      </c>
      <c r="I956">
        <f t="shared" ca="1" si="56"/>
        <v>58</v>
      </c>
      <c r="J956" t="str">
        <f t="shared" ca="1" si="57"/>
        <v>50-59</v>
      </c>
      <c r="K956">
        <v>84217.25</v>
      </c>
      <c r="L956" t="str">
        <f>IF(Workforce[[#This Row],[Salary]]&lt;50000,"30k-49k",IF(Workforce[[#This Row],[Salary]]&lt;70000,"50k-69k",IF(Workforce[[#This Row],[Salary]]&lt;90000,"70k-89k","90k+")))</f>
        <v>70k-89k</v>
      </c>
      <c r="M956" t="s">
        <v>7082</v>
      </c>
      <c r="N956">
        <f t="shared" ca="1" si="58"/>
        <v>10</v>
      </c>
      <c r="O956" t="str">
        <f t="shared" ca="1" si="59"/>
        <v>Senior level</v>
      </c>
    </row>
    <row r="957" spans="1:15" x14ac:dyDescent="0.3">
      <c r="A957" t="s">
        <v>7083</v>
      </c>
      <c r="B957" t="s">
        <v>7084</v>
      </c>
      <c r="C957" t="s">
        <v>284</v>
      </c>
      <c r="D957" t="s">
        <v>7085</v>
      </c>
      <c r="E957" t="s">
        <v>7086</v>
      </c>
      <c r="F957" t="s">
        <v>2080</v>
      </c>
      <c r="G957" t="s">
        <v>7087</v>
      </c>
      <c r="H957" t="s">
        <v>1843</v>
      </c>
      <c r="I957">
        <f t="shared" ca="1" si="56"/>
        <v>52</v>
      </c>
      <c r="J957" t="str">
        <f t="shared" ca="1" si="57"/>
        <v>50-59</v>
      </c>
      <c r="K957">
        <v>91298.36</v>
      </c>
      <c r="L957" t="str">
        <f>IF(Workforce[[#This Row],[Salary]]&lt;50000,"30k-49k",IF(Workforce[[#This Row],[Salary]]&lt;70000,"50k-69k",IF(Workforce[[#This Row],[Salary]]&lt;90000,"70k-89k","90k+")))</f>
        <v>90k+</v>
      </c>
      <c r="M957" t="s">
        <v>5821</v>
      </c>
      <c r="N957">
        <f t="shared" ca="1" si="58"/>
        <v>5</v>
      </c>
      <c r="O957" t="str">
        <f t="shared" ca="1" si="59"/>
        <v>Intermediate level</v>
      </c>
    </row>
    <row r="958" spans="1:15" x14ac:dyDescent="0.3">
      <c r="A958" t="s">
        <v>7088</v>
      </c>
      <c r="B958" t="s">
        <v>7089</v>
      </c>
      <c r="C958" t="s">
        <v>1043</v>
      </c>
      <c r="D958" t="s">
        <v>7090</v>
      </c>
      <c r="E958" t="s">
        <v>7091</v>
      </c>
      <c r="F958" t="s">
        <v>2066</v>
      </c>
      <c r="G958" t="s">
        <v>7092</v>
      </c>
      <c r="H958" t="s">
        <v>7093</v>
      </c>
      <c r="I958">
        <f t="shared" ca="1" si="56"/>
        <v>47</v>
      </c>
      <c r="J958" t="str">
        <f t="shared" ca="1" si="57"/>
        <v>40-49</v>
      </c>
      <c r="K958">
        <v>80009.789999999994</v>
      </c>
      <c r="L958" t="str">
        <f>IF(Workforce[[#This Row],[Salary]]&lt;50000,"30k-49k",IF(Workforce[[#This Row],[Salary]]&lt;70000,"50k-69k",IF(Workforce[[#This Row],[Salary]]&lt;90000,"70k-89k","90k+")))</f>
        <v>70k-89k</v>
      </c>
      <c r="M958" t="s">
        <v>7094</v>
      </c>
      <c r="N958">
        <f t="shared" ca="1" si="58"/>
        <v>4</v>
      </c>
      <c r="O958" t="str">
        <f t="shared" ca="1" si="59"/>
        <v>Intermediate level</v>
      </c>
    </row>
    <row r="959" spans="1:15" x14ac:dyDescent="0.3">
      <c r="A959" t="s">
        <v>7095</v>
      </c>
      <c r="B959" t="s">
        <v>7096</v>
      </c>
      <c r="C959" t="s">
        <v>44</v>
      </c>
      <c r="D959" t="s">
        <v>7097</v>
      </c>
      <c r="E959" t="s">
        <v>7098</v>
      </c>
      <c r="F959" t="s">
        <v>3183</v>
      </c>
      <c r="G959" t="s">
        <v>7099</v>
      </c>
      <c r="H959" t="s">
        <v>7100</v>
      </c>
      <c r="I959">
        <f t="shared" ca="1" si="56"/>
        <v>42</v>
      </c>
      <c r="J959" t="str">
        <f t="shared" ca="1" si="57"/>
        <v>40-49</v>
      </c>
      <c r="K959">
        <v>103694.37</v>
      </c>
      <c r="L959" t="str">
        <f>IF(Workforce[[#This Row],[Salary]]&lt;50000,"30k-49k",IF(Workforce[[#This Row],[Salary]]&lt;70000,"50k-69k",IF(Workforce[[#This Row],[Salary]]&lt;90000,"70k-89k","90k+")))</f>
        <v>90k+</v>
      </c>
      <c r="M959" t="s">
        <v>3726</v>
      </c>
      <c r="N959">
        <f t="shared" ca="1" si="58"/>
        <v>5</v>
      </c>
      <c r="O959" t="str">
        <f t="shared" ca="1" si="59"/>
        <v>Intermediate level</v>
      </c>
    </row>
    <row r="960" spans="1:15" x14ac:dyDescent="0.3">
      <c r="A960" t="s">
        <v>7101</v>
      </c>
      <c r="B960" t="s">
        <v>7102</v>
      </c>
      <c r="C960" t="s">
        <v>222</v>
      </c>
      <c r="D960" t="s">
        <v>7103</v>
      </c>
      <c r="E960" t="s">
        <v>7104</v>
      </c>
      <c r="F960" t="s">
        <v>583</v>
      </c>
      <c r="G960" t="s">
        <v>7105</v>
      </c>
      <c r="H960" t="s">
        <v>7106</v>
      </c>
      <c r="I960">
        <f t="shared" ca="1" si="56"/>
        <v>43</v>
      </c>
      <c r="J960" t="str">
        <f t="shared" ca="1" si="57"/>
        <v>40-49</v>
      </c>
      <c r="K960">
        <v>87325.21</v>
      </c>
      <c r="L960" t="str">
        <f>IF(Workforce[[#This Row],[Salary]]&lt;50000,"30k-49k",IF(Workforce[[#This Row],[Salary]]&lt;70000,"50k-69k",IF(Workforce[[#This Row],[Salary]]&lt;90000,"70k-89k","90k+")))</f>
        <v>70k-89k</v>
      </c>
      <c r="M960" t="s">
        <v>7107</v>
      </c>
      <c r="N960">
        <f t="shared" ca="1" si="58"/>
        <v>8</v>
      </c>
      <c r="O960" t="str">
        <f t="shared" ca="1" si="59"/>
        <v>Senior level</v>
      </c>
    </row>
    <row r="961" spans="1:15" x14ac:dyDescent="0.3">
      <c r="A961" t="s">
        <v>7108</v>
      </c>
      <c r="B961" t="s">
        <v>7109</v>
      </c>
      <c r="C961" t="s">
        <v>169</v>
      </c>
      <c r="D961" t="s">
        <v>7110</v>
      </c>
      <c r="E961" t="s">
        <v>7111</v>
      </c>
      <c r="F961" t="s">
        <v>1626</v>
      </c>
      <c r="G961" t="s">
        <v>7112</v>
      </c>
      <c r="H961" t="s">
        <v>2625</v>
      </c>
      <c r="I961">
        <f t="shared" ca="1" si="56"/>
        <v>36</v>
      </c>
      <c r="J961" t="str">
        <f t="shared" ca="1" si="57"/>
        <v>30-39</v>
      </c>
      <c r="K961">
        <v>114195.6</v>
      </c>
      <c r="L961" t="str">
        <f>IF(Workforce[[#This Row],[Salary]]&lt;50000,"30k-49k",IF(Workforce[[#This Row],[Salary]]&lt;70000,"50k-69k",IF(Workforce[[#This Row],[Salary]]&lt;90000,"70k-89k","90k+")))</f>
        <v>90k+</v>
      </c>
      <c r="M961" t="s">
        <v>7113</v>
      </c>
      <c r="N961">
        <f t="shared" ca="1" si="58"/>
        <v>6</v>
      </c>
      <c r="O961" t="str">
        <f t="shared" ca="1" si="59"/>
        <v>Intermediate level</v>
      </c>
    </row>
    <row r="962" spans="1:15" x14ac:dyDescent="0.3">
      <c r="A962" t="s">
        <v>7114</v>
      </c>
      <c r="B962" t="s">
        <v>7115</v>
      </c>
      <c r="C962" t="s">
        <v>326</v>
      </c>
      <c r="D962" t="s">
        <v>7116</v>
      </c>
      <c r="E962" t="s">
        <v>7117</v>
      </c>
      <c r="F962" t="s">
        <v>5485</v>
      </c>
      <c r="G962" t="s">
        <v>7118</v>
      </c>
      <c r="H962" t="s">
        <v>7119</v>
      </c>
      <c r="I962">
        <f t="shared" ref="I962:I1025" ca="1" si="60">DATEDIF(H962,TODAY(),"y")</f>
        <v>59</v>
      </c>
      <c r="J962" t="str">
        <f t="shared" ref="J962:J1025" ca="1" si="61">IF(I962&lt;30,"18-29",IF(I962&lt;40,"30-39",IF(I962&lt;50,"40-49",IF(I962&lt;60,"50-59","60+"))))</f>
        <v>50-59</v>
      </c>
      <c r="K962">
        <v>43189.52</v>
      </c>
      <c r="L962" t="str">
        <f>IF(Workforce[[#This Row],[Salary]]&lt;50000,"30k-49k",IF(Workforce[[#This Row],[Salary]]&lt;70000,"50k-69k",IF(Workforce[[#This Row],[Salary]]&lt;90000,"70k-89k","90k+")))</f>
        <v>30k-49k</v>
      </c>
      <c r="M962" t="s">
        <v>7120</v>
      </c>
      <c r="N962">
        <f t="shared" ref="N962:N1025" ca="1" si="62">DATEDIF(M962,TODAY(),"y")</f>
        <v>7</v>
      </c>
      <c r="O962" t="str">
        <f t="shared" ref="O962:O1025" ca="1" si="63">IF(N962&lt;=2,"Beginner",IF(N962&lt;=6,"Intermediate level","Senior level"))</f>
        <v>Senior level</v>
      </c>
    </row>
    <row r="963" spans="1:15" x14ac:dyDescent="0.3">
      <c r="A963" t="s">
        <v>7121</v>
      </c>
      <c r="B963" t="s">
        <v>7122</v>
      </c>
      <c r="C963" t="s">
        <v>240</v>
      </c>
      <c r="D963" t="s">
        <v>7123</v>
      </c>
      <c r="E963" t="s">
        <v>7124</v>
      </c>
      <c r="F963" t="s">
        <v>3095</v>
      </c>
      <c r="G963" t="s">
        <v>7125</v>
      </c>
      <c r="H963" t="s">
        <v>7126</v>
      </c>
      <c r="I963">
        <f t="shared" ca="1" si="60"/>
        <v>43</v>
      </c>
      <c r="J963" t="str">
        <f t="shared" ca="1" si="61"/>
        <v>40-49</v>
      </c>
      <c r="K963">
        <v>88629.41</v>
      </c>
      <c r="L963" t="str">
        <f>IF(Workforce[[#This Row],[Salary]]&lt;50000,"30k-49k",IF(Workforce[[#This Row],[Salary]]&lt;70000,"50k-69k",IF(Workforce[[#This Row],[Salary]]&lt;90000,"70k-89k","90k+")))</f>
        <v>70k-89k</v>
      </c>
      <c r="M963" t="s">
        <v>3903</v>
      </c>
      <c r="N963">
        <f t="shared" ca="1" si="62"/>
        <v>6</v>
      </c>
      <c r="O963" t="str">
        <f t="shared" ca="1" si="63"/>
        <v>Intermediate level</v>
      </c>
    </row>
    <row r="964" spans="1:15" x14ac:dyDescent="0.3">
      <c r="A964" t="s">
        <v>7127</v>
      </c>
      <c r="B964" t="s">
        <v>7128</v>
      </c>
      <c r="C964" t="s">
        <v>106</v>
      </c>
      <c r="D964" t="s">
        <v>7129</v>
      </c>
      <c r="E964" t="s">
        <v>7130</v>
      </c>
      <c r="F964" t="s">
        <v>225</v>
      </c>
      <c r="G964" t="s">
        <v>7131</v>
      </c>
      <c r="H964" t="s">
        <v>7132</v>
      </c>
      <c r="I964">
        <f t="shared" ca="1" si="60"/>
        <v>56</v>
      </c>
      <c r="J964" t="str">
        <f t="shared" ca="1" si="61"/>
        <v>50-59</v>
      </c>
      <c r="K964">
        <v>111722.05</v>
      </c>
      <c r="L964" t="str">
        <f>IF(Workforce[[#This Row],[Salary]]&lt;50000,"30k-49k",IF(Workforce[[#This Row],[Salary]]&lt;70000,"50k-69k",IF(Workforce[[#This Row],[Salary]]&lt;90000,"70k-89k","90k+")))</f>
        <v>90k+</v>
      </c>
      <c r="M964" t="s">
        <v>5858</v>
      </c>
      <c r="N964">
        <f t="shared" ca="1" si="62"/>
        <v>9</v>
      </c>
      <c r="O964" t="str">
        <f t="shared" ca="1" si="63"/>
        <v>Senior level</v>
      </c>
    </row>
    <row r="965" spans="1:15" x14ac:dyDescent="0.3">
      <c r="A965" t="s">
        <v>7133</v>
      </c>
      <c r="B965" t="s">
        <v>7134</v>
      </c>
      <c r="C965" t="s">
        <v>457</v>
      </c>
      <c r="D965" t="s">
        <v>7135</v>
      </c>
      <c r="E965" t="s">
        <v>7136</v>
      </c>
      <c r="F965" t="s">
        <v>1596</v>
      </c>
      <c r="G965" t="s">
        <v>7137</v>
      </c>
      <c r="H965" t="s">
        <v>7138</v>
      </c>
      <c r="I965">
        <f t="shared" ca="1" si="60"/>
        <v>29</v>
      </c>
      <c r="J965" t="str">
        <f t="shared" ca="1" si="61"/>
        <v>18-29</v>
      </c>
      <c r="K965">
        <v>101778.12</v>
      </c>
      <c r="L965" t="str">
        <f>IF(Workforce[[#This Row],[Salary]]&lt;50000,"30k-49k",IF(Workforce[[#This Row],[Salary]]&lt;70000,"50k-69k",IF(Workforce[[#This Row],[Salary]]&lt;90000,"70k-89k","90k+")))</f>
        <v>90k+</v>
      </c>
      <c r="M965" t="s">
        <v>7139</v>
      </c>
      <c r="N965">
        <f t="shared" ca="1" si="62"/>
        <v>3</v>
      </c>
      <c r="O965" t="str">
        <f t="shared" ca="1" si="63"/>
        <v>Intermediate level</v>
      </c>
    </row>
    <row r="966" spans="1:15" x14ac:dyDescent="0.3">
      <c r="A966" t="s">
        <v>7140</v>
      </c>
      <c r="B966" t="s">
        <v>7141</v>
      </c>
      <c r="C966" t="s">
        <v>266</v>
      </c>
      <c r="D966" t="s">
        <v>7142</v>
      </c>
      <c r="E966" t="s">
        <v>7143</v>
      </c>
      <c r="F966" t="s">
        <v>3264</v>
      </c>
      <c r="G966" t="s">
        <v>7144</v>
      </c>
      <c r="H966" t="s">
        <v>7145</v>
      </c>
      <c r="I966">
        <f t="shared" ca="1" si="60"/>
        <v>48</v>
      </c>
      <c r="J966" t="str">
        <f t="shared" ca="1" si="61"/>
        <v>40-49</v>
      </c>
      <c r="K966">
        <v>46270.03</v>
      </c>
      <c r="L966" t="str">
        <f>IF(Workforce[[#This Row],[Salary]]&lt;50000,"30k-49k",IF(Workforce[[#This Row],[Salary]]&lt;70000,"50k-69k",IF(Workforce[[#This Row],[Salary]]&lt;90000,"70k-89k","90k+")))</f>
        <v>30k-49k</v>
      </c>
      <c r="M966" t="s">
        <v>7146</v>
      </c>
      <c r="N966">
        <f t="shared" ca="1" si="62"/>
        <v>6</v>
      </c>
      <c r="O966" t="str">
        <f t="shared" ca="1" si="63"/>
        <v>Intermediate level</v>
      </c>
    </row>
    <row r="967" spans="1:15" x14ac:dyDescent="0.3">
      <c r="A967" t="s">
        <v>7147</v>
      </c>
      <c r="B967" t="s">
        <v>7148</v>
      </c>
      <c r="C967" t="s">
        <v>196</v>
      </c>
      <c r="D967" t="s">
        <v>7149</v>
      </c>
      <c r="E967" t="s">
        <v>7150</v>
      </c>
      <c r="F967" t="s">
        <v>558</v>
      </c>
      <c r="G967" t="s">
        <v>7151</v>
      </c>
      <c r="H967" t="s">
        <v>7152</v>
      </c>
      <c r="I967">
        <f t="shared" ca="1" si="60"/>
        <v>64</v>
      </c>
      <c r="J967" t="str">
        <f t="shared" ca="1" si="61"/>
        <v>60+</v>
      </c>
      <c r="K967">
        <v>53565.72</v>
      </c>
      <c r="L967" t="str">
        <f>IF(Workforce[[#This Row],[Salary]]&lt;50000,"30k-49k",IF(Workforce[[#This Row],[Salary]]&lt;70000,"50k-69k",IF(Workforce[[#This Row],[Salary]]&lt;90000,"70k-89k","90k+")))</f>
        <v>50k-69k</v>
      </c>
      <c r="M967" t="s">
        <v>6067</v>
      </c>
      <c r="N967">
        <f t="shared" ca="1" si="62"/>
        <v>8</v>
      </c>
      <c r="O967" t="str">
        <f t="shared" ca="1" si="63"/>
        <v>Senior level</v>
      </c>
    </row>
    <row r="968" spans="1:15" x14ac:dyDescent="0.3">
      <c r="A968" t="s">
        <v>7153</v>
      </c>
      <c r="B968" t="s">
        <v>7154</v>
      </c>
      <c r="C968" t="s">
        <v>88</v>
      </c>
      <c r="D968" t="s">
        <v>7155</v>
      </c>
      <c r="E968" t="s">
        <v>7156</v>
      </c>
      <c r="F968" t="s">
        <v>886</v>
      </c>
      <c r="G968" t="s">
        <v>7157</v>
      </c>
      <c r="H968" t="s">
        <v>7158</v>
      </c>
      <c r="I968">
        <f t="shared" ca="1" si="60"/>
        <v>32</v>
      </c>
      <c r="J968" t="str">
        <f t="shared" ca="1" si="61"/>
        <v>30-39</v>
      </c>
      <c r="K968">
        <v>41779.760000000002</v>
      </c>
      <c r="L968" t="str">
        <f>IF(Workforce[[#This Row],[Salary]]&lt;50000,"30k-49k",IF(Workforce[[#This Row],[Salary]]&lt;70000,"50k-69k",IF(Workforce[[#This Row],[Salary]]&lt;90000,"70k-89k","90k+")))</f>
        <v>30k-49k</v>
      </c>
      <c r="M968" t="s">
        <v>389</v>
      </c>
      <c r="N968">
        <f t="shared" ca="1" si="62"/>
        <v>9</v>
      </c>
      <c r="O968" t="str">
        <f t="shared" ca="1" si="63"/>
        <v>Senior level</v>
      </c>
    </row>
    <row r="969" spans="1:15" x14ac:dyDescent="0.3">
      <c r="A969" t="s">
        <v>7159</v>
      </c>
      <c r="B969" t="s">
        <v>7160</v>
      </c>
      <c r="C969" t="s">
        <v>169</v>
      </c>
      <c r="D969" t="s">
        <v>7161</v>
      </c>
      <c r="E969" t="s">
        <v>7162</v>
      </c>
      <c r="F969" t="s">
        <v>5523</v>
      </c>
      <c r="G969" t="s">
        <v>7163</v>
      </c>
      <c r="H969" t="s">
        <v>7164</v>
      </c>
      <c r="I969">
        <f t="shared" ca="1" si="60"/>
        <v>63</v>
      </c>
      <c r="J969" t="str">
        <f t="shared" ca="1" si="61"/>
        <v>60+</v>
      </c>
      <c r="K969">
        <v>59524.81</v>
      </c>
      <c r="L969" t="str">
        <f>IF(Workforce[[#This Row],[Salary]]&lt;50000,"30k-49k",IF(Workforce[[#This Row],[Salary]]&lt;70000,"50k-69k",IF(Workforce[[#This Row],[Salary]]&lt;90000,"70k-89k","90k+")))</f>
        <v>50k-69k</v>
      </c>
      <c r="M969" t="s">
        <v>7165</v>
      </c>
      <c r="N969">
        <f t="shared" ca="1" si="62"/>
        <v>2</v>
      </c>
      <c r="O969" t="str">
        <f t="shared" ca="1" si="63"/>
        <v>Beginner</v>
      </c>
    </row>
    <row r="970" spans="1:15" x14ac:dyDescent="0.3">
      <c r="A970" t="s">
        <v>7166</v>
      </c>
      <c r="B970" t="s">
        <v>7167</v>
      </c>
      <c r="C970" t="s">
        <v>748</v>
      </c>
      <c r="D970" t="s">
        <v>7168</v>
      </c>
      <c r="E970" t="s">
        <v>7169</v>
      </c>
      <c r="F970" t="s">
        <v>5477</v>
      </c>
      <c r="G970" t="s">
        <v>7170</v>
      </c>
      <c r="H970" t="s">
        <v>7171</v>
      </c>
      <c r="I970">
        <f t="shared" ca="1" si="60"/>
        <v>24</v>
      </c>
      <c r="J970" t="str">
        <f t="shared" ca="1" si="61"/>
        <v>18-29</v>
      </c>
      <c r="K970">
        <v>85272.25</v>
      </c>
      <c r="L970" t="str">
        <f>IF(Workforce[[#This Row],[Salary]]&lt;50000,"30k-49k",IF(Workforce[[#This Row],[Salary]]&lt;70000,"50k-69k",IF(Workforce[[#This Row],[Salary]]&lt;90000,"70k-89k","90k+")))</f>
        <v>70k-89k</v>
      </c>
      <c r="M970" t="s">
        <v>7172</v>
      </c>
      <c r="N970">
        <f t="shared" ca="1" si="62"/>
        <v>10</v>
      </c>
      <c r="O970" t="str">
        <f t="shared" ca="1" si="63"/>
        <v>Senior level</v>
      </c>
    </row>
    <row r="971" spans="1:15" x14ac:dyDescent="0.3">
      <c r="A971" t="s">
        <v>7173</v>
      </c>
      <c r="B971" t="s">
        <v>7174</v>
      </c>
      <c r="C971" t="s">
        <v>106</v>
      </c>
      <c r="D971" t="s">
        <v>7175</v>
      </c>
      <c r="E971" t="s">
        <v>7176</v>
      </c>
      <c r="F971" t="s">
        <v>6132</v>
      </c>
      <c r="G971" t="s">
        <v>7177</v>
      </c>
      <c r="H971" t="s">
        <v>7178</v>
      </c>
      <c r="I971">
        <f t="shared" ca="1" si="60"/>
        <v>26</v>
      </c>
      <c r="J971" t="str">
        <f t="shared" ca="1" si="61"/>
        <v>18-29</v>
      </c>
      <c r="K971">
        <v>80333.64</v>
      </c>
      <c r="L971" t="str">
        <f>IF(Workforce[[#This Row],[Salary]]&lt;50000,"30k-49k",IF(Workforce[[#This Row],[Salary]]&lt;70000,"50k-69k",IF(Workforce[[#This Row],[Salary]]&lt;90000,"70k-89k","90k+")))</f>
        <v>70k-89k</v>
      </c>
      <c r="M971" t="s">
        <v>7179</v>
      </c>
      <c r="N971">
        <f t="shared" ca="1" si="62"/>
        <v>2</v>
      </c>
      <c r="O971" t="str">
        <f t="shared" ca="1" si="63"/>
        <v>Beginner</v>
      </c>
    </row>
    <row r="972" spans="1:15" x14ac:dyDescent="0.3">
      <c r="A972" t="s">
        <v>7180</v>
      </c>
      <c r="B972" t="s">
        <v>7181</v>
      </c>
      <c r="C972" t="s">
        <v>440</v>
      </c>
      <c r="D972" t="s">
        <v>7182</v>
      </c>
      <c r="E972" t="s">
        <v>7183</v>
      </c>
      <c r="F972" t="s">
        <v>726</v>
      </c>
      <c r="G972" t="s">
        <v>7184</v>
      </c>
      <c r="H972" t="s">
        <v>7185</v>
      </c>
      <c r="I972">
        <f t="shared" ca="1" si="60"/>
        <v>38</v>
      </c>
      <c r="J972" t="str">
        <f t="shared" ca="1" si="61"/>
        <v>30-39</v>
      </c>
      <c r="K972">
        <v>98536.92</v>
      </c>
      <c r="L972" t="str">
        <f>IF(Workforce[[#This Row],[Salary]]&lt;50000,"30k-49k",IF(Workforce[[#This Row],[Salary]]&lt;70000,"50k-69k",IF(Workforce[[#This Row],[Salary]]&lt;90000,"70k-89k","90k+")))</f>
        <v>90k+</v>
      </c>
      <c r="M972" t="s">
        <v>7186</v>
      </c>
      <c r="N972">
        <f t="shared" ca="1" si="62"/>
        <v>3</v>
      </c>
      <c r="O972" t="str">
        <f t="shared" ca="1" si="63"/>
        <v>Intermediate level</v>
      </c>
    </row>
    <row r="973" spans="1:15" x14ac:dyDescent="0.3">
      <c r="A973" t="s">
        <v>7187</v>
      </c>
      <c r="B973" t="s">
        <v>7188</v>
      </c>
      <c r="C973" t="s">
        <v>187</v>
      </c>
      <c r="D973" t="s">
        <v>7189</v>
      </c>
      <c r="E973" t="s">
        <v>7190</v>
      </c>
      <c r="F973" t="s">
        <v>598</v>
      </c>
      <c r="G973" t="s">
        <v>7191</v>
      </c>
      <c r="H973" t="s">
        <v>7192</v>
      </c>
      <c r="I973">
        <f t="shared" ca="1" si="60"/>
        <v>49</v>
      </c>
      <c r="J973" t="str">
        <f t="shared" ca="1" si="61"/>
        <v>40-49</v>
      </c>
      <c r="K973">
        <v>111621.92</v>
      </c>
      <c r="L973" t="str">
        <f>IF(Workforce[[#This Row],[Salary]]&lt;50000,"30k-49k",IF(Workforce[[#This Row],[Salary]]&lt;70000,"50k-69k",IF(Workforce[[#This Row],[Salary]]&lt;90000,"70k-89k","90k+")))</f>
        <v>90k+</v>
      </c>
      <c r="M973" t="s">
        <v>5821</v>
      </c>
      <c r="N973">
        <f t="shared" ca="1" si="62"/>
        <v>5</v>
      </c>
      <c r="O973" t="str">
        <f t="shared" ca="1" si="63"/>
        <v>Intermediate level</v>
      </c>
    </row>
    <row r="974" spans="1:15" x14ac:dyDescent="0.3">
      <c r="A974" t="s">
        <v>7193</v>
      </c>
      <c r="B974" t="s">
        <v>7194</v>
      </c>
      <c r="C974" t="s">
        <v>653</v>
      </c>
      <c r="D974" t="s">
        <v>7195</v>
      </c>
      <c r="E974" t="s">
        <v>7196</v>
      </c>
      <c r="F974" t="s">
        <v>1351</v>
      </c>
      <c r="G974" t="s">
        <v>7197</v>
      </c>
      <c r="H974" t="s">
        <v>7198</v>
      </c>
      <c r="I974">
        <f t="shared" ca="1" si="60"/>
        <v>50</v>
      </c>
      <c r="J974" t="str">
        <f t="shared" ca="1" si="61"/>
        <v>50-59</v>
      </c>
      <c r="K974">
        <v>116995.04</v>
      </c>
      <c r="L974" t="str">
        <f>IF(Workforce[[#This Row],[Salary]]&lt;50000,"30k-49k",IF(Workforce[[#This Row],[Salary]]&lt;70000,"50k-69k",IF(Workforce[[#This Row],[Salary]]&lt;90000,"70k-89k","90k+")))</f>
        <v>90k+</v>
      </c>
      <c r="M974" t="s">
        <v>7199</v>
      </c>
      <c r="N974">
        <f t="shared" ca="1" si="62"/>
        <v>10</v>
      </c>
      <c r="O974" t="str">
        <f t="shared" ca="1" si="63"/>
        <v>Senior level</v>
      </c>
    </row>
    <row r="975" spans="1:15" x14ac:dyDescent="0.3">
      <c r="A975" t="s">
        <v>7200</v>
      </c>
      <c r="B975" t="s">
        <v>7201</v>
      </c>
      <c r="C975" t="s">
        <v>351</v>
      </c>
      <c r="D975" t="s">
        <v>7202</v>
      </c>
      <c r="E975" t="s">
        <v>7203</v>
      </c>
      <c r="F975" t="s">
        <v>1115</v>
      </c>
      <c r="G975" t="s">
        <v>7204</v>
      </c>
      <c r="H975" t="s">
        <v>7205</v>
      </c>
      <c r="I975">
        <f t="shared" ca="1" si="60"/>
        <v>19</v>
      </c>
      <c r="J975" t="str">
        <f t="shared" ca="1" si="61"/>
        <v>18-29</v>
      </c>
      <c r="K975">
        <v>101595.39</v>
      </c>
      <c r="L975" t="str">
        <f>IF(Workforce[[#This Row],[Salary]]&lt;50000,"30k-49k",IF(Workforce[[#This Row],[Salary]]&lt;70000,"50k-69k",IF(Workforce[[#This Row],[Salary]]&lt;90000,"70k-89k","90k+")))</f>
        <v>90k+</v>
      </c>
      <c r="M975" t="s">
        <v>2346</v>
      </c>
      <c r="N975">
        <f t="shared" ca="1" si="62"/>
        <v>6</v>
      </c>
      <c r="O975" t="str">
        <f t="shared" ca="1" si="63"/>
        <v>Intermediate level</v>
      </c>
    </row>
    <row r="976" spans="1:15" x14ac:dyDescent="0.3">
      <c r="A976" t="s">
        <v>7206</v>
      </c>
      <c r="B976" t="s">
        <v>7207</v>
      </c>
      <c r="C976" t="s">
        <v>580</v>
      </c>
      <c r="D976" t="s">
        <v>7208</v>
      </c>
      <c r="E976" t="s">
        <v>7209</v>
      </c>
      <c r="F976" t="s">
        <v>7210</v>
      </c>
      <c r="G976" t="s">
        <v>7211</v>
      </c>
      <c r="H976" t="s">
        <v>7212</v>
      </c>
      <c r="I976">
        <f t="shared" ca="1" si="60"/>
        <v>36</v>
      </c>
      <c r="J976" t="str">
        <f t="shared" ca="1" si="61"/>
        <v>30-39</v>
      </c>
      <c r="K976">
        <v>37331.370000000003</v>
      </c>
      <c r="L976" t="str">
        <f>IF(Workforce[[#This Row],[Salary]]&lt;50000,"30k-49k",IF(Workforce[[#This Row],[Salary]]&lt;70000,"50k-69k",IF(Workforce[[#This Row],[Salary]]&lt;90000,"70k-89k","90k+")))</f>
        <v>30k-49k</v>
      </c>
      <c r="M976" t="s">
        <v>7213</v>
      </c>
      <c r="N976">
        <f t="shared" ca="1" si="62"/>
        <v>5</v>
      </c>
      <c r="O976" t="str">
        <f t="shared" ca="1" si="63"/>
        <v>Intermediate level</v>
      </c>
    </row>
    <row r="977" spans="1:15" x14ac:dyDescent="0.3">
      <c r="A977" t="s">
        <v>7214</v>
      </c>
      <c r="B977" t="s">
        <v>7215</v>
      </c>
      <c r="C977" t="s">
        <v>115</v>
      </c>
      <c r="D977" t="s">
        <v>7216</v>
      </c>
      <c r="E977" t="s">
        <v>7217</v>
      </c>
      <c r="F977" t="s">
        <v>7218</v>
      </c>
      <c r="G977" t="s">
        <v>7219</v>
      </c>
      <c r="H977" t="s">
        <v>7220</v>
      </c>
      <c r="I977">
        <f t="shared" ca="1" si="60"/>
        <v>64</v>
      </c>
      <c r="J977" t="str">
        <f t="shared" ca="1" si="61"/>
        <v>60+</v>
      </c>
      <c r="K977">
        <v>34758.04</v>
      </c>
      <c r="L977" t="str">
        <f>IF(Workforce[[#This Row],[Salary]]&lt;50000,"30k-49k",IF(Workforce[[#This Row],[Salary]]&lt;70000,"50k-69k",IF(Workforce[[#This Row],[Salary]]&lt;90000,"70k-89k","90k+")))</f>
        <v>30k-49k</v>
      </c>
      <c r="M977" t="s">
        <v>7221</v>
      </c>
      <c r="N977">
        <f t="shared" ca="1" si="62"/>
        <v>6</v>
      </c>
      <c r="O977" t="str">
        <f t="shared" ca="1" si="63"/>
        <v>Intermediate level</v>
      </c>
    </row>
    <row r="978" spans="1:15" x14ac:dyDescent="0.3">
      <c r="A978" t="s">
        <v>7222</v>
      </c>
      <c r="B978" t="s">
        <v>7223</v>
      </c>
      <c r="C978" t="s">
        <v>400</v>
      </c>
      <c r="D978" t="s">
        <v>7224</v>
      </c>
      <c r="E978" t="s">
        <v>7225</v>
      </c>
      <c r="F978" t="s">
        <v>7226</v>
      </c>
      <c r="G978" t="s">
        <v>7227</v>
      </c>
      <c r="H978" t="s">
        <v>7228</v>
      </c>
      <c r="I978">
        <f t="shared" ca="1" si="60"/>
        <v>32</v>
      </c>
      <c r="J978" t="str">
        <f t="shared" ca="1" si="61"/>
        <v>30-39</v>
      </c>
      <c r="K978">
        <v>107548.42</v>
      </c>
      <c r="L978" t="str">
        <f>IF(Workforce[[#This Row],[Salary]]&lt;50000,"30k-49k",IF(Workforce[[#This Row],[Salary]]&lt;70000,"50k-69k",IF(Workforce[[#This Row],[Salary]]&lt;90000,"70k-89k","90k+")))</f>
        <v>90k+</v>
      </c>
      <c r="M978" t="s">
        <v>7229</v>
      </c>
      <c r="N978">
        <f t="shared" ca="1" si="62"/>
        <v>9</v>
      </c>
      <c r="O978" t="str">
        <f t="shared" ca="1" si="63"/>
        <v>Senior level</v>
      </c>
    </row>
    <row r="979" spans="1:15" x14ac:dyDescent="0.3">
      <c r="A979" t="s">
        <v>7230</v>
      </c>
      <c r="B979" t="s">
        <v>7231</v>
      </c>
      <c r="C979" t="s">
        <v>240</v>
      </c>
      <c r="D979" t="s">
        <v>7232</v>
      </c>
      <c r="E979" t="s">
        <v>7233</v>
      </c>
      <c r="F979" t="s">
        <v>7234</v>
      </c>
      <c r="G979" t="s">
        <v>7235</v>
      </c>
      <c r="H979" t="s">
        <v>7236</v>
      </c>
      <c r="I979">
        <f t="shared" ca="1" si="60"/>
        <v>38</v>
      </c>
      <c r="J979" t="str">
        <f t="shared" ca="1" si="61"/>
        <v>30-39</v>
      </c>
      <c r="K979">
        <v>31645.97</v>
      </c>
      <c r="L979" t="str">
        <f>IF(Workforce[[#This Row],[Salary]]&lt;50000,"30k-49k",IF(Workforce[[#This Row],[Salary]]&lt;70000,"50k-69k",IF(Workforce[[#This Row],[Salary]]&lt;90000,"70k-89k","90k+")))</f>
        <v>30k-49k</v>
      </c>
      <c r="M979" t="s">
        <v>7237</v>
      </c>
      <c r="N979">
        <f t="shared" ca="1" si="62"/>
        <v>2</v>
      </c>
      <c r="O979" t="str">
        <f t="shared" ca="1" si="63"/>
        <v>Beginner</v>
      </c>
    </row>
    <row r="980" spans="1:15" x14ac:dyDescent="0.3">
      <c r="A980" t="s">
        <v>7238</v>
      </c>
      <c r="B980" t="s">
        <v>7239</v>
      </c>
      <c r="C980" t="s">
        <v>97</v>
      </c>
      <c r="D980" t="s">
        <v>7240</v>
      </c>
      <c r="E980" t="s">
        <v>7241</v>
      </c>
      <c r="F980" t="s">
        <v>7242</v>
      </c>
      <c r="G980" t="s">
        <v>7243</v>
      </c>
      <c r="H980" t="s">
        <v>7244</v>
      </c>
      <c r="I980">
        <f t="shared" ca="1" si="60"/>
        <v>47</v>
      </c>
      <c r="J980" t="str">
        <f t="shared" ca="1" si="61"/>
        <v>40-49</v>
      </c>
      <c r="K980">
        <v>99871.07</v>
      </c>
      <c r="L980" t="str">
        <f>IF(Workforce[[#This Row],[Salary]]&lt;50000,"30k-49k",IF(Workforce[[#This Row],[Salary]]&lt;70000,"50k-69k",IF(Workforce[[#This Row],[Salary]]&lt;90000,"70k-89k","90k+")))</f>
        <v>90k+</v>
      </c>
      <c r="M980" t="s">
        <v>6551</v>
      </c>
      <c r="N980">
        <f t="shared" ca="1" si="62"/>
        <v>6</v>
      </c>
      <c r="O980" t="str">
        <f t="shared" ca="1" si="63"/>
        <v>Intermediate level</v>
      </c>
    </row>
    <row r="981" spans="1:15" x14ac:dyDescent="0.3">
      <c r="A981" t="s">
        <v>7245</v>
      </c>
      <c r="B981" t="s">
        <v>7246</v>
      </c>
      <c r="C981" t="s">
        <v>124</v>
      </c>
      <c r="D981" t="s">
        <v>7247</v>
      </c>
      <c r="E981" t="s">
        <v>7248</v>
      </c>
      <c r="F981" t="s">
        <v>7249</v>
      </c>
      <c r="G981" t="s">
        <v>7250</v>
      </c>
      <c r="H981" t="s">
        <v>7251</v>
      </c>
      <c r="I981">
        <f t="shared" ca="1" si="60"/>
        <v>42</v>
      </c>
      <c r="J981" t="str">
        <f t="shared" ca="1" si="61"/>
        <v>40-49</v>
      </c>
      <c r="K981">
        <v>116420.97</v>
      </c>
      <c r="L981" t="str">
        <f>IF(Workforce[[#This Row],[Salary]]&lt;50000,"30k-49k",IF(Workforce[[#This Row],[Salary]]&lt;70000,"50k-69k",IF(Workforce[[#This Row],[Salary]]&lt;90000,"70k-89k","90k+")))</f>
        <v>90k+</v>
      </c>
      <c r="M981" t="s">
        <v>7252</v>
      </c>
      <c r="N981">
        <f t="shared" ca="1" si="62"/>
        <v>1</v>
      </c>
      <c r="O981" t="str">
        <f t="shared" ca="1" si="63"/>
        <v>Beginner</v>
      </c>
    </row>
    <row r="982" spans="1:15" x14ac:dyDescent="0.3">
      <c r="A982" t="s">
        <v>7253</v>
      </c>
      <c r="B982" t="s">
        <v>7254</v>
      </c>
      <c r="C982" t="s">
        <v>1159</v>
      </c>
      <c r="D982" t="s">
        <v>7255</v>
      </c>
      <c r="E982" t="s">
        <v>7256</v>
      </c>
      <c r="F982" t="s">
        <v>6966</v>
      </c>
      <c r="G982" t="s">
        <v>7257</v>
      </c>
      <c r="H982" t="s">
        <v>7258</v>
      </c>
      <c r="I982">
        <f t="shared" ca="1" si="60"/>
        <v>36</v>
      </c>
      <c r="J982" t="str">
        <f t="shared" ca="1" si="61"/>
        <v>30-39</v>
      </c>
      <c r="K982">
        <v>109877.41</v>
      </c>
      <c r="L982" t="str">
        <f>IF(Workforce[[#This Row],[Salary]]&lt;50000,"30k-49k",IF(Workforce[[#This Row],[Salary]]&lt;70000,"50k-69k",IF(Workforce[[#This Row],[Salary]]&lt;90000,"70k-89k","90k+")))</f>
        <v>90k+</v>
      </c>
      <c r="M982" t="s">
        <v>7259</v>
      </c>
      <c r="N982">
        <f t="shared" ca="1" si="62"/>
        <v>8</v>
      </c>
      <c r="O982" t="str">
        <f t="shared" ca="1" si="63"/>
        <v>Senior level</v>
      </c>
    </row>
    <row r="983" spans="1:15" x14ac:dyDescent="0.3">
      <c r="A983" t="s">
        <v>7260</v>
      </c>
      <c r="B983" t="s">
        <v>7261</v>
      </c>
      <c r="C983" t="s">
        <v>748</v>
      </c>
      <c r="D983" t="s">
        <v>7262</v>
      </c>
      <c r="E983" t="s">
        <v>7263</v>
      </c>
      <c r="F983" t="s">
        <v>4030</v>
      </c>
      <c r="G983" t="s">
        <v>7264</v>
      </c>
      <c r="H983" t="s">
        <v>7265</v>
      </c>
      <c r="I983">
        <f t="shared" ca="1" si="60"/>
        <v>52</v>
      </c>
      <c r="J983" t="str">
        <f t="shared" ca="1" si="61"/>
        <v>50-59</v>
      </c>
      <c r="K983">
        <v>62378.559999999998</v>
      </c>
      <c r="L983" t="str">
        <f>IF(Workforce[[#This Row],[Salary]]&lt;50000,"30k-49k",IF(Workforce[[#This Row],[Salary]]&lt;70000,"50k-69k",IF(Workforce[[#This Row],[Salary]]&lt;90000,"70k-89k","90k+")))</f>
        <v>50k-69k</v>
      </c>
      <c r="M983" t="s">
        <v>7266</v>
      </c>
      <c r="N983">
        <f t="shared" ca="1" si="62"/>
        <v>3</v>
      </c>
      <c r="O983" t="str">
        <f t="shared" ca="1" si="63"/>
        <v>Intermediate level</v>
      </c>
    </row>
    <row r="984" spans="1:15" x14ac:dyDescent="0.3">
      <c r="A984" t="s">
        <v>7267</v>
      </c>
      <c r="B984" t="s">
        <v>7268</v>
      </c>
      <c r="C984" t="s">
        <v>240</v>
      </c>
      <c r="D984" t="s">
        <v>7269</v>
      </c>
      <c r="E984" t="s">
        <v>7270</v>
      </c>
      <c r="F984" t="s">
        <v>7271</v>
      </c>
      <c r="G984" t="s">
        <v>7272</v>
      </c>
      <c r="H984" t="s">
        <v>7273</v>
      </c>
      <c r="I984">
        <f t="shared" ca="1" si="60"/>
        <v>26</v>
      </c>
      <c r="J984" t="str">
        <f t="shared" ca="1" si="61"/>
        <v>18-29</v>
      </c>
      <c r="K984">
        <v>39244.019999999997</v>
      </c>
      <c r="L984" t="str">
        <f>IF(Workforce[[#This Row],[Salary]]&lt;50000,"30k-49k",IF(Workforce[[#This Row],[Salary]]&lt;70000,"50k-69k",IF(Workforce[[#This Row],[Salary]]&lt;90000,"70k-89k","90k+")))</f>
        <v>30k-49k</v>
      </c>
      <c r="M984" t="s">
        <v>7274</v>
      </c>
      <c r="N984">
        <f t="shared" ca="1" si="62"/>
        <v>6</v>
      </c>
      <c r="O984" t="str">
        <f t="shared" ca="1" si="63"/>
        <v>Intermediate level</v>
      </c>
    </row>
    <row r="985" spans="1:15" x14ac:dyDescent="0.3">
      <c r="A985" t="s">
        <v>7275</v>
      </c>
      <c r="B985" t="s">
        <v>7276</v>
      </c>
      <c r="C985" t="s">
        <v>1159</v>
      </c>
      <c r="D985" t="s">
        <v>7277</v>
      </c>
      <c r="E985" t="s">
        <v>7278</v>
      </c>
      <c r="F985" t="s">
        <v>2186</v>
      </c>
      <c r="G985" t="s">
        <v>7279</v>
      </c>
      <c r="H985" t="s">
        <v>7280</v>
      </c>
      <c r="I985">
        <f t="shared" ca="1" si="60"/>
        <v>28</v>
      </c>
      <c r="J985" t="str">
        <f t="shared" ca="1" si="61"/>
        <v>18-29</v>
      </c>
      <c r="K985">
        <v>58086.09</v>
      </c>
      <c r="L985" t="str">
        <f>IF(Workforce[[#This Row],[Salary]]&lt;50000,"30k-49k",IF(Workforce[[#This Row],[Salary]]&lt;70000,"50k-69k",IF(Workforce[[#This Row],[Salary]]&lt;90000,"70k-89k","90k+")))</f>
        <v>50k-69k</v>
      </c>
      <c r="M985" t="s">
        <v>7281</v>
      </c>
      <c r="N985">
        <f t="shared" ca="1" si="62"/>
        <v>8</v>
      </c>
      <c r="O985" t="str">
        <f t="shared" ca="1" si="63"/>
        <v>Senior level</v>
      </c>
    </row>
    <row r="986" spans="1:15" x14ac:dyDescent="0.3">
      <c r="A986" t="s">
        <v>7282</v>
      </c>
      <c r="B986" t="s">
        <v>7283</v>
      </c>
      <c r="C986" t="s">
        <v>335</v>
      </c>
      <c r="D986" t="s">
        <v>7284</v>
      </c>
      <c r="E986" t="s">
        <v>7285</v>
      </c>
      <c r="F986" t="s">
        <v>3761</v>
      </c>
      <c r="G986" t="s">
        <v>7286</v>
      </c>
      <c r="H986" t="s">
        <v>4641</v>
      </c>
      <c r="I986">
        <f t="shared" ca="1" si="60"/>
        <v>19</v>
      </c>
      <c r="J986" t="str">
        <f t="shared" ca="1" si="61"/>
        <v>18-29</v>
      </c>
      <c r="K986">
        <v>47767.98</v>
      </c>
      <c r="L986" t="str">
        <f>IF(Workforce[[#This Row],[Salary]]&lt;50000,"30k-49k",IF(Workforce[[#This Row],[Salary]]&lt;70000,"50k-69k",IF(Workforce[[#This Row],[Salary]]&lt;90000,"70k-89k","90k+")))</f>
        <v>30k-49k</v>
      </c>
      <c r="M986" t="s">
        <v>7287</v>
      </c>
      <c r="N986">
        <f t="shared" ca="1" si="62"/>
        <v>9</v>
      </c>
      <c r="O986" t="str">
        <f t="shared" ca="1" si="63"/>
        <v>Senior level</v>
      </c>
    </row>
    <row r="987" spans="1:15" x14ac:dyDescent="0.3">
      <c r="A987" t="s">
        <v>7288</v>
      </c>
      <c r="B987" t="s">
        <v>7289</v>
      </c>
      <c r="C987" t="s">
        <v>653</v>
      </c>
      <c r="D987" t="s">
        <v>7290</v>
      </c>
      <c r="E987" t="s">
        <v>7291</v>
      </c>
      <c r="F987" t="s">
        <v>6748</v>
      </c>
      <c r="G987" t="s">
        <v>7292</v>
      </c>
      <c r="H987" t="s">
        <v>7293</v>
      </c>
      <c r="I987">
        <f t="shared" ca="1" si="60"/>
        <v>40</v>
      </c>
      <c r="J987" t="str">
        <f t="shared" ca="1" si="61"/>
        <v>40-49</v>
      </c>
      <c r="K987">
        <v>45691.54</v>
      </c>
      <c r="L987" t="str">
        <f>IF(Workforce[[#This Row],[Salary]]&lt;50000,"30k-49k",IF(Workforce[[#This Row],[Salary]]&lt;70000,"50k-69k",IF(Workforce[[#This Row],[Salary]]&lt;90000,"70k-89k","90k+")))</f>
        <v>30k-49k</v>
      </c>
      <c r="M987" t="s">
        <v>7294</v>
      </c>
      <c r="N987">
        <f t="shared" ca="1" si="62"/>
        <v>6</v>
      </c>
      <c r="O987" t="str">
        <f t="shared" ca="1" si="63"/>
        <v>Intermediate level</v>
      </c>
    </row>
    <row r="988" spans="1:15" x14ac:dyDescent="0.3">
      <c r="A988" t="s">
        <v>7295</v>
      </c>
      <c r="B988" t="s">
        <v>7296</v>
      </c>
      <c r="C988" t="s">
        <v>61</v>
      </c>
      <c r="D988" t="s">
        <v>7297</v>
      </c>
      <c r="E988" t="s">
        <v>7298</v>
      </c>
      <c r="F988" t="s">
        <v>4431</v>
      </c>
      <c r="G988" t="s">
        <v>7299</v>
      </c>
      <c r="H988" t="s">
        <v>7300</v>
      </c>
      <c r="I988">
        <f t="shared" ca="1" si="60"/>
        <v>50</v>
      </c>
      <c r="J988" t="str">
        <f t="shared" ca="1" si="61"/>
        <v>50-59</v>
      </c>
      <c r="K988">
        <v>119376.79</v>
      </c>
      <c r="L988" t="str">
        <f>IF(Workforce[[#This Row],[Salary]]&lt;50000,"30k-49k",IF(Workforce[[#This Row],[Salary]]&lt;70000,"50k-69k",IF(Workforce[[#This Row],[Salary]]&lt;90000,"70k-89k","90k+")))</f>
        <v>90k+</v>
      </c>
      <c r="M988" t="s">
        <v>2470</v>
      </c>
      <c r="N988">
        <f t="shared" ca="1" si="62"/>
        <v>8</v>
      </c>
      <c r="O988" t="str">
        <f t="shared" ca="1" si="63"/>
        <v>Senior level</v>
      </c>
    </row>
    <row r="989" spans="1:15" x14ac:dyDescent="0.3">
      <c r="A989" t="s">
        <v>7301</v>
      </c>
      <c r="B989" t="s">
        <v>7302</v>
      </c>
      <c r="C989" t="s">
        <v>142</v>
      </c>
      <c r="D989" t="s">
        <v>7303</v>
      </c>
      <c r="E989" t="s">
        <v>7304</v>
      </c>
      <c r="F989" t="s">
        <v>7305</v>
      </c>
      <c r="G989" t="s">
        <v>7306</v>
      </c>
      <c r="H989" t="s">
        <v>7307</v>
      </c>
      <c r="I989">
        <f t="shared" ca="1" si="60"/>
        <v>22</v>
      </c>
      <c r="J989" t="str">
        <f t="shared" ca="1" si="61"/>
        <v>18-29</v>
      </c>
      <c r="K989">
        <v>78901.240000000005</v>
      </c>
      <c r="L989" t="str">
        <f>IF(Workforce[[#This Row],[Salary]]&lt;50000,"30k-49k",IF(Workforce[[#This Row],[Salary]]&lt;70000,"50k-69k",IF(Workforce[[#This Row],[Salary]]&lt;90000,"70k-89k","90k+")))</f>
        <v>70k-89k</v>
      </c>
      <c r="M989" t="s">
        <v>7308</v>
      </c>
      <c r="N989">
        <f t="shared" ca="1" si="62"/>
        <v>10</v>
      </c>
      <c r="O989" t="str">
        <f t="shared" ca="1" si="63"/>
        <v>Senior level</v>
      </c>
    </row>
    <row r="990" spans="1:15" x14ac:dyDescent="0.3">
      <c r="A990" t="s">
        <v>7309</v>
      </c>
      <c r="B990" t="s">
        <v>7310</v>
      </c>
      <c r="C990" t="s">
        <v>539</v>
      </c>
      <c r="D990" t="s">
        <v>7311</v>
      </c>
      <c r="E990" t="s">
        <v>7312</v>
      </c>
      <c r="F990" t="s">
        <v>2960</v>
      </c>
      <c r="G990" t="s">
        <v>7313</v>
      </c>
      <c r="H990" t="s">
        <v>7314</v>
      </c>
      <c r="I990">
        <f t="shared" ca="1" si="60"/>
        <v>55</v>
      </c>
      <c r="J990" t="str">
        <f t="shared" ca="1" si="61"/>
        <v>50-59</v>
      </c>
      <c r="K990">
        <v>115537.19</v>
      </c>
      <c r="L990" t="str">
        <f>IF(Workforce[[#This Row],[Salary]]&lt;50000,"30k-49k",IF(Workforce[[#This Row],[Salary]]&lt;70000,"50k-69k",IF(Workforce[[#This Row],[Salary]]&lt;90000,"70k-89k","90k+")))</f>
        <v>90k+</v>
      </c>
      <c r="M990" t="s">
        <v>7315</v>
      </c>
      <c r="N990">
        <f t="shared" ca="1" si="62"/>
        <v>8</v>
      </c>
      <c r="O990" t="str">
        <f t="shared" ca="1" si="63"/>
        <v>Senior level</v>
      </c>
    </row>
    <row r="991" spans="1:15" x14ac:dyDescent="0.3">
      <c r="A991" t="s">
        <v>7316</v>
      </c>
      <c r="B991" t="s">
        <v>7317</v>
      </c>
      <c r="C991" t="s">
        <v>106</v>
      </c>
      <c r="D991" t="s">
        <v>7318</v>
      </c>
      <c r="E991" t="s">
        <v>7319</v>
      </c>
      <c r="F991" t="s">
        <v>7320</v>
      </c>
      <c r="G991" t="s">
        <v>7321</v>
      </c>
      <c r="H991" t="s">
        <v>7322</v>
      </c>
      <c r="I991">
        <f t="shared" ca="1" si="60"/>
        <v>66</v>
      </c>
      <c r="J991" t="str">
        <f t="shared" ca="1" si="61"/>
        <v>60+</v>
      </c>
      <c r="K991">
        <v>81738.080000000002</v>
      </c>
      <c r="L991" t="str">
        <f>IF(Workforce[[#This Row],[Salary]]&lt;50000,"30k-49k",IF(Workforce[[#This Row],[Salary]]&lt;70000,"50k-69k",IF(Workforce[[#This Row],[Salary]]&lt;90000,"70k-89k","90k+")))</f>
        <v>70k-89k</v>
      </c>
      <c r="M991" t="s">
        <v>7323</v>
      </c>
      <c r="N991">
        <f t="shared" ca="1" si="62"/>
        <v>3</v>
      </c>
      <c r="O991" t="str">
        <f t="shared" ca="1" si="63"/>
        <v>Intermediate level</v>
      </c>
    </row>
    <row r="992" spans="1:15" x14ac:dyDescent="0.3">
      <c r="A992" t="s">
        <v>7324</v>
      </c>
      <c r="B992" t="s">
        <v>7325</v>
      </c>
      <c r="C992" t="s">
        <v>169</v>
      </c>
      <c r="D992" t="s">
        <v>7326</v>
      </c>
      <c r="E992" t="s">
        <v>7327</v>
      </c>
      <c r="F992" t="s">
        <v>354</v>
      </c>
      <c r="G992" t="s">
        <v>7328</v>
      </c>
      <c r="H992" t="s">
        <v>5012</v>
      </c>
      <c r="I992">
        <f t="shared" ca="1" si="60"/>
        <v>59</v>
      </c>
      <c r="J992" t="str">
        <f t="shared" ca="1" si="61"/>
        <v>50-59</v>
      </c>
      <c r="K992">
        <v>42828.77</v>
      </c>
      <c r="L992" t="str">
        <f>IF(Workforce[[#This Row],[Salary]]&lt;50000,"30k-49k",IF(Workforce[[#This Row],[Salary]]&lt;70000,"50k-69k",IF(Workforce[[#This Row],[Salary]]&lt;90000,"70k-89k","90k+")))</f>
        <v>30k-49k</v>
      </c>
      <c r="M992" t="s">
        <v>7329</v>
      </c>
      <c r="N992">
        <f t="shared" ca="1" si="62"/>
        <v>7</v>
      </c>
      <c r="O992" t="str">
        <f t="shared" ca="1" si="63"/>
        <v>Senior level</v>
      </c>
    </row>
    <row r="993" spans="1:15" x14ac:dyDescent="0.3">
      <c r="A993" t="s">
        <v>7330</v>
      </c>
      <c r="B993" t="s">
        <v>7331</v>
      </c>
      <c r="C993" t="s">
        <v>326</v>
      </c>
      <c r="D993" t="s">
        <v>7332</v>
      </c>
      <c r="E993" t="s">
        <v>7333</v>
      </c>
      <c r="F993" t="s">
        <v>3545</v>
      </c>
      <c r="G993" t="s">
        <v>7334</v>
      </c>
      <c r="H993" t="s">
        <v>7335</v>
      </c>
      <c r="I993">
        <f t="shared" ca="1" si="60"/>
        <v>23</v>
      </c>
      <c r="J993" t="str">
        <f t="shared" ca="1" si="61"/>
        <v>18-29</v>
      </c>
      <c r="K993">
        <v>108690.61</v>
      </c>
      <c r="L993" t="str">
        <f>IF(Workforce[[#This Row],[Salary]]&lt;50000,"30k-49k",IF(Workforce[[#This Row],[Salary]]&lt;70000,"50k-69k",IF(Workforce[[#This Row],[Salary]]&lt;90000,"70k-89k","90k+")))</f>
        <v>90k+</v>
      </c>
      <c r="M993" t="s">
        <v>7336</v>
      </c>
      <c r="N993">
        <f t="shared" ca="1" si="62"/>
        <v>1</v>
      </c>
      <c r="O993" t="str">
        <f t="shared" ca="1" si="63"/>
        <v>Beginner</v>
      </c>
    </row>
    <row r="994" spans="1:15" x14ac:dyDescent="0.3">
      <c r="A994" t="s">
        <v>7337</v>
      </c>
      <c r="B994" t="s">
        <v>7338</v>
      </c>
      <c r="C994" t="s">
        <v>400</v>
      </c>
      <c r="D994" t="s">
        <v>7339</v>
      </c>
      <c r="E994" t="s">
        <v>7340</v>
      </c>
      <c r="F994" t="s">
        <v>7341</v>
      </c>
      <c r="G994" t="s">
        <v>7342</v>
      </c>
      <c r="H994" t="s">
        <v>7343</v>
      </c>
      <c r="I994">
        <f t="shared" ca="1" si="60"/>
        <v>63</v>
      </c>
      <c r="J994" t="str">
        <f t="shared" ca="1" si="61"/>
        <v>60+</v>
      </c>
      <c r="K994">
        <v>112260.2</v>
      </c>
      <c r="L994" t="str">
        <f>IF(Workforce[[#This Row],[Salary]]&lt;50000,"30k-49k",IF(Workforce[[#This Row],[Salary]]&lt;70000,"50k-69k",IF(Workforce[[#This Row],[Salary]]&lt;90000,"70k-89k","90k+")))</f>
        <v>90k+</v>
      </c>
      <c r="M994" t="s">
        <v>7344</v>
      </c>
      <c r="N994">
        <f t="shared" ca="1" si="62"/>
        <v>5</v>
      </c>
      <c r="O994" t="str">
        <f t="shared" ca="1" si="63"/>
        <v>Intermediate level</v>
      </c>
    </row>
    <row r="995" spans="1:15" x14ac:dyDescent="0.3">
      <c r="A995" t="s">
        <v>7345</v>
      </c>
      <c r="B995" t="s">
        <v>7346</v>
      </c>
      <c r="C995" t="s">
        <v>61</v>
      </c>
      <c r="D995" t="s">
        <v>7347</v>
      </c>
      <c r="E995" t="s">
        <v>7348</v>
      </c>
      <c r="F995" t="s">
        <v>2585</v>
      </c>
      <c r="G995" t="s">
        <v>7349</v>
      </c>
      <c r="H995" t="s">
        <v>7350</v>
      </c>
      <c r="I995">
        <f t="shared" ca="1" si="60"/>
        <v>19</v>
      </c>
      <c r="J995" t="str">
        <f t="shared" ca="1" si="61"/>
        <v>18-29</v>
      </c>
      <c r="K995">
        <v>103054.19</v>
      </c>
      <c r="L995" t="str">
        <f>IF(Workforce[[#This Row],[Salary]]&lt;50000,"30k-49k",IF(Workforce[[#This Row],[Salary]]&lt;70000,"50k-69k",IF(Workforce[[#This Row],[Salary]]&lt;90000,"70k-89k","90k+")))</f>
        <v>90k+</v>
      </c>
      <c r="M995" t="s">
        <v>7351</v>
      </c>
      <c r="N995">
        <f t="shared" ca="1" si="62"/>
        <v>2</v>
      </c>
      <c r="O995" t="str">
        <f t="shared" ca="1" si="63"/>
        <v>Beginner</v>
      </c>
    </row>
    <row r="996" spans="1:15" x14ac:dyDescent="0.3">
      <c r="A996" t="s">
        <v>7352</v>
      </c>
      <c r="B996" t="s">
        <v>7353</v>
      </c>
      <c r="C996" t="s">
        <v>151</v>
      </c>
      <c r="D996" t="s">
        <v>7354</v>
      </c>
      <c r="E996" t="s">
        <v>7355</v>
      </c>
      <c r="F996" t="s">
        <v>7356</v>
      </c>
      <c r="G996" t="s">
        <v>7357</v>
      </c>
      <c r="H996" t="s">
        <v>7358</v>
      </c>
      <c r="I996">
        <f t="shared" ca="1" si="60"/>
        <v>43</v>
      </c>
      <c r="J996" t="str">
        <f t="shared" ca="1" si="61"/>
        <v>40-49</v>
      </c>
      <c r="K996">
        <v>81158.39</v>
      </c>
      <c r="L996" t="str">
        <f>IF(Workforce[[#This Row],[Salary]]&lt;50000,"30k-49k",IF(Workforce[[#This Row],[Salary]]&lt;70000,"50k-69k",IF(Workforce[[#This Row],[Salary]]&lt;90000,"70k-89k","90k+")))</f>
        <v>70k-89k</v>
      </c>
      <c r="M996" t="s">
        <v>7359</v>
      </c>
      <c r="N996">
        <f t="shared" ca="1" si="62"/>
        <v>4</v>
      </c>
      <c r="O996" t="str">
        <f t="shared" ca="1" si="63"/>
        <v>Intermediate level</v>
      </c>
    </row>
    <row r="997" spans="1:15" x14ac:dyDescent="0.3">
      <c r="A997" t="s">
        <v>7360</v>
      </c>
      <c r="B997" t="s">
        <v>7361</v>
      </c>
      <c r="C997" t="s">
        <v>1043</v>
      </c>
      <c r="D997" t="s">
        <v>7362</v>
      </c>
      <c r="E997" t="s">
        <v>7363</v>
      </c>
      <c r="F997" t="s">
        <v>1780</v>
      </c>
      <c r="G997" t="s">
        <v>7364</v>
      </c>
      <c r="H997" t="s">
        <v>2352</v>
      </c>
      <c r="I997">
        <f t="shared" ca="1" si="60"/>
        <v>30</v>
      </c>
      <c r="J997" t="str">
        <f t="shared" ca="1" si="61"/>
        <v>30-39</v>
      </c>
      <c r="K997">
        <v>30136.45</v>
      </c>
      <c r="L997" t="str">
        <f>IF(Workforce[[#This Row],[Salary]]&lt;50000,"30k-49k",IF(Workforce[[#This Row],[Salary]]&lt;70000,"50k-69k",IF(Workforce[[#This Row],[Salary]]&lt;90000,"70k-89k","90k+")))</f>
        <v>30k-49k</v>
      </c>
      <c r="M997" t="s">
        <v>7365</v>
      </c>
      <c r="N997">
        <f t="shared" ca="1" si="62"/>
        <v>3</v>
      </c>
      <c r="O997" t="str">
        <f t="shared" ca="1" si="63"/>
        <v>Intermediate level</v>
      </c>
    </row>
    <row r="998" spans="1:15" x14ac:dyDescent="0.3">
      <c r="A998" t="s">
        <v>7366</v>
      </c>
      <c r="B998" t="s">
        <v>7367</v>
      </c>
      <c r="C998" t="s">
        <v>97</v>
      </c>
      <c r="D998" t="s">
        <v>7368</v>
      </c>
      <c r="E998" t="s">
        <v>7369</v>
      </c>
      <c r="F998" t="s">
        <v>55</v>
      </c>
      <c r="G998" t="s">
        <v>7370</v>
      </c>
      <c r="H998" t="s">
        <v>7371</v>
      </c>
      <c r="I998">
        <f t="shared" ca="1" si="60"/>
        <v>34</v>
      </c>
      <c r="J998" t="str">
        <f t="shared" ca="1" si="61"/>
        <v>30-39</v>
      </c>
      <c r="K998">
        <v>68357.45</v>
      </c>
      <c r="L998" t="str">
        <f>IF(Workforce[[#This Row],[Salary]]&lt;50000,"30k-49k",IF(Workforce[[#This Row],[Salary]]&lt;70000,"50k-69k",IF(Workforce[[#This Row],[Salary]]&lt;90000,"70k-89k","90k+")))</f>
        <v>50k-69k</v>
      </c>
      <c r="M998" t="s">
        <v>7372</v>
      </c>
      <c r="N998">
        <f t="shared" ca="1" si="62"/>
        <v>10</v>
      </c>
      <c r="O998" t="str">
        <f t="shared" ca="1" si="63"/>
        <v>Senior level</v>
      </c>
    </row>
    <row r="999" spans="1:15" x14ac:dyDescent="0.3">
      <c r="A999" t="s">
        <v>7373</v>
      </c>
      <c r="B999" t="s">
        <v>7374</v>
      </c>
      <c r="C999" t="s">
        <v>844</v>
      </c>
      <c r="D999" t="s">
        <v>7375</v>
      </c>
      <c r="E999" t="s">
        <v>7376</v>
      </c>
      <c r="F999" t="s">
        <v>623</v>
      </c>
      <c r="G999" t="s">
        <v>7377</v>
      </c>
      <c r="H999" t="s">
        <v>7378</v>
      </c>
      <c r="I999">
        <f t="shared" ca="1" si="60"/>
        <v>33</v>
      </c>
      <c r="J999" t="str">
        <f t="shared" ca="1" si="61"/>
        <v>30-39</v>
      </c>
      <c r="K999">
        <v>54745.13</v>
      </c>
      <c r="L999" t="str">
        <f>IF(Workforce[[#This Row],[Salary]]&lt;50000,"30k-49k",IF(Workforce[[#This Row],[Salary]]&lt;70000,"50k-69k",IF(Workforce[[#This Row],[Salary]]&lt;90000,"70k-89k","90k+")))</f>
        <v>50k-69k</v>
      </c>
      <c r="M999" t="s">
        <v>7379</v>
      </c>
      <c r="N999">
        <f t="shared" ca="1" si="62"/>
        <v>10</v>
      </c>
      <c r="O999" t="str">
        <f t="shared" ca="1" si="63"/>
        <v>Senior level</v>
      </c>
    </row>
    <row r="1000" spans="1:15" x14ac:dyDescent="0.3">
      <c r="A1000" t="s">
        <v>7380</v>
      </c>
      <c r="B1000" t="s">
        <v>7381</v>
      </c>
      <c r="C1000" t="s">
        <v>178</v>
      </c>
      <c r="D1000" t="s">
        <v>7382</v>
      </c>
      <c r="E1000" t="s">
        <v>7383</v>
      </c>
      <c r="F1000" t="s">
        <v>1434</v>
      </c>
      <c r="G1000" t="s">
        <v>7384</v>
      </c>
      <c r="H1000" t="s">
        <v>7385</v>
      </c>
      <c r="I1000">
        <f t="shared" ca="1" si="60"/>
        <v>31</v>
      </c>
      <c r="J1000" t="str">
        <f t="shared" ca="1" si="61"/>
        <v>30-39</v>
      </c>
      <c r="K1000">
        <v>34861.839999999997</v>
      </c>
      <c r="L1000" t="str">
        <f>IF(Workforce[[#This Row],[Salary]]&lt;50000,"30k-49k",IF(Workforce[[#This Row],[Salary]]&lt;70000,"50k-69k",IF(Workforce[[#This Row],[Salary]]&lt;90000,"70k-89k","90k+")))</f>
        <v>30k-49k</v>
      </c>
      <c r="M1000" t="s">
        <v>7386</v>
      </c>
      <c r="N1000">
        <f t="shared" ca="1" si="62"/>
        <v>4</v>
      </c>
      <c r="O1000" t="str">
        <f t="shared" ca="1" si="63"/>
        <v>Intermediate level</v>
      </c>
    </row>
    <row r="1001" spans="1:15" x14ac:dyDescent="0.3">
      <c r="A1001" t="s">
        <v>7387</v>
      </c>
      <c r="B1001" t="s">
        <v>7388</v>
      </c>
      <c r="C1001" t="s">
        <v>457</v>
      </c>
      <c r="D1001" t="s">
        <v>7389</v>
      </c>
      <c r="E1001" t="s">
        <v>7390</v>
      </c>
      <c r="F1001" t="s">
        <v>1611</v>
      </c>
      <c r="G1001" t="s">
        <v>5702</v>
      </c>
      <c r="H1001" t="s">
        <v>7391</v>
      </c>
      <c r="I1001">
        <f t="shared" ca="1" si="60"/>
        <v>56</v>
      </c>
      <c r="J1001" t="str">
        <f t="shared" ca="1" si="61"/>
        <v>50-59</v>
      </c>
      <c r="K1001">
        <v>65975.929999999993</v>
      </c>
      <c r="L1001" t="str">
        <f>IF(Workforce[[#This Row],[Salary]]&lt;50000,"30k-49k",IF(Workforce[[#This Row],[Salary]]&lt;70000,"50k-69k",IF(Workforce[[#This Row],[Salary]]&lt;90000,"70k-89k","90k+")))</f>
        <v>50k-69k</v>
      </c>
      <c r="M1001" t="s">
        <v>7392</v>
      </c>
      <c r="N1001">
        <f t="shared" ca="1" si="62"/>
        <v>10</v>
      </c>
      <c r="O1001" t="str">
        <f t="shared" ca="1" si="63"/>
        <v>Senior level</v>
      </c>
    </row>
    <row r="1002" spans="1:15" x14ac:dyDescent="0.3">
      <c r="A1002" t="s">
        <v>7393</v>
      </c>
      <c r="B1002" t="s">
        <v>7394</v>
      </c>
      <c r="C1002" t="s">
        <v>88</v>
      </c>
      <c r="D1002" t="s">
        <v>7395</v>
      </c>
      <c r="E1002" t="s">
        <v>7396</v>
      </c>
      <c r="F1002" t="s">
        <v>5214</v>
      </c>
      <c r="G1002" t="s">
        <v>7397</v>
      </c>
      <c r="H1002" t="s">
        <v>7398</v>
      </c>
      <c r="I1002">
        <f t="shared" ca="1" si="60"/>
        <v>43</v>
      </c>
      <c r="J1002" t="str">
        <f t="shared" ca="1" si="61"/>
        <v>40-49</v>
      </c>
      <c r="K1002">
        <v>79959.87</v>
      </c>
      <c r="L1002" t="str">
        <f>IF(Workforce[[#This Row],[Salary]]&lt;50000,"30k-49k",IF(Workforce[[#This Row],[Salary]]&lt;70000,"50k-69k",IF(Workforce[[#This Row],[Salary]]&lt;90000,"70k-89k","90k+")))</f>
        <v>70k-89k</v>
      </c>
      <c r="M1002" t="s">
        <v>7399</v>
      </c>
      <c r="N1002">
        <f t="shared" ca="1" si="62"/>
        <v>4</v>
      </c>
      <c r="O1002" t="str">
        <f t="shared" ca="1" si="63"/>
        <v>Intermediate level</v>
      </c>
    </row>
    <row r="1003" spans="1:15" x14ac:dyDescent="0.3">
      <c r="A1003" t="s">
        <v>7400</v>
      </c>
      <c r="B1003" t="s">
        <v>7401</v>
      </c>
      <c r="C1003" t="s">
        <v>266</v>
      </c>
      <c r="D1003" t="s">
        <v>7402</v>
      </c>
      <c r="E1003" t="s">
        <v>7403</v>
      </c>
      <c r="F1003" t="s">
        <v>1366</v>
      </c>
      <c r="G1003" t="s">
        <v>7404</v>
      </c>
      <c r="H1003" t="s">
        <v>7405</v>
      </c>
      <c r="I1003">
        <f t="shared" ca="1" si="60"/>
        <v>27</v>
      </c>
      <c r="J1003" t="str">
        <f t="shared" ca="1" si="61"/>
        <v>18-29</v>
      </c>
      <c r="K1003">
        <v>47783.82</v>
      </c>
      <c r="L1003" t="str">
        <f>IF(Workforce[[#This Row],[Salary]]&lt;50000,"30k-49k",IF(Workforce[[#This Row],[Salary]]&lt;70000,"50k-69k",IF(Workforce[[#This Row],[Salary]]&lt;90000,"70k-89k","90k+")))</f>
        <v>30k-49k</v>
      </c>
      <c r="M1003" t="s">
        <v>7406</v>
      </c>
      <c r="N1003">
        <f t="shared" ca="1" si="62"/>
        <v>7</v>
      </c>
      <c r="O1003" t="str">
        <f t="shared" ca="1" si="63"/>
        <v>Senior level</v>
      </c>
    </row>
    <row r="1004" spans="1:15" x14ac:dyDescent="0.3">
      <c r="A1004" t="s">
        <v>7407</v>
      </c>
      <c r="B1004" t="s">
        <v>7408</v>
      </c>
      <c r="C1004" t="s">
        <v>26</v>
      </c>
      <c r="D1004" t="s">
        <v>7409</v>
      </c>
      <c r="E1004" t="s">
        <v>7410</v>
      </c>
      <c r="F1004" t="s">
        <v>5501</v>
      </c>
      <c r="G1004" t="s">
        <v>7411</v>
      </c>
      <c r="H1004" t="s">
        <v>7412</v>
      </c>
      <c r="I1004">
        <f t="shared" ca="1" si="60"/>
        <v>42</v>
      </c>
      <c r="J1004" t="str">
        <f t="shared" ca="1" si="61"/>
        <v>40-49</v>
      </c>
      <c r="K1004">
        <v>34770.230000000003</v>
      </c>
      <c r="L1004" t="str">
        <f>IF(Workforce[[#This Row],[Salary]]&lt;50000,"30k-49k",IF(Workforce[[#This Row],[Salary]]&lt;70000,"50k-69k",IF(Workforce[[#This Row],[Salary]]&lt;90000,"70k-89k","90k+")))</f>
        <v>30k-49k</v>
      </c>
      <c r="M1004" t="s">
        <v>7413</v>
      </c>
      <c r="N1004">
        <f t="shared" ca="1" si="62"/>
        <v>5</v>
      </c>
      <c r="O1004" t="str">
        <f t="shared" ca="1" si="63"/>
        <v>Intermediate level</v>
      </c>
    </row>
    <row r="1005" spans="1:15" x14ac:dyDescent="0.3">
      <c r="A1005" t="s">
        <v>7414</v>
      </c>
      <c r="B1005" t="s">
        <v>7415</v>
      </c>
      <c r="C1005" t="s">
        <v>400</v>
      </c>
      <c r="D1005" t="s">
        <v>7416</v>
      </c>
      <c r="E1005" t="s">
        <v>7417</v>
      </c>
      <c r="F1005" t="s">
        <v>1186</v>
      </c>
      <c r="G1005" t="s">
        <v>7418</v>
      </c>
      <c r="H1005" t="s">
        <v>7419</v>
      </c>
      <c r="I1005">
        <f t="shared" ca="1" si="60"/>
        <v>25</v>
      </c>
      <c r="J1005" t="str">
        <f t="shared" ca="1" si="61"/>
        <v>18-29</v>
      </c>
      <c r="K1005">
        <v>69347.22</v>
      </c>
      <c r="L1005" t="str">
        <f>IF(Workforce[[#This Row],[Salary]]&lt;50000,"30k-49k",IF(Workforce[[#This Row],[Salary]]&lt;70000,"50k-69k",IF(Workforce[[#This Row],[Salary]]&lt;90000,"70k-89k","90k+")))</f>
        <v>50k-69k</v>
      </c>
      <c r="M1005" t="s">
        <v>7420</v>
      </c>
      <c r="N1005">
        <f t="shared" ca="1" si="62"/>
        <v>10</v>
      </c>
      <c r="O1005" t="str">
        <f t="shared" ca="1" si="63"/>
        <v>Senior level</v>
      </c>
    </row>
    <row r="1006" spans="1:15" x14ac:dyDescent="0.3">
      <c r="A1006" t="s">
        <v>7421</v>
      </c>
      <c r="B1006" t="s">
        <v>7422</v>
      </c>
      <c r="C1006" t="s">
        <v>1004</v>
      </c>
      <c r="D1006" t="s">
        <v>7423</v>
      </c>
      <c r="E1006" t="s">
        <v>7424</v>
      </c>
      <c r="F1006" t="s">
        <v>2282</v>
      </c>
      <c r="G1006" t="s">
        <v>7425</v>
      </c>
      <c r="H1006" t="s">
        <v>7426</v>
      </c>
      <c r="I1006">
        <f t="shared" ca="1" si="60"/>
        <v>36</v>
      </c>
      <c r="J1006" t="str">
        <f t="shared" ca="1" si="61"/>
        <v>30-39</v>
      </c>
      <c r="K1006">
        <v>78281.759999999995</v>
      </c>
      <c r="L1006" t="str">
        <f>IF(Workforce[[#This Row],[Salary]]&lt;50000,"30k-49k",IF(Workforce[[#This Row],[Salary]]&lt;70000,"50k-69k",IF(Workforce[[#This Row],[Salary]]&lt;90000,"70k-89k","90k+")))</f>
        <v>70k-89k</v>
      </c>
      <c r="M1006" t="s">
        <v>7427</v>
      </c>
      <c r="N1006">
        <f t="shared" ca="1" si="62"/>
        <v>4</v>
      </c>
      <c r="O1006" t="str">
        <f t="shared" ca="1" si="63"/>
        <v>Intermediate level</v>
      </c>
    </row>
    <row r="1007" spans="1:15" x14ac:dyDescent="0.3">
      <c r="A1007" t="s">
        <v>7428</v>
      </c>
      <c r="B1007" t="s">
        <v>7429</v>
      </c>
      <c r="C1007" t="s">
        <v>213</v>
      </c>
      <c r="D1007" t="s">
        <v>7430</v>
      </c>
      <c r="E1007" t="s">
        <v>7431</v>
      </c>
      <c r="F1007" t="s">
        <v>1022</v>
      </c>
      <c r="G1007" t="s">
        <v>7432</v>
      </c>
      <c r="H1007" t="s">
        <v>7433</v>
      </c>
      <c r="I1007">
        <f t="shared" ca="1" si="60"/>
        <v>41</v>
      </c>
      <c r="J1007" t="str">
        <f t="shared" ca="1" si="61"/>
        <v>40-49</v>
      </c>
      <c r="K1007">
        <v>119318.67</v>
      </c>
      <c r="L1007" t="str">
        <f>IF(Workforce[[#This Row],[Salary]]&lt;50000,"30k-49k",IF(Workforce[[#This Row],[Salary]]&lt;70000,"50k-69k",IF(Workforce[[#This Row],[Salary]]&lt;90000,"70k-89k","90k+")))</f>
        <v>90k+</v>
      </c>
      <c r="M1007" t="s">
        <v>7434</v>
      </c>
      <c r="N1007">
        <f t="shared" ca="1" si="62"/>
        <v>6</v>
      </c>
      <c r="O1007" t="str">
        <f t="shared" ca="1" si="63"/>
        <v>Intermediate level</v>
      </c>
    </row>
    <row r="1008" spans="1:15" x14ac:dyDescent="0.3">
      <c r="A1008" t="s">
        <v>7435</v>
      </c>
      <c r="B1008" t="s">
        <v>7436</v>
      </c>
      <c r="C1008" t="s">
        <v>2086</v>
      </c>
      <c r="D1008" t="s">
        <v>7437</v>
      </c>
      <c r="E1008" t="s">
        <v>7438</v>
      </c>
      <c r="F1008" t="s">
        <v>7439</v>
      </c>
      <c r="G1008" t="s">
        <v>2527</v>
      </c>
      <c r="H1008" t="s">
        <v>7440</v>
      </c>
      <c r="I1008">
        <f t="shared" ca="1" si="60"/>
        <v>49</v>
      </c>
      <c r="J1008" t="str">
        <f t="shared" ca="1" si="61"/>
        <v>40-49</v>
      </c>
      <c r="K1008">
        <v>82860.240000000005</v>
      </c>
      <c r="L1008" t="str">
        <f>IF(Workforce[[#This Row],[Salary]]&lt;50000,"30k-49k",IF(Workforce[[#This Row],[Salary]]&lt;70000,"50k-69k",IF(Workforce[[#This Row],[Salary]]&lt;90000,"70k-89k","90k+")))</f>
        <v>70k-89k</v>
      </c>
      <c r="M1008" t="s">
        <v>7441</v>
      </c>
      <c r="N1008">
        <f t="shared" ca="1" si="62"/>
        <v>9</v>
      </c>
      <c r="O1008" t="str">
        <f t="shared" ca="1" si="63"/>
        <v>Senior level</v>
      </c>
    </row>
    <row r="1009" spans="1:15" x14ac:dyDescent="0.3">
      <c r="A1009" t="s">
        <v>7442</v>
      </c>
      <c r="B1009" t="s">
        <v>7443</v>
      </c>
      <c r="C1009" t="s">
        <v>580</v>
      </c>
      <c r="D1009" t="s">
        <v>7444</v>
      </c>
      <c r="E1009" t="s">
        <v>7445</v>
      </c>
      <c r="F1009" t="s">
        <v>7446</v>
      </c>
      <c r="G1009" t="s">
        <v>7447</v>
      </c>
      <c r="H1009" t="s">
        <v>7448</v>
      </c>
      <c r="I1009">
        <f t="shared" ca="1" si="60"/>
        <v>31</v>
      </c>
      <c r="J1009" t="str">
        <f t="shared" ca="1" si="61"/>
        <v>30-39</v>
      </c>
      <c r="K1009">
        <v>73455.03</v>
      </c>
      <c r="L1009" t="str">
        <f>IF(Workforce[[#This Row],[Salary]]&lt;50000,"30k-49k",IF(Workforce[[#This Row],[Salary]]&lt;70000,"50k-69k",IF(Workforce[[#This Row],[Salary]]&lt;90000,"70k-89k","90k+")))</f>
        <v>70k-89k</v>
      </c>
      <c r="M1009" t="s">
        <v>7449</v>
      </c>
      <c r="N1009">
        <f t="shared" ca="1" si="62"/>
        <v>5</v>
      </c>
      <c r="O1009" t="str">
        <f t="shared" ca="1" si="63"/>
        <v>Intermediate level</v>
      </c>
    </row>
    <row r="1010" spans="1:15" x14ac:dyDescent="0.3">
      <c r="A1010" t="s">
        <v>3122</v>
      </c>
      <c r="B1010" t="s">
        <v>7450</v>
      </c>
      <c r="C1010" t="s">
        <v>240</v>
      </c>
      <c r="D1010" t="s">
        <v>7451</v>
      </c>
      <c r="E1010" t="s">
        <v>7452</v>
      </c>
      <c r="F1010" t="s">
        <v>199</v>
      </c>
      <c r="G1010" t="s">
        <v>7453</v>
      </c>
      <c r="H1010" t="s">
        <v>7454</v>
      </c>
      <c r="I1010">
        <f t="shared" ca="1" si="60"/>
        <v>24</v>
      </c>
      <c r="J1010" t="str">
        <f t="shared" ca="1" si="61"/>
        <v>18-29</v>
      </c>
      <c r="K1010">
        <v>114913.14</v>
      </c>
      <c r="L1010" t="str">
        <f>IF(Workforce[[#This Row],[Salary]]&lt;50000,"30k-49k",IF(Workforce[[#This Row],[Salary]]&lt;70000,"50k-69k",IF(Workforce[[#This Row],[Salary]]&lt;90000,"70k-89k","90k+")))</f>
        <v>90k+</v>
      </c>
      <c r="M1010" t="s">
        <v>7455</v>
      </c>
      <c r="N1010">
        <f t="shared" ca="1" si="62"/>
        <v>10</v>
      </c>
      <c r="O1010" t="str">
        <f t="shared" ca="1" si="63"/>
        <v>Senior level</v>
      </c>
    </row>
    <row r="1011" spans="1:15" x14ac:dyDescent="0.3">
      <c r="A1011" t="s">
        <v>7456</v>
      </c>
      <c r="B1011" t="s">
        <v>7457</v>
      </c>
      <c r="C1011" t="s">
        <v>2086</v>
      </c>
      <c r="D1011" t="s">
        <v>7458</v>
      </c>
      <c r="E1011" t="s">
        <v>7459</v>
      </c>
      <c r="F1011" t="s">
        <v>476</v>
      </c>
      <c r="G1011" t="s">
        <v>7460</v>
      </c>
      <c r="H1011" t="s">
        <v>7461</v>
      </c>
      <c r="I1011">
        <f t="shared" ca="1" si="60"/>
        <v>65</v>
      </c>
      <c r="J1011" t="str">
        <f t="shared" ca="1" si="61"/>
        <v>60+</v>
      </c>
      <c r="K1011">
        <v>50990.22</v>
      </c>
      <c r="L1011" t="str">
        <f>IF(Workforce[[#This Row],[Salary]]&lt;50000,"30k-49k",IF(Workforce[[#This Row],[Salary]]&lt;70000,"50k-69k",IF(Workforce[[#This Row],[Salary]]&lt;90000,"70k-89k","90k+")))</f>
        <v>50k-69k</v>
      </c>
      <c r="M1011" t="s">
        <v>7462</v>
      </c>
      <c r="N1011">
        <f t="shared" ca="1" si="62"/>
        <v>3</v>
      </c>
      <c r="O1011" t="str">
        <f t="shared" ca="1" si="63"/>
        <v>Intermediate level</v>
      </c>
    </row>
    <row r="1012" spans="1:15" x14ac:dyDescent="0.3">
      <c r="A1012" t="s">
        <v>7463</v>
      </c>
      <c r="B1012" t="s">
        <v>7464</v>
      </c>
      <c r="C1012" t="s">
        <v>604</v>
      </c>
      <c r="D1012" t="s">
        <v>7465</v>
      </c>
      <c r="E1012" t="s">
        <v>7466</v>
      </c>
      <c r="F1012" t="s">
        <v>5126</v>
      </c>
      <c r="G1012" t="s">
        <v>7467</v>
      </c>
      <c r="H1012" t="s">
        <v>7468</v>
      </c>
      <c r="I1012">
        <f t="shared" ca="1" si="60"/>
        <v>46</v>
      </c>
      <c r="J1012" t="str">
        <f t="shared" ca="1" si="61"/>
        <v>40-49</v>
      </c>
      <c r="K1012">
        <v>81652.81</v>
      </c>
      <c r="L1012" t="str">
        <f>IF(Workforce[[#This Row],[Salary]]&lt;50000,"30k-49k",IF(Workforce[[#This Row],[Salary]]&lt;70000,"50k-69k",IF(Workforce[[#This Row],[Salary]]&lt;90000,"70k-89k","90k+")))</f>
        <v>70k-89k</v>
      </c>
      <c r="M1012" t="s">
        <v>7469</v>
      </c>
      <c r="N1012">
        <f t="shared" ca="1" si="62"/>
        <v>8</v>
      </c>
      <c r="O1012" t="str">
        <f t="shared" ca="1" si="63"/>
        <v>Senior level</v>
      </c>
    </row>
    <row r="1013" spans="1:15" x14ac:dyDescent="0.3">
      <c r="A1013" t="s">
        <v>7470</v>
      </c>
      <c r="B1013" t="s">
        <v>7471</v>
      </c>
      <c r="C1013" t="s">
        <v>240</v>
      </c>
      <c r="D1013" t="s">
        <v>7472</v>
      </c>
      <c r="E1013" t="s">
        <v>7473</v>
      </c>
      <c r="F1013" t="s">
        <v>4502</v>
      </c>
      <c r="G1013" t="s">
        <v>7474</v>
      </c>
      <c r="H1013" t="s">
        <v>227</v>
      </c>
      <c r="I1013">
        <f t="shared" ca="1" si="60"/>
        <v>59</v>
      </c>
      <c r="J1013" t="str">
        <f t="shared" ca="1" si="61"/>
        <v>50-59</v>
      </c>
      <c r="K1013">
        <v>111746.72</v>
      </c>
      <c r="L1013" t="str">
        <f>IF(Workforce[[#This Row],[Salary]]&lt;50000,"30k-49k",IF(Workforce[[#This Row],[Salary]]&lt;70000,"50k-69k",IF(Workforce[[#This Row],[Salary]]&lt;90000,"70k-89k","90k+")))</f>
        <v>90k+</v>
      </c>
      <c r="M1013" t="s">
        <v>7475</v>
      </c>
      <c r="N1013">
        <f t="shared" ca="1" si="62"/>
        <v>1</v>
      </c>
      <c r="O1013" t="str">
        <f t="shared" ca="1" si="63"/>
        <v>Beginner</v>
      </c>
    </row>
    <row r="1014" spans="1:15" x14ac:dyDescent="0.3">
      <c r="A1014" t="s">
        <v>7476</v>
      </c>
      <c r="B1014" t="s">
        <v>7477</v>
      </c>
      <c r="C1014" t="s">
        <v>61</v>
      </c>
      <c r="D1014" t="s">
        <v>7478</v>
      </c>
      <c r="E1014" t="s">
        <v>7479</v>
      </c>
      <c r="F1014" t="s">
        <v>3111</v>
      </c>
      <c r="G1014" t="s">
        <v>7480</v>
      </c>
      <c r="H1014" t="s">
        <v>7481</v>
      </c>
      <c r="I1014">
        <f t="shared" ca="1" si="60"/>
        <v>45</v>
      </c>
      <c r="J1014" t="str">
        <f t="shared" ca="1" si="61"/>
        <v>40-49</v>
      </c>
      <c r="K1014">
        <v>83237.52</v>
      </c>
      <c r="L1014" t="str">
        <f>IF(Workforce[[#This Row],[Salary]]&lt;50000,"30k-49k",IF(Workforce[[#This Row],[Salary]]&lt;70000,"50k-69k",IF(Workforce[[#This Row],[Salary]]&lt;90000,"70k-89k","90k+")))</f>
        <v>70k-89k</v>
      </c>
      <c r="M1014" t="s">
        <v>7482</v>
      </c>
      <c r="N1014">
        <f t="shared" ca="1" si="62"/>
        <v>10</v>
      </c>
      <c r="O1014" t="str">
        <f t="shared" ca="1" si="63"/>
        <v>Senior level</v>
      </c>
    </row>
    <row r="1015" spans="1:15" x14ac:dyDescent="0.3">
      <c r="A1015" t="s">
        <v>7483</v>
      </c>
      <c r="B1015" t="s">
        <v>7484</v>
      </c>
      <c r="C1015" t="s">
        <v>196</v>
      </c>
      <c r="D1015" t="s">
        <v>7485</v>
      </c>
      <c r="E1015" t="s">
        <v>7486</v>
      </c>
      <c r="F1015" t="s">
        <v>7487</v>
      </c>
      <c r="G1015" t="s">
        <v>7488</v>
      </c>
      <c r="H1015" t="s">
        <v>7489</v>
      </c>
      <c r="I1015">
        <f t="shared" ca="1" si="60"/>
        <v>66</v>
      </c>
      <c r="J1015" t="str">
        <f t="shared" ca="1" si="61"/>
        <v>60+</v>
      </c>
      <c r="K1015">
        <v>50356.36</v>
      </c>
      <c r="L1015" t="str">
        <f>IF(Workforce[[#This Row],[Salary]]&lt;50000,"30k-49k",IF(Workforce[[#This Row],[Salary]]&lt;70000,"50k-69k",IF(Workforce[[#This Row],[Salary]]&lt;90000,"70k-89k","90k+")))</f>
        <v>50k-69k</v>
      </c>
      <c r="M1015" t="s">
        <v>7490</v>
      </c>
      <c r="N1015">
        <f t="shared" ca="1" si="62"/>
        <v>5</v>
      </c>
      <c r="O1015" t="str">
        <f t="shared" ca="1" si="63"/>
        <v>Intermediate level</v>
      </c>
    </row>
    <row r="1016" spans="1:15" x14ac:dyDescent="0.3">
      <c r="A1016" t="s">
        <v>7491</v>
      </c>
      <c r="B1016" t="s">
        <v>7492</v>
      </c>
      <c r="C1016" t="s">
        <v>748</v>
      </c>
      <c r="D1016" t="s">
        <v>7493</v>
      </c>
      <c r="E1016" t="s">
        <v>7494</v>
      </c>
      <c r="F1016" t="s">
        <v>1249</v>
      </c>
      <c r="G1016" t="s">
        <v>7495</v>
      </c>
      <c r="H1016" t="s">
        <v>7496</v>
      </c>
      <c r="I1016">
        <f t="shared" ca="1" si="60"/>
        <v>41</v>
      </c>
      <c r="J1016" t="str">
        <f t="shared" ca="1" si="61"/>
        <v>40-49</v>
      </c>
      <c r="K1016">
        <v>52139.46</v>
      </c>
      <c r="L1016" t="str">
        <f>IF(Workforce[[#This Row],[Salary]]&lt;50000,"30k-49k",IF(Workforce[[#This Row],[Salary]]&lt;70000,"50k-69k",IF(Workforce[[#This Row],[Salary]]&lt;90000,"70k-89k","90k+")))</f>
        <v>50k-69k</v>
      </c>
      <c r="M1016" t="s">
        <v>7497</v>
      </c>
      <c r="N1016">
        <f t="shared" ca="1" si="62"/>
        <v>5</v>
      </c>
      <c r="O1016" t="str">
        <f t="shared" ca="1" si="63"/>
        <v>Intermediate level</v>
      </c>
    </row>
    <row r="1017" spans="1:15" x14ac:dyDescent="0.3">
      <c r="A1017" t="s">
        <v>7498</v>
      </c>
      <c r="B1017" t="s">
        <v>7499</v>
      </c>
      <c r="C1017" t="s">
        <v>1159</v>
      </c>
      <c r="D1017" t="s">
        <v>7500</v>
      </c>
      <c r="E1017" t="s">
        <v>7501</v>
      </c>
      <c r="F1017" t="s">
        <v>1626</v>
      </c>
      <c r="G1017" t="s">
        <v>7502</v>
      </c>
      <c r="H1017" t="s">
        <v>7503</v>
      </c>
      <c r="I1017">
        <f t="shared" ca="1" si="60"/>
        <v>38</v>
      </c>
      <c r="J1017" t="str">
        <f t="shared" ca="1" si="61"/>
        <v>30-39</v>
      </c>
      <c r="K1017">
        <v>103937.12</v>
      </c>
      <c r="L1017" t="str">
        <f>IF(Workforce[[#This Row],[Salary]]&lt;50000,"30k-49k",IF(Workforce[[#This Row],[Salary]]&lt;70000,"50k-69k",IF(Workforce[[#This Row],[Salary]]&lt;90000,"70k-89k","90k+")))</f>
        <v>90k+</v>
      </c>
      <c r="M1017" t="s">
        <v>7504</v>
      </c>
      <c r="N1017">
        <f t="shared" ca="1" si="62"/>
        <v>3</v>
      </c>
      <c r="O1017" t="str">
        <f t="shared" ca="1" si="63"/>
        <v>Intermediate level</v>
      </c>
    </row>
    <row r="1018" spans="1:15" x14ac:dyDescent="0.3">
      <c r="A1018" t="s">
        <v>7505</v>
      </c>
      <c r="B1018" t="s">
        <v>7506</v>
      </c>
      <c r="C1018" t="s">
        <v>133</v>
      </c>
      <c r="D1018" t="s">
        <v>7507</v>
      </c>
      <c r="E1018" t="s">
        <v>7508</v>
      </c>
      <c r="F1018" t="s">
        <v>5010</v>
      </c>
      <c r="G1018" t="s">
        <v>7509</v>
      </c>
      <c r="H1018" t="s">
        <v>7510</v>
      </c>
      <c r="I1018">
        <f t="shared" ca="1" si="60"/>
        <v>62</v>
      </c>
      <c r="J1018" t="str">
        <f t="shared" ca="1" si="61"/>
        <v>60+</v>
      </c>
      <c r="K1018">
        <v>103188.83</v>
      </c>
      <c r="L1018" t="str">
        <f>IF(Workforce[[#This Row],[Salary]]&lt;50000,"30k-49k",IF(Workforce[[#This Row],[Salary]]&lt;70000,"50k-69k",IF(Workforce[[#This Row],[Salary]]&lt;90000,"70k-89k","90k+")))</f>
        <v>90k+</v>
      </c>
      <c r="M1018" t="s">
        <v>5465</v>
      </c>
      <c r="N1018">
        <f t="shared" ca="1" si="62"/>
        <v>7</v>
      </c>
      <c r="O1018" t="str">
        <f t="shared" ca="1" si="63"/>
        <v>Senior level</v>
      </c>
    </row>
    <row r="1019" spans="1:15" x14ac:dyDescent="0.3">
      <c r="A1019" t="s">
        <v>7511</v>
      </c>
      <c r="B1019" t="s">
        <v>7512</v>
      </c>
      <c r="C1019" t="s">
        <v>774</v>
      </c>
      <c r="D1019" t="s">
        <v>7513</v>
      </c>
      <c r="E1019" t="s">
        <v>7514</v>
      </c>
      <c r="F1019" t="s">
        <v>5214</v>
      </c>
      <c r="G1019" t="s">
        <v>7515</v>
      </c>
      <c r="H1019" t="s">
        <v>7516</v>
      </c>
      <c r="I1019">
        <f t="shared" ca="1" si="60"/>
        <v>28</v>
      </c>
      <c r="J1019" t="str">
        <f t="shared" ca="1" si="61"/>
        <v>18-29</v>
      </c>
      <c r="K1019">
        <v>83645.62</v>
      </c>
      <c r="L1019" t="str">
        <f>IF(Workforce[[#This Row],[Salary]]&lt;50000,"30k-49k",IF(Workforce[[#This Row],[Salary]]&lt;70000,"50k-69k",IF(Workforce[[#This Row],[Salary]]&lt;90000,"70k-89k","90k+")))</f>
        <v>70k-89k</v>
      </c>
      <c r="M1019" t="s">
        <v>7517</v>
      </c>
      <c r="N1019">
        <f t="shared" ca="1" si="62"/>
        <v>3</v>
      </c>
      <c r="O1019" t="str">
        <f t="shared" ca="1" si="63"/>
        <v>Intermediate level</v>
      </c>
    </row>
    <row r="1020" spans="1:15" x14ac:dyDescent="0.3">
      <c r="A1020" t="s">
        <v>7518</v>
      </c>
      <c r="B1020" t="s">
        <v>7519</v>
      </c>
      <c r="C1020" t="s">
        <v>1159</v>
      </c>
      <c r="D1020" t="s">
        <v>7520</v>
      </c>
      <c r="E1020" t="s">
        <v>7521</v>
      </c>
      <c r="F1020" t="s">
        <v>1541</v>
      </c>
      <c r="G1020" t="s">
        <v>7522</v>
      </c>
      <c r="H1020" t="s">
        <v>7523</v>
      </c>
      <c r="I1020">
        <f t="shared" ca="1" si="60"/>
        <v>32</v>
      </c>
      <c r="J1020" t="str">
        <f t="shared" ca="1" si="61"/>
        <v>30-39</v>
      </c>
      <c r="K1020">
        <v>96806.94</v>
      </c>
      <c r="L1020" t="str">
        <f>IF(Workforce[[#This Row],[Salary]]&lt;50000,"30k-49k",IF(Workforce[[#This Row],[Salary]]&lt;70000,"50k-69k",IF(Workforce[[#This Row],[Salary]]&lt;90000,"70k-89k","90k+")))</f>
        <v>90k+</v>
      </c>
      <c r="M1020" t="s">
        <v>7524</v>
      </c>
      <c r="N1020">
        <f t="shared" ca="1" si="62"/>
        <v>8</v>
      </c>
      <c r="O1020" t="str">
        <f t="shared" ca="1" si="63"/>
        <v>Senior level</v>
      </c>
    </row>
    <row r="1021" spans="1:15" x14ac:dyDescent="0.3">
      <c r="A1021" t="s">
        <v>7525</v>
      </c>
      <c r="B1021" t="s">
        <v>7526</v>
      </c>
      <c r="C1021" t="s">
        <v>774</v>
      </c>
      <c r="D1021" t="s">
        <v>7527</v>
      </c>
      <c r="E1021" t="s">
        <v>7528</v>
      </c>
      <c r="F1021" t="s">
        <v>1841</v>
      </c>
      <c r="G1021" t="s">
        <v>7529</v>
      </c>
      <c r="H1021" t="s">
        <v>7530</v>
      </c>
      <c r="I1021">
        <f t="shared" ca="1" si="60"/>
        <v>48</v>
      </c>
      <c r="J1021" t="str">
        <f t="shared" ca="1" si="61"/>
        <v>40-49</v>
      </c>
      <c r="K1021">
        <v>98693.28</v>
      </c>
      <c r="L1021" t="str">
        <f>IF(Workforce[[#This Row],[Salary]]&lt;50000,"30k-49k",IF(Workforce[[#This Row],[Salary]]&lt;70000,"50k-69k",IF(Workforce[[#This Row],[Salary]]&lt;90000,"70k-89k","90k+")))</f>
        <v>90k+</v>
      </c>
      <c r="M1021" t="s">
        <v>323</v>
      </c>
      <c r="N1021">
        <f t="shared" ca="1" si="62"/>
        <v>6</v>
      </c>
      <c r="O1021" t="str">
        <f t="shared" ca="1" si="63"/>
        <v>Intermediate level</v>
      </c>
    </row>
    <row r="1022" spans="1:15" x14ac:dyDescent="0.3">
      <c r="A1022" t="s">
        <v>7531</v>
      </c>
      <c r="B1022" t="s">
        <v>7532</v>
      </c>
      <c r="C1022" t="s">
        <v>169</v>
      </c>
      <c r="D1022" t="s">
        <v>7533</v>
      </c>
      <c r="E1022" t="s">
        <v>7534</v>
      </c>
      <c r="F1022" t="s">
        <v>1596</v>
      </c>
      <c r="G1022" t="s">
        <v>7535</v>
      </c>
      <c r="H1022" t="s">
        <v>7536</v>
      </c>
      <c r="I1022">
        <f t="shared" ca="1" si="60"/>
        <v>21</v>
      </c>
      <c r="J1022" t="str">
        <f t="shared" ca="1" si="61"/>
        <v>18-29</v>
      </c>
      <c r="K1022">
        <v>98638.19</v>
      </c>
      <c r="L1022" t="str">
        <f>IF(Workforce[[#This Row],[Salary]]&lt;50000,"30k-49k",IF(Workforce[[#This Row],[Salary]]&lt;70000,"50k-69k",IF(Workforce[[#This Row],[Salary]]&lt;90000,"70k-89k","90k+")))</f>
        <v>90k+</v>
      </c>
      <c r="M1022" t="s">
        <v>4339</v>
      </c>
      <c r="N1022">
        <f t="shared" ca="1" si="62"/>
        <v>2</v>
      </c>
      <c r="O1022" t="str">
        <f t="shared" ca="1" si="63"/>
        <v>Beginner</v>
      </c>
    </row>
    <row r="1023" spans="1:15" x14ac:dyDescent="0.3">
      <c r="A1023" t="s">
        <v>7537</v>
      </c>
      <c r="B1023" t="s">
        <v>7538</v>
      </c>
      <c r="C1023" t="s">
        <v>231</v>
      </c>
      <c r="D1023" t="s">
        <v>7539</v>
      </c>
      <c r="E1023" t="s">
        <v>7540</v>
      </c>
      <c r="F1023" t="s">
        <v>7356</v>
      </c>
      <c r="G1023" t="s">
        <v>7541</v>
      </c>
      <c r="H1023" t="s">
        <v>7542</v>
      </c>
      <c r="I1023">
        <f t="shared" ca="1" si="60"/>
        <v>19</v>
      </c>
      <c r="J1023" t="str">
        <f t="shared" ca="1" si="61"/>
        <v>18-29</v>
      </c>
      <c r="K1023">
        <v>55283.74</v>
      </c>
      <c r="L1023" t="str">
        <f>IF(Workforce[[#This Row],[Salary]]&lt;50000,"30k-49k",IF(Workforce[[#This Row],[Salary]]&lt;70000,"50k-69k",IF(Workforce[[#This Row],[Salary]]&lt;90000,"70k-89k","90k+")))</f>
        <v>50k-69k</v>
      </c>
      <c r="M1023" t="s">
        <v>7543</v>
      </c>
      <c r="N1023">
        <f t="shared" ca="1" si="62"/>
        <v>3</v>
      </c>
      <c r="O1023" t="str">
        <f t="shared" ca="1" si="63"/>
        <v>Intermediate level</v>
      </c>
    </row>
    <row r="1024" spans="1:15" x14ac:dyDescent="0.3">
      <c r="A1024" t="s">
        <v>7544</v>
      </c>
      <c r="B1024" t="s">
        <v>7545</v>
      </c>
      <c r="C1024" t="s">
        <v>604</v>
      </c>
      <c r="D1024" t="s">
        <v>7546</v>
      </c>
      <c r="E1024" t="s">
        <v>7547</v>
      </c>
      <c r="F1024" t="s">
        <v>2975</v>
      </c>
      <c r="G1024" t="s">
        <v>7548</v>
      </c>
      <c r="H1024" t="s">
        <v>7549</v>
      </c>
      <c r="I1024">
        <f t="shared" ca="1" si="60"/>
        <v>38</v>
      </c>
      <c r="J1024" t="str">
        <f t="shared" ca="1" si="61"/>
        <v>30-39</v>
      </c>
      <c r="K1024">
        <v>34834.980000000003</v>
      </c>
      <c r="L1024" t="str">
        <f>IF(Workforce[[#This Row],[Salary]]&lt;50000,"30k-49k",IF(Workforce[[#This Row],[Salary]]&lt;70000,"50k-69k",IF(Workforce[[#This Row],[Salary]]&lt;90000,"70k-89k","90k+")))</f>
        <v>30k-49k</v>
      </c>
      <c r="M1024" t="s">
        <v>3451</v>
      </c>
      <c r="N1024">
        <f t="shared" ca="1" si="62"/>
        <v>3</v>
      </c>
      <c r="O1024" t="str">
        <f t="shared" ca="1" si="63"/>
        <v>Intermediate level</v>
      </c>
    </row>
    <row r="1025" spans="1:15" x14ac:dyDescent="0.3">
      <c r="A1025" t="s">
        <v>7550</v>
      </c>
      <c r="B1025" t="s">
        <v>7551</v>
      </c>
      <c r="C1025" t="s">
        <v>774</v>
      </c>
      <c r="D1025" t="s">
        <v>7552</v>
      </c>
      <c r="E1025" t="s">
        <v>7553</v>
      </c>
      <c r="F1025" t="s">
        <v>6585</v>
      </c>
      <c r="G1025" t="s">
        <v>7554</v>
      </c>
      <c r="H1025" t="s">
        <v>7555</v>
      </c>
      <c r="I1025">
        <f t="shared" ca="1" si="60"/>
        <v>66</v>
      </c>
      <c r="J1025" t="str">
        <f t="shared" ca="1" si="61"/>
        <v>60+</v>
      </c>
      <c r="K1025">
        <v>72534.14</v>
      </c>
      <c r="L1025" t="str">
        <f>IF(Workforce[[#This Row],[Salary]]&lt;50000,"30k-49k",IF(Workforce[[#This Row],[Salary]]&lt;70000,"50k-69k",IF(Workforce[[#This Row],[Salary]]&lt;90000,"70k-89k","90k+")))</f>
        <v>70k-89k</v>
      </c>
      <c r="M1025" t="s">
        <v>7556</v>
      </c>
      <c r="N1025">
        <f t="shared" ca="1" si="62"/>
        <v>7</v>
      </c>
      <c r="O1025" t="str">
        <f t="shared" ca="1" si="63"/>
        <v>Senior level</v>
      </c>
    </row>
    <row r="1026" spans="1:15" x14ac:dyDescent="0.3">
      <c r="A1026" t="s">
        <v>7557</v>
      </c>
      <c r="B1026" t="s">
        <v>7558</v>
      </c>
      <c r="C1026" t="s">
        <v>61</v>
      </c>
      <c r="D1026" t="s">
        <v>7559</v>
      </c>
      <c r="E1026" t="s">
        <v>7560</v>
      </c>
      <c r="F1026" t="s">
        <v>2592</v>
      </c>
      <c r="G1026" t="s">
        <v>7561</v>
      </c>
      <c r="H1026" t="s">
        <v>7562</v>
      </c>
      <c r="I1026">
        <f t="shared" ref="I1026:I1089" ca="1" si="64">DATEDIF(H1026,TODAY(),"y")</f>
        <v>39</v>
      </c>
      <c r="J1026" t="str">
        <f t="shared" ref="J1026:J1089" ca="1" si="65">IF(I1026&lt;30,"18-29",IF(I1026&lt;40,"30-39",IF(I1026&lt;50,"40-49",IF(I1026&lt;60,"50-59","60+"))))</f>
        <v>30-39</v>
      </c>
      <c r="K1026">
        <v>84219.18</v>
      </c>
      <c r="L1026" t="str">
        <f>IF(Workforce[[#This Row],[Salary]]&lt;50000,"30k-49k",IF(Workforce[[#This Row],[Salary]]&lt;70000,"50k-69k",IF(Workforce[[#This Row],[Salary]]&lt;90000,"70k-89k","90k+")))</f>
        <v>70k-89k</v>
      </c>
      <c r="M1026" t="s">
        <v>7563</v>
      </c>
      <c r="N1026">
        <f t="shared" ref="N1026:N1089" ca="1" si="66">DATEDIF(M1026,TODAY(),"y")</f>
        <v>4</v>
      </c>
      <c r="O1026" t="str">
        <f t="shared" ref="O1026:O1089" ca="1" si="67">IF(N1026&lt;=2,"Beginner",IF(N1026&lt;=6,"Intermediate level","Senior level"))</f>
        <v>Intermediate level</v>
      </c>
    </row>
    <row r="1027" spans="1:15" x14ac:dyDescent="0.3">
      <c r="A1027" t="s">
        <v>7564</v>
      </c>
      <c r="B1027" t="s">
        <v>7565</v>
      </c>
      <c r="C1027" t="s">
        <v>774</v>
      </c>
      <c r="D1027" t="s">
        <v>7566</v>
      </c>
      <c r="E1027" t="s">
        <v>7567</v>
      </c>
      <c r="F1027" t="s">
        <v>4654</v>
      </c>
      <c r="G1027" t="s">
        <v>7568</v>
      </c>
      <c r="H1027" t="s">
        <v>7569</v>
      </c>
      <c r="I1027">
        <f t="shared" ca="1" si="64"/>
        <v>33</v>
      </c>
      <c r="J1027" t="str">
        <f t="shared" ca="1" si="65"/>
        <v>30-39</v>
      </c>
      <c r="K1027">
        <v>110842.82</v>
      </c>
      <c r="L1027" t="str">
        <f>IF(Workforce[[#This Row],[Salary]]&lt;50000,"30k-49k",IF(Workforce[[#This Row],[Salary]]&lt;70000,"50k-69k",IF(Workforce[[#This Row],[Salary]]&lt;90000,"70k-89k","90k+")))</f>
        <v>90k+</v>
      </c>
      <c r="M1027" t="s">
        <v>7570</v>
      </c>
      <c r="N1027">
        <f t="shared" ca="1" si="66"/>
        <v>6</v>
      </c>
      <c r="O1027" t="str">
        <f t="shared" ca="1" si="67"/>
        <v>Intermediate level</v>
      </c>
    </row>
    <row r="1028" spans="1:15" x14ac:dyDescent="0.3">
      <c r="A1028" t="s">
        <v>7571</v>
      </c>
      <c r="B1028" t="s">
        <v>7572</v>
      </c>
      <c r="C1028" t="s">
        <v>196</v>
      </c>
      <c r="D1028" t="s">
        <v>7573</v>
      </c>
      <c r="E1028" t="s">
        <v>7574</v>
      </c>
      <c r="F1028" t="s">
        <v>5307</v>
      </c>
      <c r="G1028" t="s">
        <v>7575</v>
      </c>
      <c r="H1028" t="s">
        <v>7576</v>
      </c>
      <c r="I1028">
        <f t="shared" ca="1" si="64"/>
        <v>53</v>
      </c>
      <c r="J1028" t="str">
        <f t="shared" ca="1" si="65"/>
        <v>50-59</v>
      </c>
      <c r="K1028">
        <v>117038.96</v>
      </c>
      <c r="L1028" t="str">
        <f>IF(Workforce[[#This Row],[Salary]]&lt;50000,"30k-49k",IF(Workforce[[#This Row],[Salary]]&lt;70000,"50k-69k",IF(Workforce[[#This Row],[Salary]]&lt;90000,"70k-89k","90k+")))</f>
        <v>90k+</v>
      </c>
      <c r="M1028" t="s">
        <v>7577</v>
      </c>
      <c r="N1028">
        <f t="shared" ca="1" si="66"/>
        <v>2</v>
      </c>
      <c r="O1028" t="str">
        <f t="shared" ca="1" si="67"/>
        <v>Beginner</v>
      </c>
    </row>
    <row r="1029" spans="1:15" x14ac:dyDescent="0.3">
      <c r="A1029" t="s">
        <v>7578</v>
      </c>
      <c r="B1029" t="s">
        <v>7579</v>
      </c>
      <c r="C1029" t="s">
        <v>482</v>
      </c>
      <c r="D1029" t="s">
        <v>7580</v>
      </c>
      <c r="E1029" t="s">
        <v>7581</v>
      </c>
      <c r="F1029" t="s">
        <v>7582</v>
      </c>
      <c r="G1029" t="s">
        <v>7583</v>
      </c>
      <c r="H1029" t="s">
        <v>7584</v>
      </c>
      <c r="I1029">
        <f t="shared" ca="1" si="64"/>
        <v>44</v>
      </c>
      <c r="J1029" t="str">
        <f t="shared" ca="1" si="65"/>
        <v>40-49</v>
      </c>
      <c r="K1029">
        <v>55994.83</v>
      </c>
      <c r="L1029" t="str">
        <f>IF(Workforce[[#This Row],[Salary]]&lt;50000,"30k-49k",IF(Workforce[[#This Row],[Salary]]&lt;70000,"50k-69k",IF(Workforce[[#This Row],[Salary]]&lt;90000,"70k-89k","90k+")))</f>
        <v>50k-69k</v>
      </c>
      <c r="M1029" t="s">
        <v>7585</v>
      </c>
      <c r="N1029">
        <f t="shared" ca="1" si="66"/>
        <v>1</v>
      </c>
      <c r="O1029" t="str">
        <f t="shared" ca="1" si="67"/>
        <v>Beginner</v>
      </c>
    </row>
    <row r="1030" spans="1:15" x14ac:dyDescent="0.3">
      <c r="A1030" t="s">
        <v>7586</v>
      </c>
      <c r="B1030" t="s">
        <v>7587</v>
      </c>
      <c r="C1030" t="s">
        <v>580</v>
      </c>
      <c r="D1030" t="s">
        <v>7588</v>
      </c>
      <c r="E1030" t="s">
        <v>7589</v>
      </c>
      <c r="F1030" t="s">
        <v>7590</v>
      </c>
      <c r="G1030" t="s">
        <v>7591</v>
      </c>
      <c r="H1030" t="s">
        <v>7592</v>
      </c>
      <c r="I1030">
        <f t="shared" ca="1" si="64"/>
        <v>50</v>
      </c>
      <c r="J1030" t="str">
        <f t="shared" ca="1" si="65"/>
        <v>50-59</v>
      </c>
      <c r="K1030">
        <v>47894.34</v>
      </c>
      <c r="L1030" t="str">
        <f>IF(Workforce[[#This Row],[Salary]]&lt;50000,"30k-49k",IF(Workforce[[#This Row],[Salary]]&lt;70000,"50k-69k",IF(Workforce[[#This Row],[Salary]]&lt;90000,"70k-89k","90k+")))</f>
        <v>30k-49k</v>
      </c>
      <c r="M1030" t="s">
        <v>7593</v>
      </c>
      <c r="N1030">
        <f t="shared" ca="1" si="66"/>
        <v>4</v>
      </c>
      <c r="O1030" t="str">
        <f t="shared" ca="1" si="67"/>
        <v>Intermediate level</v>
      </c>
    </row>
    <row r="1031" spans="1:15" x14ac:dyDescent="0.3">
      <c r="A1031" t="s">
        <v>6128</v>
      </c>
      <c r="B1031" t="s">
        <v>7594</v>
      </c>
      <c r="C1031" t="s">
        <v>539</v>
      </c>
      <c r="D1031" t="s">
        <v>7595</v>
      </c>
      <c r="E1031" t="s">
        <v>7596</v>
      </c>
      <c r="F1031" t="s">
        <v>1194</v>
      </c>
      <c r="G1031" t="s">
        <v>7597</v>
      </c>
      <c r="H1031" t="s">
        <v>7598</v>
      </c>
      <c r="I1031">
        <f t="shared" ca="1" si="64"/>
        <v>56</v>
      </c>
      <c r="J1031" t="str">
        <f t="shared" ca="1" si="65"/>
        <v>50-59</v>
      </c>
      <c r="K1031">
        <v>49337.87</v>
      </c>
      <c r="L1031" t="str">
        <f>IF(Workforce[[#This Row],[Salary]]&lt;50000,"30k-49k",IF(Workforce[[#This Row],[Salary]]&lt;70000,"50k-69k",IF(Workforce[[#This Row],[Salary]]&lt;90000,"70k-89k","90k+")))</f>
        <v>30k-49k</v>
      </c>
      <c r="M1031" t="s">
        <v>7599</v>
      </c>
      <c r="N1031">
        <f t="shared" ca="1" si="66"/>
        <v>4</v>
      </c>
      <c r="O1031" t="str">
        <f t="shared" ca="1" si="67"/>
        <v>Intermediate level</v>
      </c>
    </row>
    <row r="1032" spans="1:15" x14ac:dyDescent="0.3">
      <c r="A1032" t="s">
        <v>7600</v>
      </c>
      <c r="B1032" t="s">
        <v>7601</v>
      </c>
      <c r="C1032" t="s">
        <v>133</v>
      </c>
      <c r="D1032" t="s">
        <v>7602</v>
      </c>
      <c r="E1032" t="s">
        <v>7603</v>
      </c>
      <c r="F1032" t="s">
        <v>1061</v>
      </c>
      <c r="G1032" t="s">
        <v>7604</v>
      </c>
      <c r="H1032" t="s">
        <v>7605</v>
      </c>
      <c r="I1032">
        <f t="shared" ca="1" si="64"/>
        <v>63</v>
      </c>
      <c r="J1032" t="str">
        <f t="shared" ca="1" si="65"/>
        <v>60+</v>
      </c>
      <c r="K1032">
        <v>116498.62</v>
      </c>
      <c r="L1032" t="str">
        <f>IF(Workforce[[#This Row],[Salary]]&lt;50000,"30k-49k",IF(Workforce[[#This Row],[Salary]]&lt;70000,"50k-69k",IF(Workforce[[#This Row],[Salary]]&lt;90000,"70k-89k","90k+")))</f>
        <v>90k+</v>
      </c>
      <c r="M1032" t="s">
        <v>7606</v>
      </c>
      <c r="N1032">
        <f t="shared" ca="1" si="66"/>
        <v>8</v>
      </c>
      <c r="O1032" t="str">
        <f t="shared" ca="1" si="67"/>
        <v>Senior level</v>
      </c>
    </row>
    <row r="1033" spans="1:15" x14ac:dyDescent="0.3">
      <c r="A1033" t="s">
        <v>7607</v>
      </c>
      <c r="B1033" t="s">
        <v>7608</v>
      </c>
      <c r="C1033" t="s">
        <v>222</v>
      </c>
      <c r="D1033" t="s">
        <v>7609</v>
      </c>
      <c r="E1033" t="s">
        <v>7610</v>
      </c>
      <c r="F1033" t="s">
        <v>2653</v>
      </c>
      <c r="G1033" t="s">
        <v>7611</v>
      </c>
      <c r="H1033" t="s">
        <v>7612</v>
      </c>
      <c r="I1033">
        <f t="shared" ca="1" si="64"/>
        <v>20</v>
      </c>
      <c r="J1033" t="str">
        <f t="shared" ca="1" si="65"/>
        <v>18-29</v>
      </c>
      <c r="K1033">
        <v>53300.33</v>
      </c>
      <c r="L1033" t="str">
        <f>IF(Workforce[[#This Row],[Salary]]&lt;50000,"30k-49k",IF(Workforce[[#This Row],[Salary]]&lt;70000,"50k-69k",IF(Workforce[[#This Row],[Salary]]&lt;90000,"70k-89k","90k+")))</f>
        <v>50k-69k</v>
      </c>
      <c r="M1033" t="s">
        <v>7613</v>
      </c>
      <c r="N1033">
        <f t="shared" ca="1" si="66"/>
        <v>3</v>
      </c>
      <c r="O1033" t="str">
        <f t="shared" ca="1" si="67"/>
        <v>Intermediate level</v>
      </c>
    </row>
    <row r="1034" spans="1:15" x14ac:dyDescent="0.3">
      <c r="A1034" t="s">
        <v>7614</v>
      </c>
      <c r="B1034" t="s">
        <v>7615</v>
      </c>
      <c r="C1034" t="s">
        <v>106</v>
      </c>
      <c r="D1034" t="s">
        <v>7616</v>
      </c>
      <c r="E1034" t="s">
        <v>7617</v>
      </c>
      <c r="F1034" t="s">
        <v>1572</v>
      </c>
      <c r="G1034" t="s">
        <v>7618</v>
      </c>
      <c r="H1034" t="s">
        <v>7619</v>
      </c>
      <c r="I1034">
        <f t="shared" ca="1" si="64"/>
        <v>53</v>
      </c>
      <c r="J1034" t="str">
        <f t="shared" ca="1" si="65"/>
        <v>50-59</v>
      </c>
      <c r="K1034">
        <v>89061.22</v>
      </c>
      <c r="L1034" t="str">
        <f>IF(Workforce[[#This Row],[Salary]]&lt;50000,"30k-49k",IF(Workforce[[#This Row],[Salary]]&lt;70000,"50k-69k",IF(Workforce[[#This Row],[Salary]]&lt;90000,"70k-89k","90k+")))</f>
        <v>70k-89k</v>
      </c>
      <c r="M1034" t="s">
        <v>7620</v>
      </c>
      <c r="N1034">
        <f t="shared" ca="1" si="66"/>
        <v>10</v>
      </c>
      <c r="O1034" t="str">
        <f t="shared" ca="1" si="67"/>
        <v>Senior level</v>
      </c>
    </row>
    <row r="1035" spans="1:15" x14ac:dyDescent="0.3">
      <c r="A1035" t="s">
        <v>7621</v>
      </c>
      <c r="B1035" t="s">
        <v>7622</v>
      </c>
      <c r="C1035" t="s">
        <v>44</v>
      </c>
      <c r="D1035" t="s">
        <v>7623</v>
      </c>
      <c r="E1035" t="s">
        <v>7624</v>
      </c>
      <c r="F1035" t="s">
        <v>5322</v>
      </c>
      <c r="G1035" t="s">
        <v>7625</v>
      </c>
      <c r="H1035" t="s">
        <v>7626</v>
      </c>
      <c r="I1035">
        <f t="shared" ca="1" si="64"/>
        <v>31</v>
      </c>
      <c r="J1035" t="str">
        <f t="shared" ca="1" si="65"/>
        <v>30-39</v>
      </c>
      <c r="K1035">
        <v>62776.49</v>
      </c>
      <c r="L1035" t="str">
        <f>IF(Workforce[[#This Row],[Salary]]&lt;50000,"30k-49k",IF(Workforce[[#This Row],[Salary]]&lt;70000,"50k-69k",IF(Workforce[[#This Row],[Salary]]&lt;90000,"70k-89k","90k+")))</f>
        <v>50k-69k</v>
      </c>
      <c r="M1035" t="s">
        <v>7627</v>
      </c>
      <c r="N1035">
        <f t="shared" ca="1" si="66"/>
        <v>7</v>
      </c>
      <c r="O1035" t="str">
        <f t="shared" ca="1" si="67"/>
        <v>Senior level</v>
      </c>
    </row>
    <row r="1036" spans="1:15" x14ac:dyDescent="0.3">
      <c r="A1036" t="s">
        <v>7628</v>
      </c>
      <c r="B1036" t="s">
        <v>7629</v>
      </c>
      <c r="C1036" t="s">
        <v>284</v>
      </c>
      <c r="D1036" t="s">
        <v>7630</v>
      </c>
      <c r="E1036" t="s">
        <v>7631</v>
      </c>
      <c r="F1036" t="s">
        <v>7632</v>
      </c>
      <c r="G1036" t="s">
        <v>7633</v>
      </c>
      <c r="H1036" t="s">
        <v>7634</v>
      </c>
      <c r="I1036">
        <f t="shared" ca="1" si="64"/>
        <v>56</v>
      </c>
      <c r="J1036" t="str">
        <f t="shared" ca="1" si="65"/>
        <v>50-59</v>
      </c>
      <c r="K1036">
        <v>90403.75</v>
      </c>
      <c r="L1036" t="str">
        <f>IF(Workforce[[#This Row],[Salary]]&lt;50000,"30k-49k",IF(Workforce[[#This Row],[Salary]]&lt;70000,"50k-69k",IF(Workforce[[#This Row],[Salary]]&lt;90000,"70k-89k","90k+")))</f>
        <v>90k+</v>
      </c>
      <c r="M1036" t="s">
        <v>7635</v>
      </c>
      <c r="N1036">
        <f t="shared" ca="1" si="66"/>
        <v>7</v>
      </c>
      <c r="O1036" t="str">
        <f t="shared" ca="1" si="67"/>
        <v>Senior level</v>
      </c>
    </row>
    <row r="1037" spans="1:15" x14ac:dyDescent="0.3">
      <c r="A1037" t="s">
        <v>7636</v>
      </c>
      <c r="B1037" t="s">
        <v>7637</v>
      </c>
      <c r="C1037" t="s">
        <v>124</v>
      </c>
      <c r="D1037" t="s">
        <v>7638</v>
      </c>
      <c r="E1037" t="s">
        <v>7639</v>
      </c>
      <c r="F1037" t="s">
        <v>855</v>
      </c>
      <c r="G1037" t="s">
        <v>7640</v>
      </c>
      <c r="H1037" t="s">
        <v>7641</v>
      </c>
      <c r="I1037">
        <f t="shared" ca="1" si="64"/>
        <v>28</v>
      </c>
      <c r="J1037" t="str">
        <f t="shared" ca="1" si="65"/>
        <v>18-29</v>
      </c>
      <c r="K1037">
        <v>45562.54</v>
      </c>
      <c r="L1037" t="str">
        <f>IF(Workforce[[#This Row],[Salary]]&lt;50000,"30k-49k",IF(Workforce[[#This Row],[Salary]]&lt;70000,"50k-69k",IF(Workforce[[#This Row],[Salary]]&lt;90000,"70k-89k","90k+")))</f>
        <v>30k-49k</v>
      </c>
      <c r="M1037" t="s">
        <v>7642</v>
      </c>
      <c r="N1037">
        <f t="shared" ca="1" si="66"/>
        <v>9</v>
      </c>
      <c r="O1037" t="str">
        <f t="shared" ca="1" si="67"/>
        <v>Senior level</v>
      </c>
    </row>
    <row r="1038" spans="1:15" x14ac:dyDescent="0.3">
      <c r="A1038" t="s">
        <v>7643</v>
      </c>
      <c r="B1038" t="s">
        <v>7644</v>
      </c>
      <c r="C1038" t="s">
        <v>61</v>
      </c>
      <c r="D1038" t="s">
        <v>7645</v>
      </c>
      <c r="E1038" t="s">
        <v>7646</v>
      </c>
      <c r="F1038" t="s">
        <v>476</v>
      </c>
      <c r="G1038" t="s">
        <v>7647</v>
      </c>
      <c r="H1038" t="s">
        <v>7648</v>
      </c>
      <c r="I1038">
        <f t="shared" ca="1" si="64"/>
        <v>27</v>
      </c>
      <c r="J1038" t="str">
        <f t="shared" ca="1" si="65"/>
        <v>18-29</v>
      </c>
      <c r="K1038">
        <v>99570.09</v>
      </c>
      <c r="L1038" t="str">
        <f>IF(Workforce[[#This Row],[Salary]]&lt;50000,"30k-49k",IF(Workforce[[#This Row],[Salary]]&lt;70000,"50k-69k",IF(Workforce[[#This Row],[Salary]]&lt;90000,"70k-89k","90k+")))</f>
        <v>90k+</v>
      </c>
      <c r="M1038" t="s">
        <v>2875</v>
      </c>
      <c r="N1038">
        <f t="shared" ca="1" si="66"/>
        <v>1</v>
      </c>
      <c r="O1038" t="str">
        <f t="shared" ca="1" si="67"/>
        <v>Beginner</v>
      </c>
    </row>
    <row r="1039" spans="1:15" x14ac:dyDescent="0.3">
      <c r="A1039" t="s">
        <v>7649</v>
      </c>
      <c r="B1039" t="s">
        <v>7650</v>
      </c>
      <c r="C1039" t="s">
        <v>335</v>
      </c>
      <c r="D1039" t="s">
        <v>7651</v>
      </c>
      <c r="E1039" t="s">
        <v>7652</v>
      </c>
      <c r="F1039" t="s">
        <v>1007</v>
      </c>
      <c r="G1039" t="s">
        <v>7653</v>
      </c>
      <c r="H1039" t="s">
        <v>7654</v>
      </c>
      <c r="I1039">
        <f t="shared" ca="1" si="64"/>
        <v>55</v>
      </c>
      <c r="J1039" t="str">
        <f t="shared" ca="1" si="65"/>
        <v>50-59</v>
      </c>
      <c r="K1039">
        <v>113205.05</v>
      </c>
      <c r="L1039" t="str">
        <f>IF(Workforce[[#This Row],[Salary]]&lt;50000,"30k-49k",IF(Workforce[[#This Row],[Salary]]&lt;70000,"50k-69k",IF(Workforce[[#This Row],[Salary]]&lt;90000,"70k-89k","90k+")))</f>
        <v>90k+</v>
      </c>
      <c r="M1039" t="s">
        <v>5661</v>
      </c>
      <c r="N1039">
        <f t="shared" ca="1" si="66"/>
        <v>9</v>
      </c>
      <c r="O1039" t="str">
        <f t="shared" ca="1" si="67"/>
        <v>Senior level</v>
      </c>
    </row>
    <row r="1040" spans="1:15" x14ac:dyDescent="0.3">
      <c r="A1040" t="s">
        <v>7655</v>
      </c>
      <c r="B1040" t="s">
        <v>7656</v>
      </c>
      <c r="C1040" t="s">
        <v>326</v>
      </c>
      <c r="D1040" t="s">
        <v>7657</v>
      </c>
      <c r="E1040" t="s">
        <v>7658</v>
      </c>
      <c r="F1040" t="s">
        <v>7659</v>
      </c>
      <c r="G1040" t="s">
        <v>7660</v>
      </c>
      <c r="H1040" t="s">
        <v>7661</v>
      </c>
      <c r="I1040">
        <f t="shared" ca="1" si="64"/>
        <v>62</v>
      </c>
      <c r="J1040" t="str">
        <f t="shared" ca="1" si="65"/>
        <v>60+</v>
      </c>
      <c r="K1040">
        <v>100700.93</v>
      </c>
      <c r="L1040" t="str">
        <f>IF(Workforce[[#This Row],[Salary]]&lt;50000,"30k-49k",IF(Workforce[[#This Row],[Salary]]&lt;70000,"50k-69k",IF(Workforce[[#This Row],[Salary]]&lt;90000,"70k-89k","90k+")))</f>
        <v>90k+</v>
      </c>
      <c r="M1040" t="s">
        <v>7662</v>
      </c>
      <c r="N1040">
        <f t="shared" ca="1" si="66"/>
        <v>1</v>
      </c>
      <c r="O1040" t="str">
        <f t="shared" ca="1" si="67"/>
        <v>Beginner</v>
      </c>
    </row>
    <row r="1041" spans="1:15" x14ac:dyDescent="0.3">
      <c r="A1041" t="s">
        <v>7663</v>
      </c>
      <c r="B1041" t="s">
        <v>7664</v>
      </c>
      <c r="C1041" t="s">
        <v>266</v>
      </c>
      <c r="D1041" t="s">
        <v>7665</v>
      </c>
      <c r="E1041" t="s">
        <v>7666</v>
      </c>
      <c r="F1041" t="s">
        <v>7667</v>
      </c>
      <c r="G1041" t="s">
        <v>7668</v>
      </c>
      <c r="H1041" t="s">
        <v>7669</v>
      </c>
      <c r="I1041">
        <f t="shared" ca="1" si="64"/>
        <v>34</v>
      </c>
      <c r="J1041" t="str">
        <f t="shared" ca="1" si="65"/>
        <v>30-39</v>
      </c>
      <c r="K1041">
        <v>69271.42</v>
      </c>
      <c r="L1041" t="str">
        <f>IF(Workforce[[#This Row],[Salary]]&lt;50000,"30k-49k",IF(Workforce[[#This Row],[Salary]]&lt;70000,"50k-69k",IF(Workforce[[#This Row],[Salary]]&lt;90000,"70k-89k","90k+")))</f>
        <v>50k-69k</v>
      </c>
      <c r="M1041" t="s">
        <v>7670</v>
      </c>
      <c r="N1041">
        <f t="shared" ca="1" si="66"/>
        <v>8</v>
      </c>
      <c r="O1041" t="str">
        <f t="shared" ca="1" si="67"/>
        <v>Senior level</v>
      </c>
    </row>
    <row r="1042" spans="1:15" x14ac:dyDescent="0.3">
      <c r="A1042" t="s">
        <v>7671</v>
      </c>
      <c r="B1042" t="s">
        <v>7672</v>
      </c>
      <c r="C1042" t="s">
        <v>115</v>
      </c>
      <c r="D1042" t="s">
        <v>7673</v>
      </c>
      <c r="E1042" t="s">
        <v>7674</v>
      </c>
      <c r="F1042" t="s">
        <v>109</v>
      </c>
      <c r="G1042" t="s">
        <v>7675</v>
      </c>
      <c r="H1042" t="s">
        <v>7676</v>
      </c>
      <c r="I1042">
        <f t="shared" ca="1" si="64"/>
        <v>46</v>
      </c>
      <c r="J1042" t="str">
        <f t="shared" ca="1" si="65"/>
        <v>40-49</v>
      </c>
      <c r="K1042">
        <v>90498.72</v>
      </c>
      <c r="L1042" t="str">
        <f>IF(Workforce[[#This Row],[Salary]]&lt;50000,"30k-49k",IF(Workforce[[#This Row],[Salary]]&lt;70000,"50k-69k",IF(Workforce[[#This Row],[Salary]]&lt;90000,"70k-89k","90k+")))</f>
        <v>90k+</v>
      </c>
      <c r="M1042" t="s">
        <v>7677</v>
      </c>
      <c r="N1042">
        <f t="shared" ca="1" si="66"/>
        <v>7</v>
      </c>
      <c r="O1042" t="str">
        <f t="shared" ca="1" si="67"/>
        <v>Senior level</v>
      </c>
    </row>
    <row r="1043" spans="1:15" x14ac:dyDescent="0.3">
      <c r="A1043" t="s">
        <v>7678</v>
      </c>
      <c r="B1043" t="s">
        <v>7679</v>
      </c>
      <c r="C1043" t="s">
        <v>17</v>
      </c>
      <c r="D1043" t="s">
        <v>7680</v>
      </c>
      <c r="E1043" t="s">
        <v>7681</v>
      </c>
      <c r="F1043" t="s">
        <v>2232</v>
      </c>
      <c r="G1043" t="s">
        <v>7682</v>
      </c>
      <c r="H1043" t="s">
        <v>7683</v>
      </c>
      <c r="I1043">
        <f t="shared" ca="1" si="64"/>
        <v>56</v>
      </c>
      <c r="J1043" t="str">
        <f t="shared" ca="1" si="65"/>
        <v>50-59</v>
      </c>
      <c r="K1043">
        <v>85104.53</v>
      </c>
      <c r="L1043" t="str">
        <f>IF(Workforce[[#This Row],[Salary]]&lt;50000,"30k-49k",IF(Workforce[[#This Row],[Salary]]&lt;70000,"50k-69k",IF(Workforce[[#This Row],[Salary]]&lt;90000,"70k-89k","90k+")))</f>
        <v>70k-89k</v>
      </c>
      <c r="M1043" t="s">
        <v>7684</v>
      </c>
      <c r="N1043">
        <f t="shared" ca="1" si="66"/>
        <v>6</v>
      </c>
      <c r="O1043" t="str">
        <f t="shared" ca="1" si="67"/>
        <v>Intermediate level</v>
      </c>
    </row>
    <row r="1044" spans="1:15" x14ac:dyDescent="0.3">
      <c r="A1044" t="s">
        <v>7685</v>
      </c>
      <c r="B1044" t="s">
        <v>7686</v>
      </c>
      <c r="C1044" t="s">
        <v>151</v>
      </c>
      <c r="D1044" t="s">
        <v>7687</v>
      </c>
      <c r="E1044" t="s">
        <v>7688</v>
      </c>
      <c r="F1044" t="s">
        <v>5477</v>
      </c>
      <c r="G1044" t="s">
        <v>7689</v>
      </c>
      <c r="H1044" t="s">
        <v>7690</v>
      </c>
      <c r="I1044">
        <f t="shared" ca="1" si="64"/>
        <v>51</v>
      </c>
      <c r="J1044" t="str">
        <f t="shared" ca="1" si="65"/>
        <v>50-59</v>
      </c>
      <c r="K1044">
        <v>44026.3</v>
      </c>
      <c r="L1044" t="str">
        <f>IF(Workforce[[#This Row],[Salary]]&lt;50000,"30k-49k",IF(Workforce[[#This Row],[Salary]]&lt;70000,"50k-69k",IF(Workforce[[#This Row],[Salary]]&lt;90000,"70k-89k","90k+")))</f>
        <v>30k-49k</v>
      </c>
      <c r="M1044" t="s">
        <v>7691</v>
      </c>
      <c r="N1044">
        <f t="shared" ca="1" si="66"/>
        <v>4</v>
      </c>
      <c r="O1044" t="str">
        <f t="shared" ca="1" si="67"/>
        <v>Intermediate level</v>
      </c>
    </row>
    <row r="1045" spans="1:15" x14ac:dyDescent="0.3">
      <c r="A1045" t="s">
        <v>7692</v>
      </c>
      <c r="B1045" t="s">
        <v>7693</v>
      </c>
      <c r="C1045" t="s">
        <v>326</v>
      </c>
      <c r="D1045" t="s">
        <v>7694</v>
      </c>
      <c r="E1045" t="s">
        <v>7695</v>
      </c>
      <c r="F1045" t="s">
        <v>3071</v>
      </c>
      <c r="G1045" t="s">
        <v>7696</v>
      </c>
      <c r="H1045" t="s">
        <v>7697</v>
      </c>
      <c r="I1045">
        <f t="shared" ca="1" si="64"/>
        <v>20</v>
      </c>
      <c r="J1045" t="str">
        <f t="shared" ca="1" si="65"/>
        <v>18-29</v>
      </c>
      <c r="K1045">
        <v>90096.89</v>
      </c>
      <c r="L1045" t="str">
        <f>IF(Workforce[[#This Row],[Salary]]&lt;50000,"30k-49k",IF(Workforce[[#This Row],[Salary]]&lt;70000,"50k-69k",IF(Workforce[[#This Row],[Salary]]&lt;90000,"70k-89k","90k+")))</f>
        <v>90k+</v>
      </c>
      <c r="M1045" t="s">
        <v>7698</v>
      </c>
      <c r="N1045">
        <f t="shared" ca="1" si="66"/>
        <v>2</v>
      </c>
      <c r="O1045" t="str">
        <f t="shared" ca="1" si="67"/>
        <v>Beginner</v>
      </c>
    </row>
    <row r="1046" spans="1:15" x14ac:dyDescent="0.3">
      <c r="A1046" t="s">
        <v>7699</v>
      </c>
      <c r="B1046" t="s">
        <v>7700</v>
      </c>
      <c r="C1046" t="s">
        <v>17</v>
      </c>
      <c r="D1046" t="s">
        <v>7701</v>
      </c>
      <c r="E1046" t="s">
        <v>7702</v>
      </c>
      <c r="F1046" t="s">
        <v>4895</v>
      </c>
      <c r="G1046" t="s">
        <v>7703</v>
      </c>
      <c r="H1046" t="s">
        <v>7704</v>
      </c>
      <c r="I1046">
        <f t="shared" ca="1" si="64"/>
        <v>58</v>
      </c>
      <c r="J1046" t="str">
        <f t="shared" ca="1" si="65"/>
        <v>50-59</v>
      </c>
      <c r="K1046">
        <v>86776.6</v>
      </c>
      <c r="L1046" t="str">
        <f>IF(Workforce[[#This Row],[Salary]]&lt;50000,"30k-49k",IF(Workforce[[#This Row],[Salary]]&lt;70000,"50k-69k",IF(Workforce[[#This Row],[Salary]]&lt;90000,"70k-89k","90k+")))</f>
        <v>70k-89k</v>
      </c>
      <c r="M1046" t="s">
        <v>2557</v>
      </c>
      <c r="N1046">
        <f t="shared" ca="1" si="66"/>
        <v>9</v>
      </c>
      <c r="O1046" t="str">
        <f t="shared" ca="1" si="67"/>
        <v>Senior level</v>
      </c>
    </row>
    <row r="1047" spans="1:15" x14ac:dyDescent="0.3">
      <c r="A1047" t="s">
        <v>7705</v>
      </c>
      <c r="B1047" t="s">
        <v>7706</v>
      </c>
      <c r="C1047" t="s">
        <v>1223</v>
      </c>
      <c r="D1047" t="s">
        <v>7707</v>
      </c>
      <c r="E1047" t="s">
        <v>7708</v>
      </c>
      <c r="F1047" t="s">
        <v>5729</v>
      </c>
      <c r="G1047" t="s">
        <v>7709</v>
      </c>
      <c r="H1047" t="s">
        <v>7710</v>
      </c>
      <c r="I1047">
        <f t="shared" ca="1" si="64"/>
        <v>38</v>
      </c>
      <c r="J1047" t="str">
        <f t="shared" ca="1" si="65"/>
        <v>30-39</v>
      </c>
      <c r="K1047">
        <v>91273.46</v>
      </c>
      <c r="L1047" t="str">
        <f>IF(Workforce[[#This Row],[Salary]]&lt;50000,"30k-49k",IF(Workforce[[#This Row],[Salary]]&lt;70000,"50k-69k",IF(Workforce[[#This Row],[Salary]]&lt;90000,"70k-89k","90k+")))</f>
        <v>90k+</v>
      </c>
      <c r="M1047" t="s">
        <v>7711</v>
      </c>
      <c r="N1047">
        <f t="shared" ca="1" si="66"/>
        <v>1</v>
      </c>
      <c r="O1047" t="str">
        <f t="shared" ca="1" si="67"/>
        <v>Beginner</v>
      </c>
    </row>
    <row r="1048" spans="1:15" x14ac:dyDescent="0.3">
      <c r="A1048" t="s">
        <v>7712</v>
      </c>
      <c r="B1048" t="s">
        <v>7713</v>
      </c>
      <c r="C1048" t="s">
        <v>351</v>
      </c>
      <c r="D1048" t="s">
        <v>7714</v>
      </c>
      <c r="E1048" t="s">
        <v>7715</v>
      </c>
      <c r="F1048" t="s">
        <v>4082</v>
      </c>
      <c r="G1048" t="s">
        <v>7716</v>
      </c>
      <c r="H1048" t="s">
        <v>7717</v>
      </c>
      <c r="I1048">
        <f t="shared" ca="1" si="64"/>
        <v>25</v>
      </c>
      <c r="J1048" t="str">
        <f t="shared" ca="1" si="65"/>
        <v>18-29</v>
      </c>
      <c r="K1048">
        <v>113575.08</v>
      </c>
      <c r="L1048" t="str">
        <f>IF(Workforce[[#This Row],[Salary]]&lt;50000,"30k-49k",IF(Workforce[[#This Row],[Salary]]&lt;70000,"50k-69k",IF(Workforce[[#This Row],[Salary]]&lt;90000,"70k-89k","90k+")))</f>
        <v>90k+</v>
      </c>
      <c r="M1048" t="s">
        <v>7718</v>
      </c>
      <c r="N1048">
        <f t="shared" ca="1" si="66"/>
        <v>1</v>
      </c>
      <c r="O1048" t="str">
        <f t="shared" ca="1" si="67"/>
        <v>Beginner</v>
      </c>
    </row>
    <row r="1049" spans="1:15" x14ac:dyDescent="0.3">
      <c r="A1049" t="s">
        <v>7719</v>
      </c>
      <c r="B1049" t="s">
        <v>7720</v>
      </c>
      <c r="C1049" t="s">
        <v>539</v>
      </c>
      <c r="D1049" t="s">
        <v>7721</v>
      </c>
      <c r="E1049" t="s">
        <v>7722</v>
      </c>
      <c r="F1049" t="s">
        <v>1726</v>
      </c>
      <c r="G1049" t="s">
        <v>208</v>
      </c>
      <c r="H1049" t="s">
        <v>7723</v>
      </c>
      <c r="I1049">
        <f t="shared" ca="1" si="64"/>
        <v>49</v>
      </c>
      <c r="J1049" t="str">
        <f t="shared" ca="1" si="65"/>
        <v>40-49</v>
      </c>
      <c r="K1049">
        <v>61702.080000000002</v>
      </c>
      <c r="L1049" t="str">
        <f>IF(Workforce[[#This Row],[Salary]]&lt;50000,"30k-49k",IF(Workforce[[#This Row],[Salary]]&lt;70000,"50k-69k",IF(Workforce[[#This Row],[Salary]]&lt;90000,"70k-89k","90k+")))</f>
        <v>50k-69k</v>
      </c>
      <c r="M1049" t="s">
        <v>7724</v>
      </c>
      <c r="N1049">
        <f t="shared" ca="1" si="66"/>
        <v>8</v>
      </c>
      <c r="O1049" t="str">
        <f t="shared" ca="1" si="67"/>
        <v>Senior level</v>
      </c>
    </row>
    <row r="1050" spans="1:15" x14ac:dyDescent="0.3">
      <c r="A1050" t="s">
        <v>7725</v>
      </c>
      <c r="B1050" t="s">
        <v>7726</v>
      </c>
      <c r="C1050" t="s">
        <v>1223</v>
      </c>
      <c r="D1050" t="s">
        <v>7727</v>
      </c>
      <c r="E1050" t="s">
        <v>7728</v>
      </c>
      <c r="F1050" t="s">
        <v>7729</v>
      </c>
      <c r="G1050" t="s">
        <v>7730</v>
      </c>
      <c r="H1050" t="s">
        <v>7731</v>
      </c>
      <c r="I1050">
        <f t="shared" ca="1" si="64"/>
        <v>33</v>
      </c>
      <c r="J1050" t="str">
        <f t="shared" ca="1" si="65"/>
        <v>30-39</v>
      </c>
      <c r="K1050">
        <v>93515.1</v>
      </c>
      <c r="L1050" t="str">
        <f>IF(Workforce[[#This Row],[Salary]]&lt;50000,"30k-49k",IF(Workforce[[#This Row],[Salary]]&lt;70000,"50k-69k",IF(Workforce[[#This Row],[Salary]]&lt;90000,"70k-89k","90k+")))</f>
        <v>90k+</v>
      </c>
      <c r="M1050" t="s">
        <v>1126</v>
      </c>
      <c r="N1050">
        <f t="shared" ca="1" si="66"/>
        <v>8</v>
      </c>
      <c r="O1050" t="str">
        <f t="shared" ca="1" si="67"/>
        <v>Senior level</v>
      </c>
    </row>
    <row r="1051" spans="1:15" x14ac:dyDescent="0.3">
      <c r="A1051" t="s">
        <v>7732</v>
      </c>
      <c r="B1051" t="s">
        <v>7733</v>
      </c>
      <c r="C1051" t="s">
        <v>61</v>
      </c>
      <c r="D1051" t="s">
        <v>7734</v>
      </c>
      <c r="E1051" t="s">
        <v>7735</v>
      </c>
      <c r="F1051" t="s">
        <v>4103</v>
      </c>
      <c r="G1051" t="s">
        <v>7736</v>
      </c>
      <c r="H1051" t="s">
        <v>7737</v>
      </c>
      <c r="I1051">
        <f t="shared" ca="1" si="64"/>
        <v>59</v>
      </c>
      <c r="J1051" t="str">
        <f t="shared" ca="1" si="65"/>
        <v>50-59</v>
      </c>
      <c r="K1051">
        <v>119878.11</v>
      </c>
      <c r="L1051" t="str">
        <f>IF(Workforce[[#This Row],[Salary]]&lt;50000,"30k-49k",IF(Workforce[[#This Row],[Salary]]&lt;70000,"50k-69k",IF(Workforce[[#This Row],[Salary]]&lt;90000,"70k-89k","90k+")))</f>
        <v>90k+</v>
      </c>
      <c r="M1051" t="s">
        <v>7738</v>
      </c>
      <c r="N1051">
        <f t="shared" ca="1" si="66"/>
        <v>4</v>
      </c>
      <c r="O1051" t="str">
        <f t="shared" ca="1" si="67"/>
        <v>Intermediate level</v>
      </c>
    </row>
    <row r="1052" spans="1:15" x14ac:dyDescent="0.3">
      <c r="A1052" t="s">
        <v>7739</v>
      </c>
      <c r="B1052" t="s">
        <v>7740</v>
      </c>
      <c r="C1052" t="s">
        <v>257</v>
      </c>
      <c r="D1052" t="s">
        <v>7741</v>
      </c>
      <c r="E1052" t="s">
        <v>7742</v>
      </c>
      <c r="F1052" t="s">
        <v>7234</v>
      </c>
      <c r="G1052" t="s">
        <v>7743</v>
      </c>
      <c r="H1052" t="s">
        <v>7744</v>
      </c>
      <c r="I1052">
        <f t="shared" ca="1" si="64"/>
        <v>27</v>
      </c>
      <c r="J1052" t="str">
        <f t="shared" ca="1" si="65"/>
        <v>18-29</v>
      </c>
      <c r="K1052">
        <v>78122.63</v>
      </c>
      <c r="L1052" t="str">
        <f>IF(Workforce[[#This Row],[Salary]]&lt;50000,"30k-49k",IF(Workforce[[#This Row],[Salary]]&lt;70000,"50k-69k",IF(Workforce[[#This Row],[Salary]]&lt;90000,"70k-89k","90k+")))</f>
        <v>70k-89k</v>
      </c>
      <c r="M1052" t="s">
        <v>5070</v>
      </c>
      <c r="N1052">
        <f t="shared" ca="1" si="66"/>
        <v>5</v>
      </c>
      <c r="O1052" t="str">
        <f t="shared" ca="1" si="67"/>
        <v>Intermediate level</v>
      </c>
    </row>
    <row r="1053" spans="1:15" x14ac:dyDescent="0.3">
      <c r="A1053" t="s">
        <v>7745</v>
      </c>
      <c r="B1053" t="s">
        <v>7746</v>
      </c>
      <c r="C1053" t="s">
        <v>44</v>
      </c>
      <c r="D1053" t="s">
        <v>7747</v>
      </c>
      <c r="E1053" t="s">
        <v>7748</v>
      </c>
      <c r="F1053" t="s">
        <v>2760</v>
      </c>
      <c r="G1053" t="s">
        <v>7749</v>
      </c>
      <c r="H1053" t="s">
        <v>7750</v>
      </c>
      <c r="I1053">
        <f t="shared" ca="1" si="64"/>
        <v>29</v>
      </c>
      <c r="J1053" t="str">
        <f t="shared" ca="1" si="65"/>
        <v>18-29</v>
      </c>
      <c r="K1053">
        <v>64114.46</v>
      </c>
      <c r="L1053" t="str">
        <f>IF(Workforce[[#This Row],[Salary]]&lt;50000,"30k-49k",IF(Workforce[[#This Row],[Salary]]&lt;70000,"50k-69k",IF(Workforce[[#This Row],[Salary]]&lt;90000,"70k-89k","90k+")))</f>
        <v>50k-69k</v>
      </c>
      <c r="M1053" t="s">
        <v>4048</v>
      </c>
      <c r="N1053">
        <f t="shared" ca="1" si="66"/>
        <v>5</v>
      </c>
      <c r="O1053" t="str">
        <f t="shared" ca="1" si="67"/>
        <v>Intermediate level</v>
      </c>
    </row>
    <row r="1054" spans="1:15" x14ac:dyDescent="0.3">
      <c r="A1054" t="s">
        <v>7751</v>
      </c>
      <c r="B1054" t="s">
        <v>7752</v>
      </c>
      <c r="C1054" t="s">
        <v>995</v>
      </c>
      <c r="D1054" t="s">
        <v>7753</v>
      </c>
      <c r="E1054" t="s">
        <v>7754</v>
      </c>
      <c r="F1054" t="s">
        <v>1178</v>
      </c>
      <c r="G1054" t="s">
        <v>7755</v>
      </c>
      <c r="H1054" t="s">
        <v>7756</v>
      </c>
      <c r="I1054">
        <f t="shared" ca="1" si="64"/>
        <v>43</v>
      </c>
      <c r="J1054" t="str">
        <f t="shared" ca="1" si="65"/>
        <v>40-49</v>
      </c>
      <c r="K1054">
        <v>107001.37</v>
      </c>
      <c r="L1054" t="str">
        <f>IF(Workforce[[#This Row],[Salary]]&lt;50000,"30k-49k",IF(Workforce[[#This Row],[Salary]]&lt;70000,"50k-69k",IF(Workforce[[#This Row],[Salary]]&lt;90000,"70k-89k","90k+")))</f>
        <v>90k+</v>
      </c>
      <c r="M1054" t="s">
        <v>7757</v>
      </c>
      <c r="N1054">
        <f t="shared" ca="1" si="66"/>
        <v>5</v>
      </c>
      <c r="O1054" t="str">
        <f t="shared" ca="1" si="67"/>
        <v>Intermediate level</v>
      </c>
    </row>
    <row r="1055" spans="1:15" x14ac:dyDescent="0.3">
      <c r="A1055" t="s">
        <v>7758</v>
      </c>
      <c r="B1055" t="s">
        <v>7759</v>
      </c>
      <c r="C1055" t="s">
        <v>1223</v>
      </c>
      <c r="D1055" t="s">
        <v>7760</v>
      </c>
      <c r="E1055" t="s">
        <v>7761</v>
      </c>
      <c r="F1055" t="s">
        <v>3126</v>
      </c>
      <c r="G1055" t="s">
        <v>7762</v>
      </c>
      <c r="H1055" t="s">
        <v>7763</v>
      </c>
      <c r="I1055">
        <f t="shared" ca="1" si="64"/>
        <v>50</v>
      </c>
      <c r="J1055" t="str">
        <f t="shared" ca="1" si="65"/>
        <v>50-59</v>
      </c>
      <c r="K1055">
        <v>31603.79</v>
      </c>
      <c r="L1055" t="str">
        <f>IF(Workforce[[#This Row],[Salary]]&lt;50000,"30k-49k",IF(Workforce[[#This Row],[Salary]]&lt;70000,"50k-69k",IF(Workforce[[#This Row],[Salary]]&lt;90000,"70k-89k","90k+")))</f>
        <v>30k-49k</v>
      </c>
      <c r="M1055" t="s">
        <v>7764</v>
      </c>
      <c r="N1055">
        <f t="shared" ca="1" si="66"/>
        <v>7</v>
      </c>
      <c r="O1055" t="str">
        <f t="shared" ca="1" si="67"/>
        <v>Senior level</v>
      </c>
    </row>
    <row r="1056" spans="1:15" x14ac:dyDescent="0.3">
      <c r="A1056" t="s">
        <v>7765</v>
      </c>
      <c r="B1056" t="s">
        <v>7766</v>
      </c>
      <c r="C1056" t="s">
        <v>653</v>
      </c>
      <c r="D1056" t="s">
        <v>7767</v>
      </c>
      <c r="E1056" t="s">
        <v>7768</v>
      </c>
      <c r="F1056" t="s">
        <v>7667</v>
      </c>
      <c r="G1056" t="s">
        <v>7769</v>
      </c>
      <c r="H1056" t="s">
        <v>4229</v>
      </c>
      <c r="I1056">
        <f t="shared" ca="1" si="64"/>
        <v>54</v>
      </c>
      <c r="J1056" t="str">
        <f t="shared" ca="1" si="65"/>
        <v>50-59</v>
      </c>
      <c r="K1056">
        <v>107871.58</v>
      </c>
      <c r="L1056" t="str">
        <f>IF(Workforce[[#This Row],[Salary]]&lt;50000,"30k-49k",IF(Workforce[[#This Row],[Salary]]&lt;70000,"50k-69k",IF(Workforce[[#This Row],[Salary]]&lt;90000,"70k-89k","90k+")))</f>
        <v>90k+</v>
      </c>
      <c r="M1056" t="s">
        <v>7770</v>
      </c>
      <c r="N1056">
        <f t="shared" ca="1" si="66"/>
        <v>4</v>
      </c>
      <c r="O1056" t="str">
        <f t="shared" ca="1" si="67"/>
        <v>Intermediate level</v>
      </c>
    </row>
    <row r="1057" spans="1:15" x14ac:dyDescent="0.3">
      <c r="A1057" t="s">
        <v>7771</v>
      </c>
      <c r="B1057" t="s">
        <v>7772</v>
      </c>
      <c r="C1057" t="s">
        <v>97</v>
      </c>
      <c r="D1057" t="s">
        <v>7773</v>
      </c>
      <c r="E1057" t="s">
        <v>7774</v>
      </c>
      <c r="F1057" t="s">
        <v>7775</v>
      </c>
      <c r="G1057" t="s">
        <v>7776</v>
      </c>
      <c r="H1057" t="s">
        <v>7777</v>
      </c>
      <c r="I1057">
        <f t="shared" ca="1" si="64"/>
        <v>66</v>
      </c>
      <c r="J1057" t="str">
        <f t="shared" ca="1" si="65"/>
        <v>60+</v>
      </c>
      <c r="K1057">
        <v>41105.65</v>
      </c>
      <c r="L1057" t="str">
        <f>IF(Workforce[[#This Row],[Salary]]&lt;50000,"30k-49k",IF(Workforce[[#This Row],[Salary]]&lt;70000,"50k-69k",IF(Workforce[[#This Row],[Salary]]&lt;90000,"70k-89k","90k+")))</f>
        <v>30k-49k</v>
      </c>
      <c r="M1057" t="s">
        <v>7778</v>
      </c>
      <c r="N1057">
        <f t="shared" ca="1" si="66"/>
        <v>10</v>
      </c>
      <c r="O1057" t="str">
        <f t="shared" ca="1" si="67"/>
        <v>Senior level</v>
      </c>
    </row>
    <row r="1058" spans="1:15" x14ac:dyDescent="0.3">
      <c r="A1058" t="s">
        <v>7779</v>
      </c>
      <c r="B1058" t="s">
        <v>7780</v>
      </c>
      <c r="C1058" t="s">
        <v>774</v>
      </c>
      <c r="D1058" t="s">
        <v>7781</v>
      </c>
      <c r="E1058" t="s">
        <v>7782</v>
      </c>
      <c r="F1058" t="s">
        <v>2297</v>
      </c>
      <c r="G1058" t="s">
        <v>7783</v>
      </c>
      <c r="H1058" t="s">
        <v>7784</v>
      </c>
      <c r="I1058">
        <f t="shared" ca="1" si="64"/>
        <v>19</v>
      </c>
      <c r="J1058" t="str">
        <f t="shared" ca="1" si="65"/>
        <v>18-29</v>
      </c>
      <c r="K1058">
        <v>102561.33</v>
      </c>
      <c r="L1058" t="str">
        <f>IF(Workforce[[#This Row],[Salary]]&lt;50000,"30k-49k",IF(Workforce[[#This Row],[Salary]]&lt;70000,"50k-69k",IF(Workforce[[#This Row],[Salary]]&lt;90000,"70k-89k","90k+")))</f>
        <v>90k+</v>
      </c>
      <c r="M1058" t="s">
        <v>7785</v>
      </c>
      <c r="N1058">
        <f t="shared" ca="1" si="66"/>
        <v>10</v>
      </c>
      <c r="O1058" t="str">
        <f t="shared" ca="1" si="67"/>
        <v>Senior level</v>
      </c>
    </row>
    <row r="1059" spans="1:15" x14ac:dyDescent="0.3">
      <c r="A1059" t="s">
        <v>7786</v>
      </c>
      <c r="B1059" t="s">
        <v>7787</v>
      </c>
      <c r="C1059" t="s">
        <v>653</v>
      </c>
      <c r="D1059" t="s">
        <v>7788</v>
      </c>
      <c r="E1059" t="s">
        <v>7789</v>
      </c>
      <c r="F1059" t="s">
        <v>1572</v>
      </c>
      <c r="G1059" t="s">
        <v>7790</v>
      </c>
      <c r="H1059" t="s">
        <v>7791</v>
      </c>
      <c r="I1059">
        <f t="shared" ca="1" si="64"/>
        <v>61</v>
      </c>
      <c r="J1059" t="str">
        <f t="shared" ca="1" si="65"/>
        <v>60+</v>
      </c>
      <c r="K1059">
        <v>75615.600000000006</v>
      </c>
      <c r="L1059" t="str">
        <f>IF(Workforce[[#This Row],[Salary]]&lt;50000,"30k-49k",IF(Workforce[[#This Row],[Salary]]&lt;70000,"50k-69k",IF(Workforce[[#This Row],[Salary]]&lt;90000,"70k-89k","90k+")))</f>
        <v>70k-89k</v>
      </c>
      <c r="M1059" t="s">
        <v>7792</v>
      </c>
      <c r="N1059">
        <f t="shared" ca="1" si="66"/>
        <v>9</v>
      </c>
      <c r="O1059" t="str">
        <f t="shared" ca="1" si="67"/>
        <v>Senior level</v>
      </c>
    </row>
    <row r="1060" spans="1:15" x14ac:dyDescent="0.3">
      <c r="A1060" t="s">
        <v>7793</v>
      </c>
      <c r="B1060" t="s">
        <v>7794</v>
      </c>
      <c r="C1060" t="s">
        <v>160</v>
      </c>
      <c r="D1060" t="s">
        <v>7795</v>
      </c>
      <c r="E1060" t="s">
        <v>7796</v>
      </c>
      <c r="F1060" t="s">
        <v>934</v>
      </c>
      <c r="G1060" t="s">
        <v>7797</v>
      </c>
      <c r="H1060" t="s">
        <v>7798</v>
      </c>
      <c r="I1060">
        <f t="shared" ca="1" si="64"/>
        <v>42</v>
      </c>
      <c r="J1060" t="str">
        <f t="shared" ca="1" si="65"/>
        <v>40-49</v>
      </c>
      <c r="K1060">
        <v>32030.76</v>
      </c>
      <c r="L1060" t="str">
        <f>IF(Workforce[[#This Row],[Salary]]&lt;50000,"30k-49k",IF(Workforce[[#This Row],[Salary]]&lt;70000,"50k-69k",IF(Workforce[[#This Row],[Salary]]&lt;90000,"70k-89k","90k+")))</f>
        <v>30k-49k</v>
      </c>
      <c r="M1060" t="s">
        <v>7799</v>
      </c>
      <c r="N1060">
        <f t="shared" ca="1" si="66"/>
        <v>5</v>
      </c>
      <c r="O1060" t="str">
        <f t="shared" ca="1" si="67"/>
        <v>Intermediate level</v>
      </c>
    </row>
    <row r="1061" spans="1:15" x14ac:dyDescent="0.3">
      <c r="A1061" t="s">
        <v>7800</v>
      </c>
      <c r="B1061" t="s">
        <v>7801</v>
      </c>
      <c r="C1061" t="s">
        <v>35</v>
      </c>
      <c r="D1061" t="s">
        <v>7802</v>
      </c>
      <c r="E1061" t="s">
        <v>7803</v>
      </c>
      <c r="F1061" t="s">
        <v>4502</v>
      </c>
      <c r="G1061" t="s">
        <v>7804</v>
      </c>
      <c r="H1061" t="s">
        <v>7805</v>
      </c>
      <c r="I1061">
        <f t="shared" ca="1" si="64"/>
        <v>61</v>
      </c>
      <c r="J1061" t="str">
        <f t="shared" ca="1" si="65"/>
        <v>60+</v>
      </c>
      <c r="K1061">
        <v>65676.59</v>
      </c>
      <c r="L1061" t="str">
        <f>IF(Workforce[[#This Row],[Salary]]&lt;50000,"30k-49k",IF(Workforce[[#This Row],[Salary]]&lt;70000,"50k-69k",IF(Workforce[[#This Row],[Salary]]&lt;90000,"70k-89k","90k+")))</f>
        <v>50k-69k</v>
      </c>
      <c r="M1061" t="s">
        <v>7806</v>
      </c>
      <c r="N1061">
        <f t="shared" ca="1" si="66"/>
        <v>1</v>
      </c>
      <c r="O1061" t="str">
        <f t="shared" ca="1" si="67"/>
        <v>Beginner</v>
      </c>
    </row>
    <row r="1062" spans="1:15" x14ac:dyDescent="0.3">
      <c r="A1062" t="s">
        <v>7807</v>
      </c>
      <c r="B1062" t="s">
        <v>7808</v>
      </c>
      <c r="C1062" t="s">
        <v>222</v>
      </c>
      <c r="D1062" t="s">
        <v>7809</v>
      </c>
      <c r="E1062" t="s">
        <v>7810</v>
      </c>
      <c r="F1062" t="s">
        <v>7811</v>
      </c>
      <c r="G1062" t="s">
        <v>7812</v>
      </c>
      <c r="H1062" t="s">
        <v>7813</v>
      </c>
      <c r="I1062">
        <f t="shared" ca="1" si="64"/>
        <v>18</v>
      </c>
      <c r="J1062" t="str">
        <f t="shared" ca="1" si="65"/>
        <v>18-29</v>
      </c>
      <c r="K1062">
        <v>55157.1</v>
      </c>
      <c r="L1062" t="str">
        <f>IF(Workforce[[#This Row],[Salary]]&lt;50000,"30k-49k",IF(Workforce[[#This Row],[Salary]]&lt;70000,"50k-69k",IF(Workforce[[#This Row],[Salary]]&lt;90000,"70k-89k","90k+")))</f>
        <v>50k-69k</v>
      </c>
      <c r="M1062" t="s">
        <v>7814</v>
      </c>
      <c r="N1062">
        <f t="shared" ca="1" si="66"/>
        <v>2</v>
      </c>
      <c r="O1062" t="str">
        <f t="shared" ca="1" si="67"/>
        <v>Beginner</v>
      </c>
    </row>
    <row r="1063" spans="1:15" x14ac:dyDescent="0.3">
      <c r="A1063" t="s">
        <v>7815</v>
      </c>
      <c r="B1063" t="s">
        <v>7816</v>
      </c>
      <c r="C1063" t="s">
        <v>482</v>
      </c>
      <c r="D1063" t="s">
        <v>7817</v>
      </c>
      <c r="E1063" t="s">
        <v>7818</v>
      </c>
      <c r="F1063" t="s">
        <v>295</v>
      </c>
      <c r="G1063" t="s">
        <v>5623</v>
      </c>
      <c r="H1063" t="s">
        <v>7819</v>
      </c>
      <c r="I1063">
        <f t="shared" ca="1" si="64"/>
        <v>32</v>
      </c>
      <c r="J1063" t="str">
        <f t="shared" ca="1" si="65"/>
        <v>30-39</v>
      </c>
      <c r="K1063">
        <v>48492.08</v>
      </c>
      <c r="L1063" t="str">
        <f>IF(Workforce[[#This Row],[Salary]]&lt;50000,"30k-49k",IF(Workforce[[#This Row],[Salary]]&lt;70000,"50k-69k",IF(Workforce[[#This Row],[Salary]]&lt;90000,"70k-89k","90k+")))</f>
        <v>30k-49k</v>
      </c>
      <c r="M1063" t="s">
        <v>7820</v>
      </c>
      <c r="N1063">
        <f t="shared" ca="1" si="66"/>
        <v>3</v>
      </c>
      <c r="O1063" t="str">
        <f t="shared" ca="1" si="67"/>
        <v>Intermediate level</v>
      </c>
    </row>
    <row r="1064" spans="1:15" x14ac:dyDescent="0.3">
      <c r="A1064" t="s">
        <v>7821</v>
      </c>
      <c r="B1064" t="s">
        <v>7822</v>
      </c>
      <c r="C1064" t="s">
        <v>440</v>
      </c>
      <c r="D1064" t="s">
        <v>7823</v>
      </c>
      <c r="E1064" t="s">
        <v>7824</v>
      </c>
      <c r="F1064" t="s">
        <v>7825</v>
      </c>
      <c r="G1064" t="s">
        <v>1697</v>
      </c>
      <c r="H1064" t="s">
        <v>7826</v>
      </c>
      <c r="I1064">
        <f t="shared" ca="1" si="64"/>
        <v>21</v>
      </c>
      <c r="J1064" t="str">
        <f t="shared" ca="1" si="65"/>
        <v>18-29</v>
      </c>
      <c r="K1064">
        <v>77130.19</v>
      </c>
      <c r="L1064" t="str">
        <f>IF(Workforce[[#This Row],[Salary]]&lt;50000,"30k-49k",IF(Workforce[[#This Row],[Salary]]&lt;70000,"50k-69k",IF(Workforce[[#This Row],[Salary]]&lt;90000,"70k-89k","90k+")))</f>
        <v>70k-89k</v>
      </c>
      <c r="M1064" t="s">
        <v>7827</v>
      </c>
      <c r="N1064">
        <f t="shared" ca="1" si="66"/>
        <v>9</v>
      </c>
      <c r="O1064" t="str">
        <f t="shared" ca="1" si="67"/>
        <v>Senior level</v>
      </c>
    </row>
    <row r="1065" spans="1:15" x14ac:dyDescent="0.3">
      <c r="A1065" t="s">
        <v>7828</v>
      </c>
      <c r="B1065" t="s">
        <v>7829</v>
      </c>
      <c r="C1065" t="s">
        <v>160</v>
      </c>
      <c r="D1065" t="s">
        <v>7830</v>
      </c>
      <c r="E1065" t="s">
        <v>7831</v>
      </c>
      <c r="F1065" t="s">
        <v>2600</v>
      </c>
      <c r="G1065" t="s">
        <v>7832</v>
      </c>
      <c r="H1065" t="s">
        <v>7833</v>
      </c>
      <c r="I1065">
        <f t="shared" ca="1" si="64"/>
        <v>38</v>
      </c>
      <c r="J1065" t="str">
        <f t="shared" ca="1" si="65"/>
        <v>30-39</v>
      </c>
      <c r="K1065">
        <v>68696.63</v>
      </c>
      <c r="L1065" t="str">
        <f>IF(Workforce[[#This Row],[Salary]]&lt;50000,"30k-49k",IF(Workforce[[#This Row],[Salary]]&lt;70000,"50k-69k",IF(Workforce[[#This Row],[Salary]]&lt;90000,"70k-89k","90k+")))</f>
        <v>50k-69k</v>
      </c>
      <c r="M1065" t="s">
        <v>7834</v>
      </c>
      <c r="N1065">
        <f t="shared" ca="1" si="66"/>
        <v>8</v>
      </c>
      <c r="O1065" t="str">
        <f t="shared" ca="1" si="67"/>
        <v>Senior level</v>
      </c>
    </row>
    <row r="1066" spans="1:15" x14ac:dyDescent="0.3">
      <c r="A1066" t="s">
        <v>7835</v>
      </c>
      <c r="B1066" t="s">
        <v>7836</v>
      </c>
      <c r="C1066" t="s">
        <v>440</v>
      </c>
      <c r="D1066" t="s">
        <v>7837</v>
      </c>
      <c r="E1066" t="s">
        <v>7838</v>
      </c>
      <c r="F1066" t="s">
        <v>950</v>
      </c>
      <c r="G1066" t="s">
        <v>7839</v>
      </c>
      <c r="H1066" t="s">
        <v>7840</v>
      </c>
      <c r="I1066">
        <f t="shared" ca="1" si="64"/>
        <v>29</v>
      </c>
      <c r="J1066" t="str">
        <f t="shared" ca="1" si="65"/>
        <v>18-29</v>
      </c>
      <c r="K1066">
        <v>41835.64</v>
      </c>
      <c r="L1066" t="str">
        <f>IF(Workforce[[#This Row],[Salary]]&lt;50000,"30k-49k",IF(Workforce[[#This Row],[Salary]]&lt;70000,"50k-69k",IF(Workforce[[#This Row],[Salary]]&lt;90000,"70k-89k","90k+")))</f>
        <v>30k-49k</v>
      </c>
      <c r="M1066" t="s">
        <v>6787</v>
      </c>
      <c r="N1066">
        <f t="shared" ca="1" si="66"/>
        <v>1</v>
      </c>
      <c r="O1066" t="str">
        <f t="shared" ca="1" si="67"/>
        <v>Beginner</v>
      </c>
    </row>
    <row r="1067" spans="1:15" x14ac:dyDescent="0.3">
      <c r="A1067" t="s">
        <v>7841</v>
      </c>
      <c r="B1067" t="s">
        <v>7842</v>
      </c>
      <c r="C1067" t="s">
        <v>151</v>
      </c>
      <c r="D1067" t="s">
        <v>7843</v>
      </c>
      <c r="E1067" t="s">
        <v>7844</v>
      </c>
      <c r="F1067" t="s">
        <v>7845</v>
      </c>
      <c r="G1067" t="s">
        <v>7846</v>
      </c>
      <c r="H1067" t="s">
        <v>7847</v>
      </c>
      <c r="I1067">
        <f t="shared" ca="1" si="64"/>
        <v>65</v>
      </c>
      <c r="J1067" t="str">
        <f t="shared" ca="1" si="65"/>
        <v>60+</v>
      </c>
      <c r="K1067">
        <v>61804.38</v>
      </c>
      <c r="L1067" t="str">
        <f>IF(Workforce[[#This Row],[Salary]]&lt;50000,"30k-49k",IF(Workforce[[#This Row],[Salary]]&lt;70000,"50k-69k",IF(Workforce[[#This Row],[Salary]]&lt;90000,"70k-89k","90k+")))</f>
        <v>50k-69k</v>
      </c>
      <c r="M1067" t="s">
        <v>7848</v>
      </c>
      <c r="N1067">
        <f t="shared" ca="1" si="66"/>
        <v>2</v>
      </c>
      <c r="O1067" t="str">
        <f t="shared" ca="1" si="67"/>
        <v>Beginner</v>
      </c>
    </row>
    <row r="1068" spans="1:15" x14ac:dyDescent="0.3">
      <c r="A1068" t="s">
        <v>7849</v>
      </c>
      <c r="B1068" t="s">
        <v>7850</v>
      </c>
      <c r="C1068" t="s">
        <v>457</v>
      </c>
      <c r="D1068" t="s">
        <v>7851</v>
      </c>
      <c r="E1068" t="s">
        <v>7852</v>
      </c>
      <c r="F1068" t="s">
        <v>172</v>
      </c>
      <c r="G1068" t="s">
        <v>7853</v>
      </c>
      <c r="H1068" t="s">
        <v>7854</v>
      </c>
      <c r="I1068">
        <f t="shared" ca="1" si="64"/>
        <v>47</v>
      </c>
      <c r="J1068" t="str">
        <f t="shared" ca="1" si="65"/>
        <v>40-49</v>
      </c>
      <c r="K1068">
        <v>105714.71</v>
      </c>
      <c r="L1068" t="str">
        <f>IF(Workforce[[#This Row],[Salary]]&lt;50000,"30k-49k",IF(Workforce[[#This Row],[Salary]]&lt;70000,"50k-69k",IF(Workforce[[#This Row],[Salary]]&lt;90000,"70k-89k","90k+")))</f>
        <v>90k+</v>
      </c>
      <c r="M1068" t="s">
        <v>7855</v>
      </c>
      <c r="N1068">
        <f t="shared" ca="1" si="66"/>
        <v>9</v>
      </c>
      <c r="O1068" t="str">
        <f t="shared" ca="1" si="67"/>
        <v>Senior level</v>
      </c>
    </row>
    <row r="1069" spans="1:15" x14ac:dyDescent="0.3">
      <c r="A1069" t="s">
        <v>7856</v>
      </c>
      <c r="B1069" t="s">
        <v>7857</v>
      </c>
      <c r="C1069" t="s">
        <v>400</v>
      </c>
      <c r="D1069" t="s">
        <v>7858</v>
      </c>
      <c r="E1069" t="s">
        <v>7859</v>
      </c>
      <c r="F1069" t="s">
        <v>3850</v>
      </c>
      <c r="G1069" t="s">
        <v>7860</v>
      </c>
      <c r="H1069" t="s">
        <v>7861</v>
      </c>
      <c r="I1069">
        <f t="shared" ca="1" si="64"/>
        <v>20</v>
      </c>
      <c r="J1069" t="str">
        <f t="shared" ca="1" si="65"/>
        <v>18-29</v>
      </c>
      <c r="K1069">
        <v>45477.24</v>
      </c>
      <c r="L1069" t="str">
        <f>IF(Workforce[[#This Row],[Salary]]&lt;50000,"30k-49k",IF(Workforce[[#This Row],[Salary]]&lt;70000,"50k-69k",IF(Workforce[[#This Row],[Salary]]&lt;90000,"70k-89k","90k+")))</f>
        <v>30k-49k</v>
      </c>
      <c r="M1069" t="s">
        <v>1914</v>
      </c>
      <c r="N1069">
        <f t="shared" ca="1" si="66"/>
        <v>1</v>
      </c>
      <c r="O1069" t="str">
        <f t="shared" ca="1" si="67"/>
        <v>Beginner</v>
      </c>
    </row>
    <row r="1070" spans="1:15" x14ac:dyDescent="0.3">
      <c r="A1070" t="s">
        <v>7862</v>
      </c>
      <c r="B1070" t="s">
        <v>7863</v>
      </c>
      <c r="C1070" t="s">
        <v>1223</v>
      </c>
      <c r="D1070" t="s">
        <v>7864</v>
      </c>
      <c r="E1070" t="s">
        <v>7865</v>
      </c>
      <c r="F1070" t="s">
        <v>902</v>
      </c>
      <c r="G1070" t="s">
        <v>7866</v>
      </c>
      <c r="H1070" t="s">
        <v>7867</v>
      </c>
      <c r="I1070">
        <f t="shared" ca="1" si="64"/>
        <v>30</v>
      </c>
      <c r="J1070" t="str">
        <f t="shared" ca="1" si="65"/>
        <v>30-39</v>
      </c>
      <c r="K1070">
        <v>57578.31</v>
      </c>
      <c r="L1070" t="str">
        <f>IF(Workforce[[#This Row],[Salary]]&lt;50000,"30k-49k",IF(Workforce[[#This Row],[Salary]]&lt;70000,"50k-69k",IF(Workforce[[#This Row],[Salary]]&lt;90000,"70k-89k","90k+")))</f>
        <v>50k-69k</v>
      </c>
      <c r="M1070" t="s">
        <v>7868</v>
      </c>
      <c r="N1070">
        <f t="shared" ca="1" si="66"/>
        <v>4</v>
      </c>
      <c r="O1070" t="str">
        <f t="shared" ca="1" si="67"/>
        <v>Intermediate level</v>
      </c>
    </row>
    <row r="1071" spans="1:15" x14ac:dyDescent="0.3">
      <c r="A1071" t="s">
        <v>7869</v>
      </c>
      <c r="B1071" t="s">
        <v>7870</v>
      </c>
      <c r="C1071" t="s">
        <v>604</v>
      </c>
      <c r="D1071" t="s">
        <v>7871</v>
      </c>
      <c r="E1071" t="s">
        <v>7872</v>
      </c>
      <c r="F1071" t="s">
        <v>6399</v>
      </c>
      <c r="G1071" t="s">
        <v>7873</v>
      </c>
      <c r="H1071" t="s">
        <v>7874</v>
      </c>
      <c r="I1071">
        <f t="shared" ca="1" si="64"/>
        <v>50</v>
      </c>
      <c r="J1071" t="str">
        <f t="shared" ca="1" si="65"/>
        <v>50-59</v>
      </c>
      <c r="K1071">
        <v>79812.08</v>
      </c>
      <c r="L1071" t="str">
        <f>IF(Workforce[[#This Row],[Salary]]&lt;50000,"30k-49k",IF(Workforce[[#This Row],[Salary]]&lt;70000,"50k-69k",IF(Workforce[[#This Row],[Salary]]&lt;90000,"70k-89k","90k+")))</f>
        <v>70k-89k</v>
      </c>
      <c r="M1071" t="s">
        <v>7875</v>
      </c>
      <c r="N1071">
        <f t="shared" ca="1" si="66"/>
        <v>6</v>
      </c>
      <c r="O1071" t="str">
        <f t="shared" ca="1" si="67"/>
        <v>Intermediate level</v>
      </c>
    </row>
    <row r="1072" spans="1:15" x14ac:dyDescent="0.3">
      <c r="A1072" t="s">
        <v>7876</v>
      </c>
      <c r="B1072" t="s">
        <v>7877</v>
      </c>
      <c r="C1072" t="s">
        <v>196</v>
      </c>
      <c r="D1072" t="s">
        <v>7878</v>
      </c>
      <c r="E1072" t="s">
        <v>7879</v>
      </c>
      <c r="F1072" t="s">
        <v>3012</v>
      </c>
      <c r="G1072" t="s">
        <v>7880</v>
      </c>
      <c r="H1072" t="s">
        <v>7881</v>
      </c>
      <c r="I1072">
        <f t="shared" ca="1" si="64"/>
        <v>56</v>
      </c>
      <c r="J1072" t="str">
        <f t="shared" ca="1" si="65"/>
        <v>50-59</v>
      </c>
      <c r="K1072">
        <v>64422.559999999998</v>
      </c>
      <c r="L1072" t="str">
        <f>IF(Workforce[[#This Row],[Salary]]&lt;50000,"30k-49k",IF(Workforce[[#This Row],[Salary]]&lt;70000,"50k-69k",IF(Workforce[[#This Row],[Salary]]&lt;90000,"70k-89k","90k+")))</f>
        <v>50k-69k</v>
      </c>
      <c r="M1072" t="s">
        <v>7882</v>
      </c>
      <c r="N1072">
        <f t="shared" ca="1" si="66"/>
        <v>7</v>
      </c>
      <c r="O1072" t="str">
        <f t="shared" ca="1" si="67"/>
        <v>Senior level</v>
      </c>
    </row>
    <row r="1073" spans="1:15" x14ac:dyDescent="0.3">
      <c r="A1073" t="s">
        <v>7883</v>
      </c>
      <c r="B1073" t="s">
        <v>7884</v>
      </c>
      <c r="C1073" t="s">
        <v>79</v>
      </c>
      <c r="D1073" t="s">
        <v>7885</v>
      </c>
      <c r="E1073" t="s">
        <v>7886</v>
      </c>
      <c r="F1073" t="s">
        <v>1022</v>
      </c>
      <c r="G1073" t="s">
        <v>7887</v>
      </c>
      <c r="H1073" t="s">
        <v>7888</v>
      </c>
      <c r="I1073">
        <f t="shared" ca="1" si="64"/>
        <v>56</v>
      </c>
      <c r="J1073" t="str">
        <f t="shared" ca="1" si="65"/>
        <v>50-59</v>
      </c>
      <c r="K1073">
        <v>46920.11</v>
      </c>
      <c r="L1073" t="str">
        <f>IF(Workforce[[#This Row],[Salary]]&lt;50000,"30k-49k",IF(Workforce[[#This Row],[Salary]]&lt;70000,"50k-69k",IF(Workforce[[#This Row],[Salary]]&lt;90000,"70k-89k","90k+")))</f>
        <v>30k-49k</v>
      </c>
      <c r="M1073" t="s">
        <v>3734</v>
      </c>
      <c r="N1073">
        <f t="shared" ca="1" si="66"/>
        <v>8</v>
      </c>
      <c r="O1073" t="str">
        <f t="shared" ca="1" si="67"/>
        <v>Senior level</v>
      </c>
    </row>
    <row r="1074" spans="1:15" x14ac:dyDescent="0.3">
      <c r="A1074" t="s">
        <v>7889</v>
      </c>
      <c r="B1074" t="s">
        <v>7890</v>
      </c>
      <c r="C1074" t="s">
        <v>604</v>
      </c>
      <c r="D1074" t="s">
        <v>7891</v>
      </c>
      <c r="E1074" t="s">
        <v>7892</v>
      </c>
      <c r="F1074" t="s">
        <v>5243</v>
      </c>
      <c r="G1074" t="s">
        <v>7893</v>
      </c>
      <c r="H1074" t="s">
        <v>7894</v>
      </c>
      <c r="I1074">
        <f t="shared" ca="1" si="64"/>
        <v>56</v>
      </c>
      <c r="J1074" t="str">
        <f t="shared" ca="1" si="65"/>
        <v>50-59</v>
      </c>
      <c r="K1074">
        <v>50189.14</v>
      </c>
      <c r="L1074" t="str">
        <f>IF(Workforce[[#This Row],[Salary]]&lt;50000,"30k-49k",IF(Workforce[[#This Row],[Salary]]&lt;70000,"50k-69k",IF(Workforce[[#This Row],[Salary]]&lt;90000,"70k-89k","90k+")))</f>
        <v>50k-69k</v>
      </c>
      <c r="M1074" t="s">
        <v>7895</v>
      </c>
      <c r="N1074">
        <f t="shared" ca="1" si="66"/>
        <v>10</v>
      </c>
      <c r="O1074" t="str">
        <f t="shared" ca="1" si="67"/>
        <v>Senior level</v>
      </c>
    </row>
    <row r="1075" spans="1:15" x14ac:dyDescent="0.3">
      <c r="A1075" t="s">
        <v>7896</v>
      </c>
      <c r="B1075" t="s">
        <v>7897</v>
      </c>
      <c r="C1075" t="s">
        <v>351</v>
      </c>
      <c r="D1075" t="s">
        <v>7898</v>
      </c>
      <c r="E1075" t="s">
        <v>7899</v>
      </c>
      <c r="F1075" t="s">
        <v>5477</v>
      </c>
      <c r="G1075" t="s">
        <v>7900</v>
      </c>
      <c r="H1075" t="s">
        <v>7901</v>
      </c>
      <c r="I1075">
        <f t="shared" ca="1" si="64"/>
        <v>49</v>
      </c>
      <c r="J1075" t="str">
        <f t="shared" ca="1" si="65"/>
        <v>40-49</v>
      </c>
      <c r="K1075">
        <v>35344.43</v>
      </c>
      <c r="L1075" t="str">
        <f>IF(Workforce[[#This Row],[Salary]]&lt;50000,"30k-49k",IF(Workforce[[#This Row],[Salary]]&lt;70000,"50k-69k",IF(Workforce[[#This Row],[Salary]]&lt;90000,"70k-89k","90k+")))</f>
        <v>30k-49k</v>
      </c>
      <c r="M1075" t="s">
        <v>7902</v>
      </c>
      <c r="N1075">
        <f t="shared" ca="1" si="66"/>
        <v>3</v>
      </c>
      <c r="O1075" t="str">
        <f t="shared" ca="1" si="67"/>
        <v>Intermediate level</v>
      </c>
    </row>
    <row r="1076" spans="1:15" x14ac:dyDescent="0.3">
      <c r="A1076" t="s">
        <v>7903</v>
      </c>
      <c r="B1076" t="s">
        <v>7904</v>
      </c>
      <c r="C1076" t="s">
        <v>351</v>
      </c>
      <c r="D1076" t="s">
        <v>7905</v>
      </c>
      <c r="E1076" t="s">
        <v>7906</v>
      </c>
      <c r="F1076" t="s">
        <v>311</v>
      </c>
      <c r="G1076" t="s">
        <v>7907</v>
      </c>
      <c r="H1076" t="s">
        <v>7908</v>
      </c>
      <c r="I1076">
        <f t="shared" ca="1" si="64"/>
        <v>25</v>
      </c>
      <c r="J1076" t="str">
        <f t="shared" ca="1" si="65"/>
        <v>18-29</v>
      </c>
      <c r="K1076">
        <v>57264.38</v>
      </c>
      <c r="L1076" t="str">
        <f>IF(Workforce[[#This Row],[Salary]]&lt;50000,"30k-49k",IF(Workforce[[#This Row],[Salary]]&lt;70000,"50k-69k",IF(Workforce[[#This Row],[Salary]]&lt;90000,"70k-89k","90k+")))</f>
        <v>50k-69k</v>
      </c>
      <c r="M1076" t="s">
        <v>7909</v>
      </c>
      <c r="N1076">
        <f t="shared" ca="1" si="66"/>
        <v>5</v>
      </c>
      <c r="O1076" t="str">
        <f t="shared" ca="1" si="67"/>
        <v>Intermediate level</v>
      </c>
    </row>
    <row r="1077" spans="1:15" x14ac:dyDescent="0.3">
      <c r="A1077" t="s">
        <v>7910</v>
      </c>
      <c r="B1077" t="s">
        <v>7911</v>
      </c>
      <c r="C1077" t="s">
        <v>61</v>
      </c>
      <c r="D1077" t="s">
        <v>7912</v>
      </c>
      <c r="E1077" t="s">
        <v>7913</v>
      </c>
      <c r="F1077" t="s">
        <v>4991</v>
      </c>
      <c r="G1077" t="s">
        <v>7914</v>
      </c>
      <c r="H1077" t="s">
        <v>7915</v>
      </c>
      <c r="I1077">
        <f t="shared" ca="1" si="64"/>
        <v>59</v>
      </c>
      <c r="J1077" t="str">
        <f t="shared" ca="1" si="65"/>
        <v>50-59</v>
      </c>
      <c r="K1077">
        <v>114393.63</v>
      </c>
      <c r="L1077" t="str">
        <f>IF(Workforce[[#This Row],[Salary]]&lt;50000,"30k-49k",IF(Workforce[[#This Row],[Salary]]&lt;70000,"50k-69k",IF(Workforce[[#This Row],[Salary]]&lt;90000,"70k-89k","90k+")))</f>
        <v>90k+</v>
      </c>
      <c r="M1077" t="s">
        <v>1413</v>
      </c>
      <c r="N1077">
        <f t="shared" ca="1" si="66"/>
        <v>5</v>
      </c>
      <c r="O1077" t="str">
        <f t="shared" ca="1" si="67"/>
        <v>Intermediate level</v>
      </c>
    </row>
    <row r="1078" spans="1:15" x14ac:dyDescent="0.3">
      <c r="A1078" t="s">
        <v>7916</v>
      </c>
      <c r="B1078" t="s">
        <v>7917</v>
      </c>
      <c r="C1078" t="s">
        <v>1223</v>
      </c>
      <c r="D1078" t="s">
        <v>7918</v>
      </c>
      <c r="E1078" t="s">
        <v>7919</v>
      </c>
      <c r="F1078" t="s">
        <v>7920</v>
      </c>
      <c r="G1078" t="s">
        <v>7921</v>
      </c>
      <c r="H1078" t="s">
        <v>7922</v>
      </c>
      <c r="I1078">
        <f t="shared" ca="1" si="64"/>
        <v>42</v>
      </c>
      <c r="J1078" t="str">
        <f t="shared" ca="1" si="65"/>
        <v>40-49</v>
      </c>
      <c r="K1078">
        <v>99869.81</v>
      </c>
      <c r="L1078" t="str">
        <f>IF(Workforce[[#This Row],[Salary]]&lt;50000,"30k-49k",IF(Workforce[[#This Row],[Salary]]&lt;70000,"50k-69k",IF(Workforce[[#This Row],[Salary]]&lt;90000,"70k-89k","90k+")))</f>
        <v>90k+</v>
      </c>
      <c r="M1078" t="s">
        <v>7923</v>
      </c>
      <c r="N1078">
        <f t="shared" ca="1" si="66"/>
        <v>10</v>
      </c>
      <c r="O1078" t="str">
        <f t="shared" ca="1" si="67"/>
        <v>Senior level</v>
      </c>
    </row>
    <row r="1079" spans="1:15" x14ac:dyDescent="0.3">
      <c r="A1079" t="s">
        <v>7924</v>
      </c>
      <c r="B1079" t="s">
        <v>7925</v>
      </c>
      <c r="C1079" t="s">
        <v>106</v>
      </c>
      <c r="D1079" t="s">
        <v>7926</v>
      </c>
      <c r="E1079" t="s">
        <v>7927</v>
      </c>
      <c r="F1079" t="s">
        <v>664</v>
      </c>
      <c r="G1079" t="s">
        <v>7928</v>
      </c>
      <c r="H1079" t="s">
        <v>7929</v>
      </c>
      <c r="I1079">
        <f t="shared" ca="1" si="64"/>
        <v>52</v>
      </c>
      <c r="J1079" t="str">
        <f t="shared" ca="1" si="65"/>
        <v>50-59</v>
      </c>
      <c r="K1079">
        <v>92214.27</v>
      </c>
      <c r="L1079" t="str">
        <f>IF(Workforce[[#This Row],[Salary]]&lt;50000,"30k-49k",IF(Workforce[[#This Row],[Salary]]&lt;70000,"50k-69k",IF(Workforce[[#This Row],[Salary]]&lt;90000,"70k-89k","90k+")))</f>
        <v>90k+</v>
      </c>
      <c r="M1079" t="s">
        <v>7930</v>
      </c>
      <c r="N1079">
        <f t="shared" ca="1" si="66"/>
        <v>8</v>
      </c>
      <c r="O1079" t="str">
        <f t="shared" ca="1" si="67"/>
        <v>Senior level</v>
      </c>
    </row>
    <row r="1080" spans="1:15" x14ac:dyDescent="0.3">
      <c r="A1080" t="s">
        <v>7931</v>
      </c>
      <c r="B1080" t="s">
        <v>7932</v>
      </c>
      <c r="C1080" t="s">
        <v>757</v>
      </c>
      <c r="D1080" t="s">
        <v>7933</v>
      </c>
      <c r="E1080" t="s">
        <v>7934</v>
      </c>
      <c r="F1080" t="s">
        <v>4654</v>
      </c>
      <c r="G1080" t="s">
        <v>7935</v>
      </c>
      <c r="H1080" t="s">
        <v>7936</v>
      </c>
      <c r="I1080">
        <f t="shared" ca="1" si="64"/>
        <v>21</v>
      </c>
      <c r="J1080" t="str">
        <f t="shared" ca="1" si="65"/>
        <v>18-29</v>
      </c>
      <c r="K1080">
        <v>32508.07</v>
      </c>
      <c r="L1080" t="str">
        <f>IF(Workforce[[#This Row],[Salary]]&lt;50000,"30k-49k",IF(Workforce[[#This Row],[Salary]]&lt;70000,"50k-69k",IF(Workforce[[#This Row],[Salary]]&lt;90000,"70k-89k","90k+")))</f>
        <v>30k-49k</v>
      </c>
      <c r="M1080" t="s">
        <v>7179</v>
      </c>
      <c r="N1080">
        <f t="shared" ca="1" si="66"/>
        <v>2</v>
      </c>
      <c r="O1080" t="str">
        <f t="shared" ca="1" si="67"/>
        <v>Beginner</v>
      </c>
    </row>
    <row r="1081" spans="1:15" x14ac:dyDescent="0.3">
      <c r="A1081" t="s">
        <v>7937</v>
      </c>
      <c r="B1081" t="s">
        <v>7938</v>
      </c>
      <c r="C1081" t="s">
        <v>187</v>
      </c>
      <c r="D1081" t="s">
        <v>7939</v>
      </c>
      <c r="E1081" t="s">
        <v>7940</v>
      </c>
      <c r="F1081" t="s">
        <v>1488</v>
      </c>
      <c r="G1081" t="s">
        <v>7941</v>
      </c>
      <c r="H1081" t="s">
        <v>7942</v>
      </c>
      <c r="I1081">
        <f t="shared" ca="1" si="64"/>
        <v>34</v>
      </c>
      <c r="J1081" t="str">
        <f t="shared" ca="1" si="65"/>
        <v>30-39</v>
      </c>
      <c r="K1081">
        <v>87130</v>
      </c>
      <c r="L1081" t="str">
        <f>IF(Workforce[[#This Row],[Salary]]&lt;50000,"30k-49k",IF(Workforce[[#This Row],[Salary]]&lt;70000,"50k-69k",IF(Workforce[[#This Row],[Salary]]&lt;90000,"70k-89k","90k+")))</f>
        <v>70k-89k</v>
      </c>
      <c r="M1081" t="s">
        <v>7943</v>
      </c>
      <c r="N1081">
        <f t="shared" ca="1" si="66"/>
        <v>1</v>
      </c>
      <c r="O1081" t="str">
        <f t="shared" ca="1" si="67"/>
        <v>Beginner</v>
      </c>
    </row>
    <row r="1082" spans="1:15" x14ac:dyDescent="0.3">
      <c r="A1082" t="s">
        <v>7944</v>
      </c>
      <c r="B1082" t="s">
        <v>7945</v>
      </c>
      <c r="C1082" t="s">
        <v>317</v>
      </c>
      <c r="D1082" t="s">
        <v>7946</v>
      </c>
      <c r="E1082" t="s">
        <v>7947</v>
      </c>
      <c r="F1082" t="s">
        <v>476</v>
      </c>
      <c r="G1082" t="s">
        <v>7948</v>
      </c>
      <c r="H1082" t="s">
        <v>7949</v>
      </c>
      <c r="I1082">
        <f t="shared" ca="1" si="64"/>
        <v>57</v>
      </c>
      <c r="J1082" t="str">
        <f t="shared" ca="1" si="65"/>
        <v>50-59</v>
      </c>
      <c r="K1082">
        <v>45919.87</v>
      </c>
      <c r="L1082" t="str">
        <f>IF(Workforce[[#This Row],[Salary]]&lt;50000,"30k-49k",IF(Workforce[[#This Row],[Salary]]&lt;70000,"50k-69k",IF(Workforce[[#This Row],[Salary]]&lt;90000,"70k-89k","90k+")))</f>
        <v>30k-49k</v>
      </c>
      <c r="M1082" t="s">
        <v>7950</v>
      </c>
      <c r="N1082">
        <f t="shared" ca="1" si="66"/>
        <v>5</v>
      </c>
      <c r="O1082" t="str">
        <f t="shared" ca="1" si="67"/>
        <v>Intermediate level</v>
      </c>
    </row>
    <row r="1083" spans="1:15" x14ac:dyDescent="0.3">
      <c r="A1083" t="s">
        <v>7951</v>
      </c>
      <c r="B1083" t="s">
        <v>7952</v>
      </c>
      <c r="C1083" t="s">
        <v>275</v>
      </c>
      <c r="D1083" t="s">
        <v>7953</v>
      </c>
      <c r="E1083" t="s">
        <v>7954</v>
      </c>
      <c r="F1083" t="s">
        <v>2162</v>
      </c>
      <c r="G1083" t="s">
        <v>6001</v>
      </c>
      <c r="H1083" t="s">
        <v>7955</v>
      </c>
      <c r="I1083">
        <f t="shared" ca="1" si="64"/>
        <v>31</v>
      </c>
      <c r="J1083" t="str">
        <f t="shared" ca="1" si="65"/>
        <v>30-39</v>
      </c>
      <c r="K1083">
        <v>92542.35</v>
      </c>
      <c r="L1083" t="str">
        <f>IF(Workforce[[#This Row],[Salary]]&lt;50000,"30k-49k",IF(Workforce[[#This Row],[Salary]]&lt;70000,"50k-69k",IF(Workforce[[#This Row],[Salary]]&lt;90000,"70k-89k","90k+")))</f>
        <v>90k+</v>
      </c>
      <c r="M1083" t="s">
        <v>1421</v>
      </c>
      <c r="N1083">
        <f t="shared" ca="1" si="66"/>
        <v>10</v>
      </c>
      <c r="O1083" t="str">
        <f t="shared" ca="1" si="67"/>
        <v>Senior level</v>
      </c>
    </row>
    <row r="1084" spans="1:15" x14ac:dyDescent="0.3">
      <c r="A1084" t="s">
        <v>7956</v>
      </c>
      <c r="B1084" t="s">
        <v>7957</v>
      </c>
      <c r="C1084" t="s">
        <v>44</v>
      </c>
      <c r="D1084" t="s">
        <v>7958</v>
      </c>
      <c r="E1084" t="s">
        <v>7959</v>
      </c>
      <c r="F1084" t="s">
        <v>3668</v>
      </c>
      <c r="G1084" t="s">
        <v>7960</v>
      </c>
      <c r="H1084" t="s">
        <v>7961</v>
      </c>
      <c r="I1084">
        <f t="shared" ca="1" si="64"/>
        <v>24</v>
      </c>
      <c r="J1084" t="str">
        <f t="shared" ca="1" si="65"/>
        <v>18-29</v>
      </c>
      <c r="K1084">
        <v>81789.5</v>
      </c>
      <c r="L1084" t="str">
        <f>IF(Workforce[[#This Row],[Salary]]&lt;50000,"30k-49k",IF(Workforce[[#This Row],[Salary]]&lt;70000,"50k-69k",IF(Workforce[[#This Row],[Salary]]&lt;90000,"70k-89k","90k+")))</f>
        <v>70k-89k</v>
      </c>
      <c r="M1084" t="s">
        <v>7962</v>
      </c>
      <c r="N1084">
        <f t="shared" ca="1" si="66"/>
        <v>3</v>
      </c>
      <c r="O1084" t="str">
        <f t="shared" ca="1" si="67"/>
        <v>Intermediate level</v>
      </c>
    </row>
    <row r="1085" spans="1:15" x14ac:dyDescent="0.3">
      <c r="A1085" t="s">
        <v>7963</v>
      </c>
      <c r="B1085" t="s">
        <v>7964</v>
      </c>
      <c r="C1085" t="s">
        <v>757</v>
      </c>
      <c r="D1085" t="s">
        <v>7965</v>
      </c>
      <c r="E1085" t="s">
        <v>7966</v>
      </c>
      <c r="F1085" t="s">
        <v>702</v>
      </c>
      <c r="G1085" t="s">
        <v>7967</v>
      </c>
      <c r="H1085" t="s">
        <v>7968</v>
      </c>
      <c r="I1085">
        <f t="shared" ca="1" si="64"/>
        <v>39</v>
      </c>
      <c r="J1085" t="str">
        <f t="shared" ca="1" si="65"/>
        <v>30-39</v>
      </c>
      <c r="K1085">
        <v>73939.56</v>
      </c>
      <c r="L1085" t="str">
        <f>IF(Workforce[[#This Row],[Salary]]&lt;50000,"30k-49k",IF(Workforce[[#This Row],[Salary]]&lt;70000,"50k-69k",IF(Workforce[[#This Row],[Salary]]&lt;90000,"70k-89k","90k+")))</f>
        <v>70k-89k</v>
      </c>
      <c r="M1085" t="s">
        <v>2456</v>
      </c>
      <c r="N1085">
        <f t="shared" ca="1" si="66"/>
        <v>9</v>
      </c>
      <c r="O1085" t="str">
        <f t="shared" ca="1" si="67"/>
        <v>Senior level</v>
      </c>
    </row>
    <row r="1086" spans="1:15" x14ac:dyDescent="0.3">
      <c r="A1086" t="s">
        <v>7969</v>
      </c>
      <c r="B1086" t="s">
        <v>7970</v>
      </c>
      <c r="C1086" t="s">
        <v>106</v>
      </c>
      <c r="D1086" t="s">
        <v>7971</v>
      </c>
      <c r="E1086" t="s">
        <v>7972</v>
      </c>
      <c r="F1086" t="s">
        <v>1911</v>
      </c>
      <c r="G1086" t="s">
        <v>7973</v>
      </c>
      <c r="H1086" t="s">
        <v>7974</v>
      </c>
      <c r="I1086">
        <f t="shared" ca="1" si="64"/>
        <v>57</v>
      </c>
      <c r="J1086" t="str">
        <f t="shared" ca="1" si="65"/>
        <v>50-59</v>
      </c>
      <c r="K1086">
        <v>106138.46</v>
      </c>
      <c r="L1086" t="str">
        <f>IF(Workforce[[#This Row],[Salary]]&lt;50000,"30k-49k",IF(Workforce[[#This Row],[Salary]]&lt;70000,"50k-69k",IF(Workforce[[#This Row],[Salary]]&lt;90000,"70k-89k","90k+")))</f>
        <v>90k+</v>
      </c>
      <c r="M1086" t="s">
        <v>7975</v>
      </c>
      <c r="N1086">
        <f t="shared" ca="1" si="66"/>
        <v>6</v>
      </c>
      <c r="O1086" t="str">
        <f t="shared" ca="1" si="67"/>
        <v>Intermediate level</v>
      </c>
    </row>
    <row r="1087" spans="1:15" x14ac:dyDescent="0.3">
      <c r="A1087" t="s">
        <v>7976</v>
      </c>
      <c r="B1087" t="s">
        <v>7977</v>
      </c>
      <c r="C1087" t="s">
        <v>757</v>
      </c>
      <c r="D1087" t="s">
        <v>7978</v>
      </c>
      <c r="E1087" t="s">
        <v>7979</v>
      </c>
      <c r="F1087" t="s">
        <v>3464</v>
      </c>
      <c r="G1087" t="s">
        <v>7980</v>
      </c>
      <c r="H1087" t="s">
        <v>7981</v>
      </c>
      <c r="I1087">
        <f t="shared" ca="1" si="64"/>
        <v>49</v>
      </c>
      <c r="J1087" t="str">
        <f t="shared" ca="1" si="65"/>
        <v>40-49</v>
      </c>
      <c r="K1087">
        <v>48020.51</v>
      </c>
      <c r="L1087" t="str">
        <f>IF(Workforce[[#This Row],[Salary]]&lt;50000,"30k-49k",IF(Workforce[[#This Row],[Salary]]&lt;70000,"50k-69k",IF(Workforce[[#This Row],[Salary]]&lt;90000,"70k-89k","90k+")))</f>
        <v>30k-49k</v>
      </c>
      <c r="M1087" t="s">
        <v>7982</v>
      </c>
      <c r="N1087">
        <f t="shared" ca="1" si="66"/>
        <v>8</v>
      </c>
      <c r="O1087" t="str">
        <f t="shared" ca="1" si="67"/>
        <v>Senior level</v>
      </c>
    </row>
    <row r="1088" spans="1:15" x14ac:dyDescent="0.3">
      <c r="A1088" t="s">
        <v>7983</v>
      </c>
      <c r="B1088" t="s">
        <v>7984</v>
      </c>
      <c r="C1088" t="s">
        <v>196</v>
      </c>
      <c r="D1088" t="s">
        <v>7985</v>
      </c>
      <c r="E1088" t="s">
        <v>7986</v>
      </c>
      <c r="F1088" t="s">
        <v>1911</v>
      </c>
      <c r="G1088" t="s">
        <v>7987</v>
      </c>
      <c r="H1088" t="s">
        <v>7988</v>
      </c>
      <c r="I1088">
        <f t="shared" ca="1" si="64"/>
        <v>40</v>
      </c>
      <c r="J1088" t="str">
        <f t="shared" ca="1" si="65"/>
        <v>40-49</v>
      </c>
      <c r="K1088">
        <v>73697.77</v>
      </c>
      <c r="L1088" t="str">
        <f>IF(Workforce[[#This Row],[Salary]]&lt;50000,"30k-49k",IF(Workforce[[#This Row],[Salary]]&lt;70000,"50k-69k",IF(Workforce[[#This Row],[Salary]]&lt;90000,"70k-89k","90k+")))</f>
        <v>70k-89k</v>
      </c>
      <c r="M1088" t="s">
        <v>7989</v>
      </c>
      <c r="N1088">
        <f t="shared" ca="1" si="66"/>
        <v>5</v>
      </c>
      <c r="O1088" t="str">
        <f t="shared" ca="1" si="67"/>
        <v>Intermediate level</v>
      </c>
    </row>
    <row r="1089" spans="1:15" x14ac:dyDescent="0.3">
      <c r="A1089" t="s">
        <v>7990</v>
      </c>
      <c r="B1089" t="s">
        <v>7991</v>
      </c>
      <c r="C1089" t="s">
        <v>178</v>
      </c>
      <c r="D1089" t="s">
        <v>7992</v>
      </c>
      <c r="E1089" t="s">
        <v>7993</v>
      </c>
      <c r="F1089" t="s">
        <v>1465</v>
      </c>
      <c r="G1089" t="s">
        <v>7994</v>
      </c>
      <c r="H1089" t="s">
        <v>7995</v>
      </c>
      <c r="I1089">
        <f t="shared" ca="1" si="64"/>
        <v>55</v>
      </c>
      <c r="J1089" t="str">
        <f t="shared" ca="1" si="65"/>
        <v>50-59</v>
      </c>
      <c r="K1089">
        <v>88483.58</v>
      </c>
      <c r="L1089" t="str">
        <f>IF(Workforce[[#This Row],[Salary]]&lt;50000,"30k-49k",IF(Workforce[[#This Row],[Salary]]&lt;70000,"50k-69k",IF(Workforce[[#This Row],[Salary]]&lt;90000,"70k-89k","90k+")))</f>
        <v>70k-89k</v>
      </c>
      <c r="M1089" t="s">
        <v>7996</v>
      </c>
      <c r="N1089">
        <f t="shared" ca="1" si="66"/>
        <v>1</v>
      </c>
      <c r="O1089" t="str">
        <f t="shared" ca="1" si="67"/>
        <v>Beginner</v>
      </c>
    </row>
    <row r="1090" spans="1:15" x14ac:dyDescent="0.3">
      <c r="A1090" t="s">
        <v>7997</v>
      </c>
      <c r="B1090" t="s">
        <v>7998</v>
      </c>
      <c r="C1090" t="s">
        <v>351</v>
      </c>
      <c r="D1090" t="s">
        <v>7999</v>
      </c>
      <c r="E1090" t="s">
        <v>8000</v>
      </c>
      <c r="F1090" t="s">
        <v>2768</v>
      </c>
      <c r="G1090" t="s">
        <v>8001</v>
      </c>
      <c r="H1090" t="s">
        <v>8002</v>
      </c>
      <c r="I1090">
        <f t="shared" ref="I1090:I1153" ca="1" si="68">DATEDIF(H1090,TODAY(),"y")</f>
        <v>47</v>
      </c>
      <c r="J1090" t="str">
        <f t="shared" ref="J1090:J1153" ca="1" si="69">IF(I1090&lt;30,"18-29",IF(I1090&lt;40,"30-39",IF(I1090&lt;50,"40-49",IF(I1090&lt;60,"50-59","60+"))))</f>
        <v>40-49</v>
      </c>
      <c r="K1090">
        <v>107560.12</v>
      </c>
      <c r="L1090" t="str">
        <f>IF(Workforce[[#This Row],[Salary]]&lt;50000,"30k-49k",IF(Workforce[[#This Row],[Salary]]&lt;70000,"50k-69k",IF(Workforce[[#This Row],[Salary]]&lt;90000,"70k-89k","90k+")))</f>
        <v>90k+</v>
      </c>
      <c r="M1090" t="s">
        <v>2610</v>
      </c>
      <c r="N1090">
        <f t="shared" ref="N1090:N1153" ca="1" si="70">DATEDIF(M1090,TODAY(),"y")</f>
        <v>9</v>
      </c>
      <c r="O1090" t="str">
        <f t="shared" ref="O1090:O1153" ca="1" si="71">IF(N1090&lt;=2,"Beginner",IF(N1090&lt;=6,"Intermediate level","Senior level"))</f>
        <v>Senior level</v>
      </c>
    </row>
    <row r="1091" spans="1:15" x14ac:dyDescent="0.3">
      <c r="A1091" t="s">
        <v>8003</v>
      </c>
      <c r="B1091" t="s">
        <v>8004</v>
      </c>
      <c r="C1091" t="s">
        <v>222</v>
      </c>
      <c r="D1091" t="s">
        <v>8005</v>
      </c>
      <c r="E1091" t="s">
        <v>8006</v>
      </c>
      <c r="F1091" t="s">
        <v>3191</v>
      </c>
      <c r="G1091" t="s">
        <v>8007</v>
      </c>
      <c r="H1091" t="s">
        <v>8008</v>
      </c>
      <c r="I1091">
        <f t="shared" ca="1" si="68"/>
        <v>51</v>
      </c>
      <c r="J1091" t="str">
        <f t="shared" ca="1" si="69"/>
        <v>50-59</v>
      </c>
      <c r="K1091">
        <v>62172.12</v>
      </c>
      <c r="L1091" t="str">
        <f>IF(Workforce[[#This Row],[Salary]]&lt;50000,"30k-49k",IF(Workforce[[#This Row],[Salary]]&lt;70000,"50k-69k",IF(Workforce[[#This Row],[Salary]]&lt;90000,"70k-89k","90k+")))</f>
        <v>50k-69k</v>
      </c>
      <c r="M1091" t="s">
        <v>8009</v>
      </c>
      <c r="N1091">
        <f t="shared" ca="1" si="70"/>
        <v>7</v>
      </c>
      <c r="O1091" t="str">
        <f t="shared" ca="1" si="71"/>
        <v>Senior level</v>
      </c>
    </row>
    <row r="1092" spans="1:15" x14ac:dyDescent="0.3">
      <c r="A1092" t="s">
        <v>8010</v>
      </c>
      <c r="B1092" t="s">
        <v>8011</v>
      </c>
      <c r="C1092" t="s">
        <v>275</v>
      </c>
      <c r="D1092" t="s">
        <v>8012</v>
      </c>
      <c r="E1092" t="s">
        <v>8013</v>
      </c>
      <c r="F1092" t="s">
        <v>886</v>
      </c>
      <c r="G1092" t="s">
        <v>8014</v>
      </c>
      <c r="H1092" t="s">
        <v>8015</v>
      </c>
      <c r="I1092">
        <f t="shared" ca="1" si="68"/>
        <v>49</v>
      </c>
      <c r="J1092" t="str">
        <f t="shared" ca="1" si="69"/>
        <v>40-49</v>
      </c>
      <c r="K1092">
        <v>102742.74</v>
      </c>
      <c r="L1092" t="str">
        <f>IF(Workforce[[#This Row],[Salary]]&lt;50000,"30k-49k",IF(Workforce[[#This Row],[Salary]]&lt;70000,"50k-69k",IF(Workforce[[#This Row],[Salary]]&lt;90000,"70k-89k","90k+")))</f>
        <v>90k+</v>
      </c>
      <c r="M1092" t="s">
        <v>8016</v>
      </c>
      <c r="N1092">
        <f t="shared" ca="1" si="70"/>
        <v>10</v>
      </c>
      <c r="O1092" t="str">
        <f t="shared" ca="1" si="71"/>
        <v>Senior level</v>
      </c>
    </row>
    <row r="1093" spans="1:15" x14ac:dyDescent="0.3">
      <c r="A1093" t="s">
        <v>8017</v>
      </c>
      <c r="B1093" t="s">
        <v>8018</v>
      </c>
      <c r="C1093" t="s">
        <v>88</v>
      </c>
      <c r="D1093" t="s">
        <v>8019</v>
      </c>
      <c r="E1093" t="s">
        <v>8020</v>
      </c>
      <c r="F1093" t="s">
        <v>4538</v>
      </c>
      <c r="G1093" t="s">
        <v>8021</v>
      </c>
      <c r="H1093" t="s">
        <v>8022</v>
      </c>
      <c r="I1093">
        <f t="shared" ca="1" si="68"/>
        <v>45</v>
      </c>
      <c r="J1093" t="str">
        <f t="shared" ca="1" si="69"/>
        <v>40-49</v>
      </c>
      <c r="K1093">
        <v>36019.43</v>
      </c>
      <c r="L1093" t="str">
        <f>IF(Workforce[[#This Row],[Salary]]&lt;50000,"30k-49k",IF(Workforce[[#This Row],[Salary]]&lt;70000,"50k-69k",IF(Workforce[[#This Row],[Salary]]&lt;90000,"70k-89k","90k+")))</f>
        <v>30k-49k</v>
      </c>
      <c r="M1093" t="s">
        <v>1276</v>
      </c>
      <c r="N1093">
        <f t="shared" ca="1" si="70"/>
        <v>2</v>
      </c>
      <c r="O1093" t="str">
        <f t="shared" ca="1" si="71"/>
        <v>Beginner</v>
      </c>
    </row>
    <row r="1094" spans="1:15" x14ac:dyDescent="0.3">
      <c r="A1094" t="s">
        <v>8023</v>
      </c>
      <c r="B1094" t="s">
        <v>8024</v>
      </c>
      <c r="C1094" t="s">
        <v>400</v>
      </c>
      <c r="D1094" t="s">
        <v>8025</v>
      </c>
      <c r="E1094" t="s">
        <v>8026</v>
      </c>
      <c r="F1094" t="s">
        <v>3235</v>
      </c>
      <c r="G1094" t="s">
        <v>8027</v>
      </c>
      <c r="H1094" t="s">
        <v>8028</v>
      </c>
      <c r="I1094">
        <f t="shared" ca="1" si="68"/>
        <v>48</v>
      </c>
      <c r="J1094" t="str">
        <f t="shared" ca="1" si="69"/>
        <v>40-49</v>
      </c>
      <c r="K1094">
        <v>47408.7</v>
      </c>
      <c r="L1094" t="str">
        <f>IF(Workforce[[#This Row],[Salary]]&lt;50000,"30k-49k",IF(Workforce[[#This Row],[Salary]]&lt;70000,"50k-69k",IF(Workforce[[#This Row],[Salary]]&lt;90000,"70k-89k","90k+")))</f>
        <v>30k-49k</v>
      </c>
      <c r="M1094" t="s">
        <v>8029</v>
      </c>
      <c r="N1094">
        <f t="shared" ca="1" si="70"/>
        <v>7</v>
      </c>
      <c r="O1094" t="str">
        <f t="shared" ca="1" si="71"/>
        <v>Senior level</v>
      </c>
    </row>
    <row r="1095" spans="1:15" x14ac:dyDescent="0.3">
      <c r="A1095" t="s">
        <v>8030</v>
      </c>
      <c r="B1095" t="s">
        <v>8031</v>
      </c>
      <c r="C1095" t="s">
        <v>169</v>
      </c>
      <c r="D1095" t="s">
        <v>8032</v>
      </c>
      <c r="E1095" t="s">
        <v>8033</v>
      </c>
      <c r="F1095" t="s">
        <v>1145</v>
      </c>
      <c r="G1095" t="s">
        <v>8034</v>
      </c>
      <c r="H1095" t="s">
        <v>8035</v>
      </c>
      <c r="I1095">
        <f t="shared" ca="1" si="68"/>
        <v>20</v>
      </c>
      <c r="J1095" t="str">
        <f t="shared" ca="1" si="69"/>
        <v>18-29</v>
      </c>
      <c r="K1095">
        <v>77520.95</v>
      </c>
      <c r="L1095" t="str">
        <f>IF(Workforce[[#This Row],[Salary]]&lt;50000,"30k-49k",IF(Workforce[[#This Row],[Salary]]&lt;70000,"50k-69k",IF(Workforce[[#This Row],[Salary]]&lt;90000,"70k-89k","90k+")))</f>
        <v>70k-89k</v>
      </c>
      <c r="M1095" t="s">
        <v>8036</v>
      </c>
      <c r="N1095">
        <f t="shared" ca="1" si="70"/>
        <v>5</v>
      </c>
      <c r="O1095" t="str">
        <f t="shared" ca="1" si="71"/>
        <v>Intermediate level</v>
      </c>
    </row>
    <row r="1096" spans="1:15" x14ac:dyDescent="0.3">
      <c r="A1096" t="s">
        <v>8037</v>
      </c>
      <c r="B1096" t="s">
        <v>8038</v>
      </c>
      <c r="C1096" t="s">
        <v>266</v>
      </c>
      <c r="D1096" t="s">
        <v>8039</v>
      </c>
      <c r="E1096" t="s">
        <v>8040</v>
      </c>
      <c r="F1096" t="s">
        <v>8041</v>
      </c>
      <c r="G1096" t="s">
        <v>8042</v>
      </c>
      <c r="H1096" t="s">
        <v>8043</v>
      </c>
      <c r="I1096">
        <f t="shared" ca="1" si="68"/>
        <v>61</v>
      </c>
      <c r="J1096" t="str">
        <f t="shared" ca="1" si="69"/>
        <v>60+</v>
      </c>
      <c r="K1096">
        <v>63205.18</v>
      </c>
      <c r="L1096" t="str">
        <f>IF(Workforce[[#This Row],[Salary]]&lt;50000,"30k-49k",IF(Workforce[[#This Row],[Salary]]&lt;70000,"50k-69k",IF(Workforce[[#This Row],[Salary]]&lt;90000,"70k-89k","90k+")))</f>
        <v>50k-69k</v>
      </c>
      <c r="M1096" t="s">
        <v>8044</v>
      </c>
      <c r="N1096">
        <f t="shared" ca="1" si="70"/>
        <v>2</v>
      </c>
      <c r="O1096" t="str">
        <f t="shared" ca="1" si="71"/>
        <v>Beginner</v>
      </c>
    </row>
    <row r="1097" spans="1:15" x14ac:dyDescent="0.3">
      <c r="A1097" t="s">
        <v>8045</v>
      </c>
      <c r="B1097" t="s">
        <v>8046</v>
      </c>
      <c r="C1097" t="s">
        <v>653</v>
      </c>
      <c r="D1097" t="s">
        <v>8047</v>
      </c>
      <c r="E1097" t="s">
        <v>8048</v>
      </c>
      <c r="F1097" t="s">
        <v>4697</v>
      </c>
      <c r="G1097" t="s">
        <v>8049</v>
      </c>
      <c r="H1097" t="s">
        <v>8050</v>
      </c>
      <c r="I1097">
        <f t="shared" ca="1" si="68"/>
        <v>61</v>
      </c>
      <c r="J1097" t="str">
        <f t="shared" ca="1" si="69"/>
        <v>60+</v>
      </c>
      <c r="K1097">
        <v>73522.27</v>
      </c>
      <c r="L1097" t="str">
        <f>IF(Workforce[[#This Row],[Salary]]&lt;50000,"30k-49k",IF(Workforce[[#This Row],[Salary]]&lt;70000,"50k-69k",IF(Workforce[[#This Row],[Salary]]&lt;90000,"70k-89k","90k+")))</f>
        <v>70k-89k</v>
      </c>
      <c r="M1097" t="s">
        <v>8051</v>
      </c>
      <c r="N1097">
        <f t="shared" ca="1" si="70"/>
        <v>1</v>
      </c>
      <c r="O1097" t="str">
        <f t="shared" ca="1" si="71"/>
        <v>Beginner</v>
      </c>
    </row>
    <row r="1098" spans="1:15" x14ac:dyDescent="0.3">
      <c r="A1098" t="s">
        <v>8052</v>
      </c>
      <c r="B1098" t="s">
        <v>8053</v>
      </c>
      <c r="C1098" t="s">
        <v>748</v>
      </c>
      <c r="D1098" t="s">
        <v>8054</v>
      </c>
      <c r="E1098" t="s">
        <v>8055</v>
      </c>
      <c r="F1098" t="s">
        <v>118</v>
      </c>
      <c r="G1098" t="s">
        <v>8056</v>
      </c>
      <c r="H1098" t="s">
        <v>8057</v>
      </c>
      <c r="I1098">
        <f t="shared" ca="1" si="68"/>
        <v>53</v>
      </c>
      <c r="J1098" t="str">
        <f t="shared" ca="1" si="69"/>
        <v>50-59</v>
      </c>
      <c r="K1098">
        <v>50227.85</v>
      </c>
      <c r="L1098" t="str">
        <f>IF(Workforce[[#This Row],[Salary]]&lt;50000,"30k-49k",IF(Workforce[[#This Row],[Salary]]&lt;70000,"50k-69k",IF(Workforce[[#This Row],[Salary]]&lt;90000,"70k-89k","90k+")))</f>
        <v>50k-69k</v>
      </c>
      <c r="M1098" t="s">
        <v>8058</v>
      </c>
      <c r="N1098">
        <f t="shared" ca="1" si="70"/>
        <v>7</v>
      </c>
      <c r="O1098" t="str">
        <f t="shared" ca="1" si="71"/>
        <v>Senior level</v>
      </c>
    </row>
    <row r="1099" spans="1:15" x14ac:dyDescent="0.3">
      <c r="A1099" t="s">
        <v>8059</v>
      </c>
      <c r="B1099" t="s">
        <v>8060</v>
      </c>
      <c r="C1099" t="s">
        <v>2086</v>
      </c>
      <c r="D1099" t="s">
        <v>8061</v>
      </c>
      <c r="E1099" t="s">
        <v>8062</v>
      </c>
      <c r="F1099" t="s">
        <v>1757</v>
      </c>
      <c r="G1099" t="s">
        <v>8063</v>
      </c>
      <c r="H1099" t="s">
        <v>8064</v>
      </c>
      <c r="I1099">
        <f t="shared" ca="1" si="68"/>
        <v>33</v>
      </c>
      <c r="J1099" t="str">
        <f t="shared" ca="1" si="69"/>
        <v>30-39</v>
      </c>
      <c r="K1099">
        <v>118718.3</v>
      </c>
      <c r="L1099" t="str">
        <f>IF(Workforce[[#This Row],[Salary]]&lt;50000,"30k-49k",IF(Workforce[[#This Row],[Salary]]&lt;70000,"50k-69k",IF(Workforce[[#This Row],[Salary]]&lt;90000,"70k-89k","90k+")))</f>
        <v>90k+</v>
      </c>
      <c r="M1099" t="s">
        <v>1118</v>
      </c>
      <c r="N1099">
        <f t="shared" ca="1" si="70"/>
        <v>2</v>
      </c>
      <c r="O1099" t="str">
        <f t="shared" ca="1" si="71"/>
        <v>Beginner</v>
      </c>
    </row>
    <row r="1100" spans="1:15" x14ac:dyDescent="0.3">
      <c r="A1100" t="s">
        <v>8065</v>
      </c>
      <c r="B1100" t="s">
        <v>8066</v>
      </c>
      <c r="C1100" t="s">
        <v>133</v>
      </c>
      <c r="D1100" t="s">
        <v>8067</v>
      </c>
      <c r="E1100" t="s">
        <v>8068</v>
      </c>
      <c r="F1100" t="s">
        <v>1053</v>
      </c>
      <c r="G1100" t="s">
        <v>8069</v>
      </c>
      <c r="H1100" t="s">
        <v>8070</v>
      </c>
      <c r="I1100">
        <f t="shared" ca="1" si="68"/>
        <v>35</v>
      </c>
      <c r="J1100" t="str">
        <f t="shared" ca="1" si="69"/>
        <v>30-39</v>
      </c>
      <c r="K1100">
        <v>51598.25</v>
      </c>
      <c r="L1100" t="str">
        <f>IF(Workforce[[#This Row],[Salary]]&lt;50000,"30k-49k",IF(Workforce[[#This Row],[Salary]]&lt;70000,"50k-69k",IF(Workforce[[#This Row],[Salary]]&lt;90000,"70k-89k","90k+")))</f>
        <v>50k-69k</v>
      </c>
      <c r="M1100" t="s">
        <v>8071</v>
      </c>
      <c r="N1100">
        <f t="shared" ca="1" si="70"/>
        <v>6</v>
      </c>
      <c r="O1100" t="str">
        <f t="shared" ca="1" si="71"/>
        <v>Intermediate level</v>
      </c>
    </row>
    <row r="1101" spans="1:15" x14ac:dyDescent="0.3">
      <c r="A1101" t="s">
        <v>8072</v>
      </c>
      <c r="B1101" t="s">
        <v>8073</v>
      </c>
      <c r="C1101" t="s">
        <v>1223</v>
      </c>
      <c r="D1101" t="s">
        <v>8074</v>
      </c>
      <c r="E1101" t="s">
        <v>8075</v>
      </c>
      <c r="F1101" t="s">
        <v>2358</v>
      </c>
      <c r="G1101" t="s">
        <v>8076</v>
      </c>
      <c r="H1101" t="s">
        <v>8077</v>
      </c>
      <c r="I1101">
        <f t="shared" ca="1" si="68"/>
        <v>20</v>
      </c>
      <c r="J1101" t="str">
        <f t="shared" ca="1" si="69"/>
        <v>18-29</v>
      </c>
      <c r="K1101">
        <v>62592.959999999999</v>
      </c>
      <c r="L1101" t="str">
        <f>IF(Workforce[[#This Row],[Salary]]&lt;50000,"30k-49k",IF(Workforce[[#This Row],[Salary]]&lt;70000,"50k-69k",IF(Workforce[[#This Row],[Salary]]&lt;90000,"70k-89k","90k+")))</f>
        <v>50k-69k</v>
      </c>
      <c r="M1101" t="s">
        <v>8078</v>
      </c>
      <c r="N1101">
        <f t="shared" ca="1" si="70"/>
        <v>1</v>
      </c>
      <c r="O1101" t="str">
        <f t="shared" ca="1" si="71"/>
        <v>Beginner</v>
      </c>
    </row>
    <row r="1102" spans="1:15" x14ac:dyDescent="0.3">
      <c r="A1102" t="s">
        <v>8079</v>
      </c>
      <c r="B1102" t="s">
        <v>8080</v>
      </c>
      <c r="C1102" t="s">
        <v>106</v>
      </c>
      <c r="D1102" t="s">
        <v>8081</v>
      </c>
      <c r="E1102" t="s">
        <v>8082</v>
      </c>
      <c r="F1102" t="s">
        <v>8083</v>
      </c>
      <c r="G1102" t="s">
        <v>8084</v>
      </c>
      <c r="H1102" t="s">
        <v>8085</v>
      </c>
      <c r="I1102">
        <f t="shared" ca="1" si="68"/>
        <v>44</v>
      </c>
      <c r="J1102" t="str">
        <f t="shared" ca="1" si="69"/>
        <v>40-49</v>
      </c>
      <c r="K1102">
        <v>32165.49</v>
      </c>
      <c r="L1102" t="str">
        <f>IF(Workforce[[#This Row],[Salary]]&lt;50000,"30k-49k",IF(Workforce[[#This Row],[Salary]]&lt;70000,"50k-69k",IF(Workforce[[#This Row],[Salary]]&lt;90000,"70k-89k","90k+")))</f>
        <v>30k-49k</v>
      </c>
      <c r="M1102" t="s">
        <v>4526</v>
      </c>
      <c r="N1102">
        <f t="shared" ca="1" si="70"/>
        <v>4</v>
      </c>
      <c r="O1102" t="str">
        <f t="shared" ca="1" si="71"/>
        <v>Intermediate level</v>
      </c>
    </row>
    <row r="1103" spans="1:15" x14ac:dyDescent="0.3">
      <c r="A1103" t="s">
        <v>8086</v>
      </c>
      <c r="B1103" t="s">
        <v>8087</v>
      </c>
      <c r="C1103" t="s">
        <v>457</v>
      </c>
      <c r="D1103" t="s">
        <v>8088</v>
      </c>
      <c r="E1103" t="s">
        <v>8089</v>
      </c>
      <c r="F1103" t="s">
        <v>1803</v>
      </c>
      <c r="G1103" t="s">
        <v>8090</v>
      </c>
      <c r="H1103" t="s">
        <v>3705</v>
      </c>
      <c r="I1103">
        <f t="shared" ca="1" si="68"/>
        <v>51</v>
      </c>
      <c r="J1103" t="str">
        <f t="shared" ca="1" si="69"/>
        <v>50-59</v>
      </c>
      <c r="K1103">
        <v>116821.57</v>
      </c>
      <c r="L1103" t="str">
        <f>IF(Workforce[[#This Row],[Salary]]&lt;50000,"30k-49k",IF(Workforce[[#This Row],[Salary]]&lt;70000,"50k-69k",IF(Workforce[[#This Row],[Salary]]&lt;90000,"70k-89k","90k+")))</f>
        <v>90k+</v>
      </c>
      <c r="M1103" t="s">
        <v>6437</v>
      </c>
      <c r="N1103">
        <f t="shared" ca="1" si="70"/>
        <v>7</v>
      </c>
      <c r="O1103" t="str">
        <f t="shared" ca="1" si="71"/>
        <v>Senior level</v>
      </c>
    </row>
    <row r="1104" spans="1:15" x14ac:dyDescent="0.3">
      <c r="A1104" t="s">
        <v>8091</v>
      </c>
      <c r="B1104" t="s">
        <v>8092</v>
      </c>
      <c r="C1104" t="s">
        <v>317</v>
      </c>
      <c r="D1104" t="s">
        <v>8093</v>
      </c>
      <c r="E1104" t="s">
        <v>8094</v>
      </c>
      <c r="F1104" t="s">
        <v>3028</v>
      </c>
      <c r="G1104" t="s">
        <v>8095</v>
      </c>
      <c r="H1104" t="s">
        <v>8096</v>
      </c>
      <c r="I1104">
        <f t="shared" ca="1" si="68"/>
        <v>25</v>
      </c>
      <c r="J1104" t="str">
        <f t="shared" ca="1" si="69"/>
        <v>18-29</v>
      </c>
      <c r="K1104">
        <v>51564.13</v>
      </c>
      <c r="L1104" t="str">
        <f>IF(Workforce[[#This Row],[Salary]]&lt;50000,"30k-49k",IF(Workforce[[#This Row],[Salary]]&lt;70000,"50k-69k",IF(Workforce[[#This Row],[Salary]]&lt;90000,"70k-89k","90k+")))</f>
        <v>50k-69k</v>
      </c>
      <c r="M1104" t="s">
        <v>8097</v>
      </c>
      <c r="N1104">
        <f t="shared" ca="1" si="70"/>
        <v>8</v>
      </c>
      <c r="O1104" t="str">
        <f t="shared" ca="1" si="71"/>
        <v>Senior level</v>
      </c>
    </row>
    <row r="1105" spans="1:15" x14ac:dyDescent="0.3">
      <c r="A1105" t="s">
        <v>8098</v>
      </c>
      <c r="B1105" t="s">
        <v>8099</v>
      </c>
      <c r="C1105" t="s">
        <v>70</v>
      </c>
      <c r="D1105" t="s">
        <v>8100</v>
      </c>
      <c r="E1105" t="s">
        <v>8101</v>
      </c>
      <c r="F1105" t="s">
        <v>3079</v>
      </c>
      <c r="G1105" t="s">
        <v>8102</v>
      </c>
      <c r="H1105" t="s">
        <v>8103</v>
      </c>
      <c r="I1105">
        <f t="shared" ca="1" si="68"/>
        <v>32</v>
      </c>
      <c r="J1105" t="str">
        <f t="shared" ca="1" si="69"/>
        <v>30-39</v>
      </c>
      <c r="K1105">
        <v>57867.31</v>
      </c>
      <c r="L1105" t="str">
        <f>IF(Workforce[[#This Row],[Salary]]&lt;50000,"30k-49k",IF(Workforce[[#This Row],[Salary]]&lt;70000,"50k-69k",IF(Workforce[[#This Row],[Salary]]&lt;90000,"70k-89k","90k+")))</f>
        <v>50k-69k</v>
      </c>
      <c r="M1105" t="s">
        <v>8097</v>
      </c>
      <c r="N1105">
        <f t="shared" ca="1" si="70"/>
        <v>8</v>
      </c>
      <c r="O1105" t="str">
        <f t="shared" ca="1" si="71"/>
        <v>Senior level</v>
      </c>
    </row>
    <row r="1106" spans="1:15" x14ac:dyDescent="0.3">
      <c r="A1106" t="s">
        <v>8104</v>
      </c>
      <c r="B1106" t="s">
        <v>8105</v>
      </c>
      <c r="C1106" t="s">
        <v>222</v>
      </c>
      <c r="D1106" t="s">
        <v>8106</v>
      </c>
      <c r="E1106" t="s">
        <v>8107</v>
      </c>
      <c r="F1106" t="s">
        <v>2358</v>
      </c>
      <c r="G1106" t="s">
        <v>8108</v>
      </c>
      <c r="H1106" t="s">
        <v>8109</v>
      </c>
      <c r="I1106">
        <f t="shared" ca="1" si="68"/>
        <v>48</v>
      </c>
      <c r="J1106" t="str">
        <f t="shared" ca="1" si="69"/>
        <v>40-49</v>
      </c>
      <c r="K1106">
        <v>85265.55</v>
      </c>
      <c r="L1106" t="str">
        <f>IF(Workforce[[#This Row],[Salary]]&lt;50000,"30k-49k",IF(Workforce[[#This Row],[Salary]]&lt;70000,"50k-69k",IF(Workforce[[#This Row],[Salary]]&lt;90000,"70k-89k","90k+")))</f>
        <v>70k-89k</v>
      </c>
      <c r="M1106" t="s">
        <v>8110</v>
      </c>
      <c r="N1106">
        <f t="shared" ca="1" si="70"/>
        <v>2</v>
      </c>
      <c r="O1106" t="str">
        <f t="shared" ca="1" si="71"/>
        <v>Beginner</v>
      </c>
    </row>
    <row r="1107" spans="1:15" x14ac:dyDescent="0.3">
      <c r="A1107" t="s">
        <v>8111</v>
      </c>
      <c r="B1107" t="s">
        <v>8112</v>
      </c>
      <c r="C1107" t="s">
        <v>133</v>
      </c>
      <c r="D1107" t="s">
        <v>8113</v>
      </c>
      <c r="E1107" t="s">
        <v>8114</v>
      </c>
      <c r="F1107" t="s">
        <v>501</v>
      </c>
      <c r="G1107" t="s">
        <v>8115</v>
      </c>
      <c r="H1107" t="s">
        <v>8116</v>
      </c>
      <c r="I1107">
        <f t="shared" ca="1" si="68"/>
        <v>37</v>
      </c>
      <c r="J1107" t="str">
        <f t="shared" ca="1" si="69"/>
        <v>30-39</v>
      </c>
      <c r="K1107">
        <v>55797.58</v>
      </c>
      <c r="L1107" t="str">
        <f>IF(Workforce[[#This Row],[Salary]]&lt;50000,"30k-49k",IF(Workforce[[#This Row],[Salary]]&lt;70000,"50k-69k",IF(Workforce[[#This Row],[Salary]]&lt;90000,"70k-89k","90k+")))</f>
        <v>50k-69k</v>
      </c>
      <c r="M1107" t="s">
        <v>5518</v>
      </c>
      <c r="N1107">
        <f t="shared" ca="1" si="70"/>
        <v>10</v>
      </c>
      <c r="O1107" t="str">
        <f t="shared" ca="1" si="71"/>
        <v>Senior level</v>
      </c>
    </row>
    <row r="1108" spans="1:15" x14ac:dyDescent="0.3">
      <c r="A1108" t="s">
        <v>8117</v>
      </c>
      <c r="B1108" t="s">
        <v>8118</v>
      </c>
      <c r="C1108" t="s">
        <v>70</v>
      </c>
      <c r="D1108" t="s">
        <v>8119</v>
      </c>
      <c r="E1108" t="s">
        <v>8120</v>
      </c>
      <c r="F1108" t="s">
        <v>434</v>
      </c>
      <c r="G1108" t="s">
        <v>8121</v>
      </c>
      <c r="H1108" t="s">
        <v>8122</v>
      </c>
      <c r="I1108">
        <f t="shared" ca="1" si="68"/>
        <v>43</v>
      </c>
      <c r="J1108" t="str">
        <f t="shared" ca="1" si="69"/>
        <v>40-49</v>
      </c>
      <c r="K1108">
        <v>42874.04</v>
      </c>
      <c r="L1108" t="str">
        <f>IF(Workforce[[#This Row],[Salary]]&lt;50000,"30k-49k",IF(Workforce[[#This Row],[Salary]]&lt;70000,"50k-69k",IF(Workforce[[#This Row],[Salary]]&lt;90000,"70k-89k","90k+")))</f>
        <v>30k-49k</v>
      </c>
      <c r="M1108" t="s">
        <v>7855</v>
      </c>
      <c r="N1108">
        <f t="shared" ca="1" si="70"/>
        <v>9</v>
      </c>
      <c r="O1108" t="str">
        <f t="shared" ca="1" si="71"/>
        <v>Senior level</v>
      </c>
    </row>
    <row r="1109" spans="1:15" x14ac:dyDescent="0.3">
      <c r="A1109" t="s">
        <v>8123</v>
      </c>
      <c r="B1109" t="s">
        <v>8124</v>
      </c>
      <c r="C1109" t="s">
        <v>213</v>
      </c>
      <c r="D1109" t="s">
        <v>8125</v>
      </c>
      <c r="E1109" t="s">
        <v>8126</v>
      </c>
      <c r="F1109" t="s">
        <v>6260</v>
      </c>
      <c r="G1109" t="s">
        <v>8127</v>
      </c>
      <c r="H1109" t="s">
        <v>8128</v>
      </c>
      <c r="I1109">
        <f t="shared" ca="1" si="68"/>
        <v>20</v>
      </c>
      <c r="J1109" t="str">
        <f t="shared" ca="1" si="69"/>
        <v>18-29</v>
      </c>
      <c r="K1109">
        <v>38795.410000000003</v>
      </c>
      <c r="L1109" t="str">
        <f>IF(Workforce[[#This Row],[Salary]]&lt;50000,"30k-49k",IF(Workforce[[#This Row],[Salary]]&lt;70000,"50k-69k",IF(Workforce[[#This Row],[Salary]]&lt;90000,"70k-89k","90k+")))</f>
        <v>30k-49k</v>
      </c>
      <c r="M1109" t="s">
        <v>8129</v>
      </c>
      <c r="N1109">
        <f t="shared" ca="1" si="70"/>
        <v>8</v>
      </c>
      <c r="O1109" t="str">
        <f t="shared" ca="1" si="71"/>
        <v>Senior level</v>
      </c>
    </row>
    <row r="1110" spans="1:15" x14ac:dyDescent="0.3">
      <c r="A1110" t="s">
        <v>8130</v>
      </c>
      <c r="B1110" t="s">
        <v>8131</v>
      </c>
      <c r="C1110" t="s">
        <v>653</v>
      </c>
      <c r="D1110" t="s">
        <v>8132</v>
      </c>
      <c r="E1110" t="s">
        <v>8133</v>
      </c>
      <c r="F1110" t="s">
        <v>3545</v>
      </c>
      <c r="G1110" t="s">
        <v>8134</v>
      </c>
      <c r="H1110" t="s">
        <v>8135</v>
      </c>
      <c r="I1110">
        <f t="shared" ca="1" si="68"/>
        <v>38</v>
      </c>
      <c r="J1110" t="str">
        <f t="shared" ca="1" si="69"/>
        <v>30-39</v>
      </c>
      <c r="K1110">
        <v>88849.53</v>
      </c>
      <c r="L1110" t="str">
        <f>IF(Workforce[[#This Row],[Salary]]&lt;50000,"30k-49k",IF(Workforce[[#This Row],[Salary]]&lt;70000,"50k-69k",IF(Workforce[[#This Row],[Salary]]&lt;90000,"70k-89k","90k+")))</f>
        <v>70k-89k</v>
      </c>
      <c r="M1110" t="s">
        <v>8110</v>
      </c>
      <c r="N1110">
        <f t="shared" ca="1" si="70"/>
        <v>2</v>
      </c>
      <c r="O1110" t="str">
        <f t="shared" ca="1" si="71"/>
        <v>Beginner</v>
      </c>
    </row>
    <row r="1111" spans="1:15" x14ac:dyDescent="0.3">
      <c r="A1111" t="s">
        <v>8136</v>
      </c>
      <c r="B1111" t="s">
        <v>8137</v>
      </c>
      <c r="C1111" t="s">
        <v>774</v>
      </c>
      <c r="D1111" t="s">
        <v>8138</v>
      </c>
      <c r="E1111" t="s">
        <v>8139</v>
      </c>
      <c r="F1111" t="s">
        <v>269</v>
      </c>
      <c r="G1111" t="s">
        <v>270</v>
      </c>
      <c r="H1111" t="s">
        <v>8140</v>
      </c>
      <c r="I1111">
        <f t="shared" ca="1" si="68"/>
        <v>63</v>
      </c>
      <c r="J1111" t="str">
        <f t="shared" ca="1" si="69"/>
        <v>60+</v>
      </c>
      <c r="K1111">
        <v>72736.66</v>
      </c>
      <c r="L1111" t="str">
        <f>IF(Workforce[[#This Row],[Salary]]&lt;50000,"30k-49k",IF(Workforce[[#This Row],[Salary]]&lt;70000,"50k-69k",IF(Workforce[[#This Row],[Salary]]&lt;90000,"70k-89k","90k+")))</f>
        <v>70k-89k</v>
      </c>
      <c r="M1111" t="s">
        <v>8141</v>
      </c>
      <c r="N1111">
        <f t="shared" ca="1" si="70"/>
        <v>8</v>
      </c>
      <c r="O1111" t="str">
        <f t="shared" ca="1" si="71"/>
        <v>Senior level</v>
      </c>
    </row>
    <row r="1112" spans="1:15" x14ac:dyDescent="0.3">
      <c r="A1112" t="s">
        <v>8142</v>
      </c>
      <c r="B1112" t="s">
        <v>8143</v>
      </c>
      <c r="C1112" t="s">
        <v>757</v>
      </c>
      <c r="D1112" t="s">
        <v>8144</v>
      </c>
      <c r="E1112" t="s">
        <v>8145</v>
      </c>
      <c r="F1112" t="s">
        <v>886</v>
      </c>
      <c r="G1112" t="s">
        <v>8146</v>
      </c>
      <c r="H1112" t="s">
        <v>8147</v>
      </c>
      <c r="I1112">
        <f t="shared" ca="1" si="68"/>
        <v>63</v>
      </c>
      <c r="J1112" t="str">
        <f t="shared" ca="1" si="69"/>
        <v>60+</v>
      </c>
      <c r="K1112">
        <v>119988.56</v>
      </c>
      <c r="L1112" t="str">
        <f>IF(Workforce[[#This Row],[Salary]]&lt;50000,"30k-49k",IF(Workforce[[#This Row],[Salary]]&lt;70000,"50k-69k",IF(Workforce[[#This Row],[Salary]]&lt;90000,"70k-89k","90k+")))</f>
        <v>90k+</v>
      </c>
      <c r="M1112" t="s">
        <v>8148</v>
      </c>
      <c r="N1112">
        <f t="shared" ca="1" si="70"/>
        <v>7</v>
      </c>
      <c r="O1112" t="str">
        <f t="shared" ca="1" si="71"/>
        <v>Senior level</v>
      </c>
    </row>
    <row r="1113" spans="1:15" x14ac:dyDescent="0.3">
      <c r="A1113" t="s">
        <v>8149</v>
      </c>
      <c r="B1113" t="s">
        <v>8150</v>
      </c>
      <c r="C1113" t="s">
        <v>400</v>
      </c>
      <c r="D1113" t="s">
        <v>8151</v>
      </c>
      <c r="E1113" t="s">
        <v>8152</v>
      </c>
      <c r="F1113" t="s">
        <v>5477</v>
      </c>
      <c r="G1113" t="s">
        <v>8153</v>
      </c>
      <c r="H1113" t="s">
        <v>6385</v>
      </c>
      <c r="I1113">
        <f t="shared" ca="1" si="68"/>
        <v>60</v>
      </c>
      <c r="J1113" t="str">
        <f t="shared" ca="1" si="69"/>
        <v>60+</v>
      </c>
      <c r="K1113">
        <v>113285</v>
      </c>
      <c r="L1113" t="str">
        <f>IF(Workforce[[#This Row],[Salary]]&lt;50000,"30k-49k",IF(Workforce[[#This Row],[Salary]]&lt;70000,"50k-69k",IF(Workforce[[#This Row],[Salary]]&lt;90000,"70k-89k","90k+")))</f>
        <v>90k+</v>
      </c>
      <c r="M1113" t="s">
        <v>8154</v>
      </c>
      <c r="N1113">
        <f t="shared" ca="1" si="70"/>
        <v>3</v>
      </c>
      <c r="O1113" t="str">
        <f t="shared" ca="1" si="71"/>
        <v>Intermediate level</v>
      </c>
    </row>
    <row r="1114" spans="1:15" x14ac:dyDescent="0.3">
      <c r="A1114" t="s">
        <v>8155</v>
      </c>
      <c r="B1114" t="s">
        <v>8156</v>
      </c>
      <c r="C1114" t="s">
        <v>178</v>
      </c>
      <c r="D1114" t="s">
        <v>8157</v>
      </c>
      <c r="E1114" t="s">
        <v>8158</v>
      </c>
      <c r="F1114" t="s">
        <v>1849</v>
      </c>
      <c r="G1114" t="s">
        <v>8159</v>
      </c>
      <c r="H1114" t="s">
        <v>8160</v>
      </c>
      <c r="I1114">
        <f t="shared" ca="1" si="68"/>
        <v>34</v>
      </c>
      <c r="J1114" t="str">
        <f t="shared" ca="1" si="69"/>
        <v>30-39</v>
      </c>
      <c r="K1114">
        <v>95119.47</v>
      </c>
      <c r="L1114" t="str">
        <f>IF(Workforce[[#This Row],[Salary]]&lt;50000,"30k-49k",IF(Workforce[[#This Row],[Salary]]&lt;70000,"50k-69k",IF(Workforce[[#This Row],[Salary]]&lt;90000,"70k-89k","90k+")))</f>
        <v>90k+</v>
      </c>
      <c r="M1114" t="s">
        <v>3363</v>
      </c>
      <c r="N1114">
        <f t="shared" ca="1" si="70"/>
        <v>1</v>
      </c>
      <c r="O1114" t="str">
        <f t="shared" ca="1" si="71"/>
        <v>Beginner</v>
      </c>
    </row>
    <row r="1115" spans="1:15" x14ac:dyDescent="0.3">
      <c r="A1115" t="s">
        <v>8161</v>
      </c>
      <c r="B1115" t="s">
        <v>8162</v>
      </c>
      <c r="C1115" t="s">
        <v>79</v>
      </c>
      <c r="D1115" t="s">
        <v>8163</v>
      </c>
      <c r="E1115" t="s">
        <v>8164</v>
      </c>
      <c r="F1115" t="s">
        <v>2960</v>
      </c>
      <c r="G1115" t="s">
        <v>8165</v>
      </c>
      <c r="H1115" t="s">
        <v>8166</v>
      </c>
      <c r="I1115">
        <f t="shared" ca="1" si="68"/>
        <v>44</v>
      </c>
      <c r="J1115" t="str">
        <f t="shared" ca="1" si="69"/>
        <v>40-49</v>
      </c>
      <c r="K1115">
        <v>74095.58</v>
      </c>
      <c r="L1115" t="str">
        <f>IF(Workforce[[#This Row],[Salary]]&lt;50000,"30k-49k",IF(Workforce[[#This Row],[Salary]]&lt;70000,"50k-69k",IF(Workforce[[#This Row],[Salary]]&lt;90000,"70k-89k","90k+")))</f>
        <v>70k-89k</v>
      </c>
      <c r="M1115" t="s">
        <v>8167</v>
      </c>
      <c r="N1115">
        <f t="shared" ca="1" si="70"/>
        <v>2</v>
      </c>
      <c r="O1115" t="str">
        <f t="shared" ca="1" si="71"/>
        <v>Beginner</v>
      </c>
    </row>
    <row r="1116" spans="1:15" x14ac:dyDescent="0.3">
      <c r="A1116" t="s">
        <v>8168</v>
      </c>
      <c r="B1116" t="s">
        <v>8169</v>
      </c>
      <c r="C1116" t="s">
        <v>2086</v>
      </c>
      <c r="D1116" t="s">
        <v>8170</v>
      </c>
      <c r="E1116" t="s">
        <v>8171</v>
      </c>
      <c r="F1116" t="s">
        <v>8172</v>
      </c>
      <c r="G1116" t="s">
        <v>8173</v>
      </c>
      <c r="H1116" t="s">
        <v>8174</v>
      </c>
      <c r="I1116">
        <f t="shared" ca="1" si="68"/>
        <v>53</v>
      </c>
      <c r="J1116" t="str">
        <f t="shared" ca="1" si="69"/>
        <v>50-59</v>
      </c>
      <c r="K1116">
        <v>82697.02</v>
      </c>
      <c r="L1116" t="str">
        <f>IF(Workforce[[#This Row],[Salary]]&lt;50000,"30k-49k",IF(Workforce[[#This Row],[Salary]]&lt;70000,"50k-69k",IF(Workforce[[#This Row],[Salary]]&lt;90000,"70k-89k","90k+")))</f>
        <v>70k-89k</v>
      </c>
      <c r="M1116" t="s">
        <v>8175</v>
      </c>
      <c r="N1116">
        <f t="shared" ca="1" si="70"/>
        <v>9</v>
      </c>
      <c r="O1116" t="str">
        <f t="shared" ca="1" si="71"/>
        <v>Senior level</v>
      </c>
    </row>
    <row r="1117" spans="1:15" x14ac:dyDescent="0.3">
      <c r="A1117" t="s">
        <v>8176</v>
      </c>
      <c r="B1117" t="s">
        <v>8177</v>
      </c>
      <c r="C1117" t="s">
        <v>44</v>
      </c>
      <c r="D1117" t="s">
        <v>8178</v>
      </c>
      <c r="E1117" t="s">
        <v>8179</v>
      </c>
      <c r="F1117" t="s">
        <v>4008</v>
      </c>
      <c r="G1117" t="s">
        <v>8180</v>
      </c>
      <c r="H1117" t="s">
        <v>8181</v>
      </c>
      <c r="I1117">
        <f t="shared" ca="1" si="68"/>
        <v>27</v>
      </c>
      <c r="J1117" t="str">
        <f t="shared" ca="1" si="69"/>
        <v>18-29</v>
      </c>
      <c r="K1117">
        <v>117811.77</v>
      </c>
      <c r="L1117" t="str">
        <f>IF(Workforce[[#This Row],[Salary]]&lt;50000,"30k-49k",IF(Workforce[[#This Row],[Salary]]&lt;70000,"50k-69k",IF(Workforce[[#This Row],[Salary]]&lt;90000,"70k-89k","90k+")))</f>
        <v>90k+</v>
      </c>
      <c r="M1117" t="s">
        <v>8182</v>
      </c>
      <c r="N1117">
        <f t="shared" ca="1" si="70"/>
        <v>3</v>
      </c>
      <c r="O1117" t="str">
        <f t="shared" ca="1" si="71"/>
        <v>Intermediate level</v>
      </c>
    </row>
    <row r="1118" spans="1:15" x14ac:dyDescent="0.3">
      <c r="A1118" t="s">
        <v>8183</v>
      </c>
      <c r="B1118" t="s">
        <v>8184</v>
      </c>
      <c r="C1118" t="s">
        <v>61</v>
      </c>
      <c r="D1118" t="s">
        <v>8185</v>
      </c>
      <c r="E1118" t="s">
        <v>8186</v>
      </c>
      <c r="F1118" t="s">
        <v>5729</v>
      </c>
      <c r="G1118" t="s">
        <v>8187</v>
      </c>
      <c r="H1118" t="s">
        <v>8188</v>
      </c>
      <c r="I1118">
        <f t="shared" ca="1" si="68"/>
        <v>51</v>
      </c>
      <c r="J1118" t="str">
        <f t="shared" ca="1" si="69"/>
        <v>50-59</v>
      </c>
      <c r="K1118">
        <v>48978.21</v>
      </c>
      <c r="L1118" t="str">
        <f>IF(Workforce[[#This Row],[Salary]]&lt;50000,"30k-49k",IF(Workforce[[#This Row],[Salary]]&lt;70000,"50k-69k",IF(Workforce[[#This Row],[Salary]]&lt;90000,"70k-89k","90k+")))</f>
        <v>30k-49k</v>
      </c>
      <c r="M1118" t="s">
        <v>8189</v>
      </c>
      <c r="N1118">
        <f t="shared" ca="1" si="70"/>
        <v>6</v>
      </c>
      <c r="O1118" t="str">
        <f t="shared" ca="1" si="71"/>
        <v>Intermediate level</v>
      </c>
    </row>
    <row r="1119" spans="1:15" x14ac:dyDescent="0.3">
      <c r="A1119" t="s">
        <v>8190</v>
      </c>
      <c r="B1119" t="s">
        <v>8191</v>
      </c>
      <c r="C1119" t="s">
        <v>257</v>
      </c>
      <c r="D1119" t="s">
        <v>8192</v>
      </c>
      <c r="E1119" t="s">
        <v>8193</v>
      </c>
      <c r="F1119" t="s">
        <v>4669</v>
      </c>
      <c r="G1119" t="s">
        <v>8194</v>
      </c>
      <c r="H1119" t="s">
        <v>8195</v>
      </c>
      <c r="I1119">
        <f t="shared" ca="1" si="68"/>
        <v>41</v>
      </c>
      <c r="J1119" t="str">
        <f t="shared" ca="1" si="69"/>
        <v>40-49</v>
      </c>
      <c r="K1119">
        <v>41798.5</v>
      </c>
      <c r="L1119" t="str">
        <f>IF(Workforce[[#This Row],[Salary]]&lt;50000,"30k-49k",IF(Workforce[[#This Row],[Salary]]&lt;70000,"50k-69k",IF(Workforce[[#This Row],[Salary]]&lt;90000,"70k-89k","90k+")))</f>
        <v>30k-49k</v>
      </c>
      <c r="M1119" t="s">
        <v>4678</v>
      </c>
      <c r="N1119">
        <f t="shared" ca="1" si="70"/>
        <v>9</v>
      </c>
      <c r="O1119" t="str">
        <f t="shared" ca="1" si="71"/>
        <v>Senior level</v>
      </c>
    </row>
    <row r="1120" spans="1:15" x14ac:dyDescent="0.3">
      <c r="A1120" t="s">
        <v>8196</v>
      </c>
      <c r="B1120" t="s">
        <v>8197</v>
      </c>
      <c r="C1120" t="s">
        <v>317</v>
      </c>
      <c r="D1120" t="s">
        <v>8198</v>
      </c>
      <c r="E1120" t="s">
        <v>8199</v>
      </c>
      <c r="F1120" t="s">
        <v>8200</v>
      </c>
      <c r="G1120" t="s">
        <v>8201</v>
      </c>
      <c r="H1120" t="s">
        <v>8202</v>
      </c>
      <c r="I1120">
        <f t="shared" ca="1" si="68"/>
        <v>56</v>
      </c>
      <c r="J1120" t="str">
        <f t="shared" ca="1" si="69"/>
        <v>50-59</v>
      </c>
      <c r="K1120">
        <v>106346.61</v>
      </c>
      <c r="L1120" t="str">
        <f>IF(Workforce[[#This Row],[Salary]]&lt;50000,"30k-49k",IF(Workforce[[#This Row],[Salary]]&lt;70000,"50k-69k",IF(Workforce[[#This Row],[Salary]]&lt;90000,"70k-89k","90k+")))</f>
        <v>90k+</v>
      </c>
      <c r="M1120" t="s">
        <v>4671</v>
      </c>
      <c r="N1120">
        <f t="shared" ca="1" si="70"/>
        <v>9</v>
      </c>
      <c r="O1120" t="str">
        <f t="shared" ca="1" si="71"/>
        <v>Senior level</v>
      </c>
    </row>
    <row r="1121" spans="1:15" x14ac:dyDescent="0.3">
      <c r="A1121" t="s">
        <v>8203</v>
      </c>
      <c r="B1121" t="s">
        <v>8204</v>
      </c>
      <c r="C1121" t="s">
        <v>400</v>
      </c>
      <c r="D1121" t="s">
        <v>8205</v>
      </c>
      <c r="E1121" t="s">
        <v>8206</v>
      </c>
      <c r="F1121" t="s">
        <v>2401</v>
      </c>
      <c r="G1121" t="s">
        <v>8207</v>
      </c>
      <c r="H1121" t="s">
        <v>8208</v>
      </c>
      <c r="I1121">
        <f t="shared" ca="1" si="68"/>
        <v>63</v>
      </c>
      <c r="J1121" t="str">
        <f t="shared" ca="1" si="69"/>
        <v>60+</v>
      </c>
      <c r="K1121">
        <v>110117.31</v>
      </c>
      <c r="L1121" t="str">
        <f>IF(Workforce[[#This Row],[Salary]]&lt;50000,"30k-49k",IF(Workforce[[#This Row],[Salary]]&lt;70000,"50k-69k",IF(Workforce[[#This Row],[Salary]]&lt;90000,"70k-89k","90k+")))</f>
        <v>90k+</v>
      </c>
      <c r="M1121" t="s">
        <v>8209</v>
      </c>
      <c r="N1121">
        <f t="shared" ca="1" si="70"/>
        <v>9</v>
      </c>
      <c r="O1121" t="str">
        <f t="shared" ca="1" si="71"/>
        <v>Senior level</v>
      </c>
    </row>
    <row r="1122" spans="1:15" x14ac:dyDescent="0.3">
      <c r="A1122" t="s">
        <v>8210</v>
      </c>
      <c r="B1122" t="s">
        <v>8211</v>
      </c>
      <c r="C1122" t="s">
        <v>580</v>
      </c>
      <c r="D1122" t="s">
        <v>8212</v>
      </c>
      <c r="E1122" t="s">
        <v>8213</v>
      </c>
      <c r="F1122" t="s">
        <v>3404</v>
      </c>
      <c r="G1122" t="s">
        <v>8214</v>
      </c>
      <c r="H1122" t="s">
        <v>8215</v>
      </c>
      <c r="I1122">
        <f t="shared" ca="1" si="68"/>
        <v>64</v>
      </c>
      <c r="J1122" t="str">
        <f t="shared" ca="1" si="69"/>
        <v>60+</v>
      </c>
      <c r="K1122">
        <v>89631.97</v>
      </c>
      <c r="L1122" t="str">
        <f>IF(Workforce[[#This Row],[Salary]]&lt;50000,"30k-49k",IF(Workforce[[#This Row],[Salary]]&lt;70000,"50k-69k",IF(Workforce[[#This Row],[Salary]]&lt;90000,"70k-89k","90k+")))</f>
        <v>70k-89k</v>
      </c>
      <c r="M1122" t="s">
        <v>2120</v>
      </c>
      <c r="N1122">
        <f t="shared" ca="1" si="70"/>
        <v>5</v>
      </c>
      <c r="O1122" t="str">
        <f t="shared" ca="1" si="71"/>
        <v>Intermediate level</v>
      </c>
    </row>
    <row r="1123" spans="1:15" x14ac:dyDescent="0.3">
      <c r="A1123" t="s">
        <v>8216</v>
      </c>
      <c r="B1123" t="s">
        <v>8217</v>
      </c>
      <c r="C1123" t="s">
        <v>457</v>
      </c>
      <c r="D1123" t="s">
        <v>8218</v>
      </c>
      <c r="E1123" t="s">
        <v>8219</v>
      </c>
      <c r="F1123" t="s">
        <v>3486</v>
      </c>
      <c r="G1123" t="s">
        <v>8220</v>
      </c>
      <c r="H1123" t="s">
        <v>8221</v>
      </c>
      <c r="I1123">
        <f t="shared" ca="1" si="68"/>
        <v>44</v>
      </c>
      <c r="J1123" t="str">
        <f t="shared" ca="1" si="69"/>
        <v>40-49</v>
      </c>
      <c r="K1123">
        <v>34885.94</v>
      </c>
      <c r="L1123" t="str">
        <f>IF(Workforce[[#This Row],[Salary]]&lt;50000,"30k-49k",IF(Workforce[[#This Row],[Salary]]&lt;70000,"50k-69k",IF(Workforce[[#This Row],[Salary]]&lt;90000,"70k-89k","90k+")))</f>
        <v>30k-49k</v>
      </c>
      <c r="M1123" t="s">
        <v>8222</v>
      </c>
      <c r="N1123">
        <f t="shared" ca="1" si="70"/>
        <v>9</v>
      </c>
      <c r="O1123" t="str">
        <f t="shared" ca="1" si="71"/>
        <v>Senior level</v>
      </c>
    </row>
    <row r="1124" spans="1:15" x14ac:dyDescent="0.3">
      <c r="A1124" t="s">
        <v>8223</v>
      </c>
      <c r="B1124" t="s">
        <v>8224</v>
      </c>
      <c r="C1124" t="s">
        <v>580</v>
      </c>
      <c r="D1124" t="s">
        <v>8225</v>
      </c>
      <c r="E1124" t="s">
        <v>8226</v>
      </c>
      <c r="F1124" t="s">
        <v>100</v>
      </c>
      <c r="G1124" t="s">
        <v>8227</v>
      </c>
      <c r="H1124" t="s">
        <v>8228</v>
      </c>
      <c r="I1124">
        <f t="shared" ca="1" si="68"/>
        <v>36</v>
      </c>
      <c r="J1124" t="str">
        <f t="shared" ca="1" si="69"/>
        <v>30-39</v>
      </c>
      <c r="K1124">
        <v>45705.14</v>
      </c>
      <c r="L1124" t="str">
        <f>IF(Workforce[[#This Row],[Salary]]&lt;50000,"30k-49k",IF(Workforce[[#This Row],[Salary]]&lt;70000,"50k-69k",IF(Workforce[[#This Row],[Salary]]&lt;90000,"70k-89k","90k+")))</f>
        <v>30k-49k</v>
      </c>
      <c r="M1124" t="s">
        <v>8229</v>
      </c>
      <c r="N1124">
        <f t="shared" ca="1" si="70"/>
        <v>1</v>
      </c>
      <c r="O1124" t="str">
        <f t="shared" ca="1" si="71"/>
        <v>Beginner</v>
      </c>
    </row>
    <row r="1125" spans="1:15" x14ac:dyDescent="0.3">
      <c r="A1125" t="s">
        <v>8230</v>
      </c>
      <c r="B1125" t="s">
        <v>8231</v>
      </c>
      <c r="C1125" t="s">
        <v>169</v>
      </c>
      <c r="D1125" t="s">
        <v>8232</v>
      </c>
      <c r="E1125" t="s">
        <v>8233</v>
      </c>
      <c r="F1125" t="s">
        <v>8234</v>
      </c>
      <c r="G1125" t="s">
        <v>8235</v>
      </c>
      <c r="H1125" t="s">
        <v>8236</v>
      </c>
      <c r="I1125">
        <f t="shared" ca="1" si="68"/>
        <v>57</v>
      </c>
      <c r="J1125" t="str">
        <f t="shared" ca="1" si="69"/>
        <v>50-59</v>
      </c>
      <c r="K1125">
        <v>94855.22</v>
      </c>
      <c r="L1125" t="str">
        <f>IF(Workforce[[#This Row],[Salary]]&lt;50000,"30k-49k",IF(Workforce[[#This Row],[Salary]]&lt;70000,"50k-69k",IF(Workforce[[#This Row],[Salary]]&lt;90000,"70k-89k","90k+")))</f>
        <v>90k+</v>
      </c>
      <c r="M1125" t="s">
        <v>8237</v>
      </c>
      <c r="N1125">
        <f t="shared" ca="1" si="70"/>
        <v>7</v>
      </c>
      <c r="O1125" t="str">
        <f t="shared" ca="1" si="71"/>
        <v>Senior level</v>
      </c>
    </row>
    <row r="1126" spans="1:15" x14ac:dyDescent="0.3">
      <c r="A1126" t="s">
        <v>8238</v>
      </c>
      <c r="B1126" t="s">
        <v>8239</v>
      </c>
      <c r="C1126" t="s">
        <v>26</v>
      </c>
      <c r="D1126" t="s">
        <v>8240</v>
      </c>
      <c r="E1126" t="s">
        <v>8241</v>
      </c>
      <c r="F1126" t="s">
        <v>1123</v>
      </c>
      <c r="G1126" t="s">
        <v>8242</v>
      </c>
      <c r="H1126" t="s">
        <v>8243</v>
      </c>
      <c r="I1126">
        <f t="shared" ca="1" si="68"/>
        <v>35</v>
      </c>
      <c r="J1126" t="str">
        <f t="shared" ca="1" si="69"/>
        <v>30-39</v>
      </c>
      <c r="K1126">
        <v>72897.5</v>
      </c>
      <c r="L1126" t="str">
        <f>IF(Workforce[[#This Row],[Salary]]&lt;50000,"30k-49k",IF(Workforce[[#This Row],[Salary]]&lt;70000,"50k-69k",IF(Workforce[[#This Row],[Salary]]&lt;90000,"70k-89k","90k+")))</f>
        <v>70k-89k</v>
      </c>
      <c r="M1126" t="s">
        <v>8244</v>
      </c>
      <c r="N1126">
        <f t="shared" ca="1" si="70"/>
        <v>7</v>
      </c>
      <c r="O1126" t="str">
        <f t="shared" ca="1" si="71"/>
        <v>Senior level</v>
      </c>
    </row>
    <row r="1127" spans="1:15" x14ac:dyDescent="0.3">
      <c r="A1127" t="s">
        <v>8245</v>
      </c>
      <c r="B1127" t="s">
        <v>8246</v>
      </c>
      <c r="C1127" t="s">
        <v>26</v>
      </c>
      <c r="D1127" t="s">
        <v>8247</v>
      </c>
      <c r="E1127" t="s">
        <v>8248</v>
      </c>
      <c r="F1127" t="s">
        <v>8249</v>
      </c>
      <c r="G1127" t="s">
        <v>8250</v>
      </c>
      <c r="H1127" t="s">
        <v>8251</v>
      </c>
      <c r="I1127">
        <f t="shared" ca="1" si="68"/>
        <v>48</v>
      </c>
      <c r="J1127" t="str">
        <f t="shared" ca="1" si="69"/>
        <v>40-49</v>
      </c>
      <c r="K1127">
        <v>95426.39</v>
      </c>
      <c r="L1127" t="str">
        <f>IF(Workforce[[#This Row],[Salary]]&lt;50000,"30k-49k",IF(Workforce[[#This Row],[Salary]]&lt;70000,"50k-69k",IF(Workforce[[#This Row],[Salary]]&lt;90000,"70k-89k","90k+")))</f>
        <v>90k+</v>
      </c>
      <c r="M1127" t="s">
        <v>8252</v>
      </c>
      <c r="N1127">
        <f t="shared" ca="1" si="70"/>
        <v>9</v>
      </c>
      <c r="O1127" t="str">
        <f t="shared" ca="1" si="71"/>
        <v>Senior level</v>
      </c>
    </row>
    <row r="1128" spans="1:15" x14ac:dyDescent="0.3">
      <c r="A1128" t="s">
        <v>8253</v>
      </c>
      <c r="B1128" t="s">
        <v>8254</v>
      </c>
      <c r="C1128" t="s">
        <v>231</v>
      </c>
      <c r="D1128" t="s">
        <v>8255</v>
      </c>
      <c r="E1128" t="s">
        <v>8256</v>
      </c>
      <c r="F1128" t="s">
        <v>172</v>
      </c>
      <c r="G1128" t="s">
        <v>8257</v>
      </c>
      <c r="H1128" t="s">
        <v>8258</v>
      </c>
      <c r="I1128">
        <f t="shared" ca="1" si="68"/>
        <v>50</v>
      </c>
      <c r="J1128" t="str">
        <f t="shared" ca="1" si="69"/>
        <v>50-59</v>
      </c>
      <c r="K1128">
        <v>89438.52</v>
      </c>
      <c r="L1128" t="str">
        <f>IF(Workforce[[#This Row],[Salary]]&lt;50000,"30k-49k",IF(Workforce[[#This Row],[Salary]]&lt;70000,"50k-69k",IF(Workforce[[#This Row],[Salary]]&lt;90000,"70k-89k","90k+")))</f>
        <v>70k-89k</v>
      </c>
      <c r="M1128" t="s">
        <v>8259</v>
      </c>
      <c r="N1128">
        <f t="shared" ca="1" si="70"/>
        <v>7</v>
      </c>
      <c r="O1128" t="str">
        <f t="shared" ca="1" si="71"/>
        <v>Senior level</v>
      </c>
    </row>
    <row r="1129" spans="1:15" x14ac:dyDescent="0.3">
      <c r="A1129" t="s">
        <v>8260</v>
      </c>
      <c r="B1129" t="s">
        <v>8261</v>
      </c>
      <c r="C1129" t="s">
        <v>17</v>
      </c>
      <c r="D1129" t="s">
        <v>8262</v>
      </c>
      <c r="E1129" t="s">
        <v>8263</v>
      </c>
      <c r="F1129" t="s">
        <v>8264</v>
      </c>
      <c r="G1129" t="s">
        <v>8265</v>
      </c>
      <c r="H1129" t="s">
        <v>8266</v>
      </c>
      <c r="I1129">
        <f t="shared" ca="1" si="68"/>
        <v>26</v>
      </c>
      <c r="J1129" t="str">
        <f t="shared" ca="1" si="69"/>
        <v>18-29</v>
      </c>
      <c r="K1129">
        <v>90411.520000000004</v>
      </c>
      <c r="L1129" t="str">
        <f>IF(Workforce[[#This Row],[Salary]]&lt;50000,"30k-49k",IF(Workforce[[#This Row],[Salary]]&lt;70000,"50k-69k",IF(Workforce[[#This Row],[Salary]]&lt;90000,"70k-89k","90k+")))</f>
        <v>90k+</v>
      </c>
      <c r="M1129" t="s">
        <v>8267</v>
      </c>
      <c r="N1129">
        <f t="shared" ca="1" si="70"/>
        <v>4</v>
      </c>
      <c r="O1129" t="str">
        <f t="shared" ca="1" si="71"/>
        <v>Intermediate level</v>
      </c>
    </row>
    <row r="1130" spans="1:15" x14ac:dyDescent="0.3">
      <c r="A1130" t="s">
        <v>8268</v>
      </c>
      <c r="B1130" t="s">
        <v>8269</v>
      </c>
      <c r="C1130" t="s">
        <v>196</v>
      </c>
      <c r="D1130" t="s">
        <v>8270</v>
      </c>
      <c r="E1130" t="s">
        <v>8271</v>
      </c>
      <c r="F1130" t="s">
        <v>718</v>
      </c>
      <c r="G1130" t="s">
        <v>8272</v>
      </c>
      <c r="H1130" t="s">
        <v>8273</v>
      </c>
      <c r="I1130">
        <f t="shared" ca="1" si="68"/>
        <v>37</v>
      </c>
      <c r="J1130" t="str">
        <f t="shared" ca="1" si="69"/>
        <v>30-39</v>
      </c>
      <c r="K1130">
        <v>54383.49</v>
      </c>
      <c r="L1130" t="str">
        <f>IF(Workforce[[#This Row],[Salary]]&lt;50000,"30k-49k",IF(Workforce[[#This Row],[Salary]]&lt;70000,"50k-69k",IF(Workforce[[#This Row],[Salary]]&lt;90000,"70k-89k","90k+")))</f>
        <v>50k-69k</v>
      </c>
      <c r="M1130" t="s">
        <v>2933</v>
      </c>
      <c r="N1130">
        <f t="shared" ca="1" si="70"/>
        <v>8</v>
      </c>
      <c r="O1130" t="str">
        <f t="shared" ca="1" si="71"/>
        <v>Senior level</v>
      </c>
    </row>
    <row r="1131" spans="1:15" x14ac:dyDescent="0.3">
      <c r="A1131" t="s">
        <v>8274</v>
      </c>
      <c r="B1131" t="s">
        <v>8275</v>
      </c>
      <c r="C1131" t="s">
        <v>124</v>
      </c>
      <c r="D1131" t="s">
        <v>8276</v>
      </c>
      <c r="E1131" t="s">
        <v>8277</v>
      </c>
      <c r="F1131" t="s">
        <v>1788</v>
      </c>
      <c r="G1131" t="s">
        <v>8278</v>
      </c>
      <c r="H1131" t="s">
        <v>8279</v>
      </c>
      <c r="I1131">
        <f t="shared" ca="1" si="68"/>
        <v>37</v>
      </c>
      <c r="J1131" t="str">
        <f t="shared" ca="1" si="69"/>
        <v>30-39</v>
      </c>
      <c r="K1131">
        <v>65217.56</v>
      </c>
      <c r="L1131" t="str">
        <f>IF(Workforce[[#This Row],[Salary]]&lt;50000,"30k-49k",IF(Workforce[[#This Row],[Salary]]&lt;70000,"50k-69k",IF(Workforce[[#This Row],[Salary]]&lt;90000,"70k-89k","90k+")))</f>
        <v>50k-69k</v>
      </c>
      <c r="M1131" t="s">
        <v>8280</v>
      </c>
      <c r="N1131">
        <f t="shared" ca="1" si="70"/>
        <v>5</v>
      </c>
      <c r="O1131" t="str">
        <f t="shared" ca="1" si="71"/>
        <v>Intermediate level</v>
      </c>
    </row>
    <row r="1132" spans="1:15" x14ac:dyDescent="0.3">
      <c r="A1132" t="s">
        <v>8281</v>
      </c>
      <c r="B1132" t="s">
        <v>8282</v>
      </c>
      <c r="C1132" t="s">
        <v>1004</v>
      </c>
      <c r="D1132" t="s">
        <v>8283</v>
      </c>
      <c r="E1132" t="s">
        <v>8284</v>
      </c>
      <c r="F1132" t="s">
        <v>8285</v>
      </c>
      <c r="G1132" t="s">
        <v>8286</v>
      </c>
      <c r="H1132" t="s">
        <v>8287</v>
      </c>
      <c r="I1132">
        <f t="shared" ca="1" si="68"/>
        <v>26</v>
      </c>
      <c r="J1132" t="str">
        <f t="shared" ca="1" si="69"/>
        <v>18-29</v>
      </c>
      <c r="K1132">
        <v>93502.47</v>
      </c>
      <c r="L1132" t="str">
        <f>IF(Workforce[[#This Row],[Salary]]&lt;50000,"30k-49k",IF(Workforce[[#This Row],[Salary]]&lt;70000,"50k-69k",IF(Workforce[[#This Row],[Salary]]&lt;90000,"70k-89k","90k+")))</f>
        <v>90k+</v>
      </c>
      <c r="M1132" t="s">
        <v>8288</v>
      </c>
      <c r="N1132">
        <f t="shared" ca="1" si="70"/>
        <v>3</v>
      </c>
      <c r="O1132" t="str">
        <f t="shared" ca="1" si="71"/>
        <v>Intermediate level</v>
      </c>
    </row>
    <row r="1133" spans="1:15" x14ac:dyDescent="0.3">
      <c r="A1133" t="s">
        <v>8289</v>
      </c>
      <c r="B1133" t="s">
        <v>8290</v>
      </c>
      <c r="C1133" t="s">
        <v>995</v>
      </c>
      <c r="D1133" t="s">
        <v>8291</v>
      </c>
      <c r="E1133" t="s">
        <v>8292</v>
      </c>
      <c r="F1133" t="s">
        <v>20</v>
      </c>
      <c r="G1133" t="s">
        <v>8293</v>
      </c>
      <c r="H1133" t="s">
        <v>8294</v>
      </c>
      <c r="I1133">
        <f t="shared" ca="1" si="68"/>
        <v>56</v>
      </c>
      <c r="J1133" t="str">
        <f t="shared" ca="1" si="69"/>
        <v>50-59</v>
      </c>
      <c r="K1133">
        <v>39711.54</v>
      </c>
      <c r="L1133" t="str">
        <f>IF(Workforce[[#This Row],[Salary]]&lt;50000,"30k-49k",IF(Workforce[[#This Row],[Salary]]&lt;70000,"50k-69k",IF(Workforce[[#This Row],[Salary]]&lt;90000,"70k-89k","90k+")))</f>
        <v>30k-49k</v>
      </c>
      <c r="M1133" t="s">
        <v>8295</v>
      </c>
      <c r="N1133">
        <f t="shared" ca="1" si="70"/>
        <v>9</v>
      </c>
      <c r="O1133" t="str">
        <f t="shared" ca="1" si="71"/>
        <v>Senior level</v>
      </c>
    </row>
    <row r="1134" spans="1:15" x14ac:dyDescent="0.3">
      <c r="A1134" t="s">
        <v>8296</v>
      </c>
      <c r="B1134" t="s">
        <v>8297</v>
      </c>
      <c r="C1134" t="s">
        <v>400</v>
      </c>
      <c r="D1134" t="s">
        <v>8298</v>
      </c>
      <c r="E1134" t="s">
        <v>8299</v>
      </c>
      <c r="F1134" t="s">
        <v>5477</v>
      </c>
      <c r="G1134" t="s">
        <v>3382</v>
      </c>
      <c r="H1134" t="s">
        <v>4532</v>
      </c>
      <c r="I1134">
        <f t="shared" ca="1" si="68"/>
        <v>30</v>
      </c>
      <c r="J1134" t="str">
        <f t="shared" ca="1" si="69"/>
        <v>30-39</v>
      </c>
      <c r="K1134">
        <v>68794</v>
      </c>
      <c r="L1134" t="str">
        <f>IF(Workforce[[#This Row],[Salary]]&lt;50000,"30k-49k",IF(Workforce[[#This Row],[Salary]]&lt;70000,"50k-69k",IF(Workforce[[#This Row],[Salary]]&lt;90000,"70k-89k","90k+")))</f>
        <v>50k-69k</v>
      </c>
      <c r="M1134" t="s">
        <v>8300</v>
      </c>
      <c r="N1134">
        <f t="shared" ca="1" si="70"/>
        <v>9</v>
      </c>
      <c r="O1134" t="str">
        <f t="shared" ca="1" si="71"/>
        <v>Senior level</v>
      </c>
    </row>
    <row r="1135" spans="1:15" x14ac:dyDescent="0.3">
      <c r="A1135" t="s">
        <v>8301</v>
      </c>
      <c r="B1135" t="s">
        <v>8302</v>
      </c>
      <c r="C1135" t="s">
        <v>284</v>
      </c>
      <c r="D1135" t="s">
        <v>8303</v>
      </c>
      <c r="E1135" t="s">
        <v>8304</v>
      </c>
      <c r="F1135" t="s">
        <v>5501</v>
      </c>
      <c r="G1135" t="s">
        <v>8305</v>
      </c>
      <c r="H1135" t="s">
        <v>8306</v>
      </c>
      <c r="I1135">
        <f t="shared" ca="1" si="68"/>
        <v>35</v>
      </c>
      <c r="J1135" t="str">
        <f t="shared" ca="1" si="69"/>
        <v>30-39</v>
      </c>
      <c r="K1135">
        <v>53940.06</v>
      </c>
      <c r="L1135" t="str">
        <f>IF(Workforce[[#This Row],[Salary]]&lt;50000,"30k-49k",IF(Workforce[[#This Row],[Salary]]&lt;70000,"50k-69k",IF(Workforce[[#This Row],[Salary]]&lt;90000,"70k-89k","90k+")))</f>
        <v>50k-69k</v>
      </c>
      <c r="M1135" t="s">
        <v>8307</v>
      </c>
      <c r="N1135">
        <f t="shared" ca="1" si="70"/>
        <v>10</v>
      </c>
      <c r="O1135" t="str">
        <f t="shared" ca="1" si="71"/>
        <v>Senior level</v>
      </c>
    </row>
    <row r="1136" spans="1:15" x14ac:dyDescent="0.3">
      <c r="A1136" t="s">
        <v>8308</v>
      </c>
      <c r="B1136" t="s">
        <v>8309</v>
      </c>
      <c r="C1136" t="s">
        <v>79</v>
      </c>
      <c r="D1136" t="s">
        <v>8310</v>
      </c>
      <c r="E1136" t="s">
        <v>8311</v>
      </c>
      <c r="F1136" t="s">
        <v>2585</v>
      </c>
      <c r="G1136" t="s">
        <v>8312</v>
      </c>
      <c r="H1136" t="s">
        <v>8313</v>
      </c>
      <c r="I1136">
        <f t="shared" ca="1" si="68"/>
        <v>59</v>
      </c>
      <c r="J1136" t="str">
        <f t="shared" ca="1" si="69"/>
        <v>50-59</v>
      </c>
      <c r="K1136">
        <v>73416.210000000006</v>
      </c>
      <c r="L1136" t="str">
        <f>IF(Workforce[[#This Row],[Salary]]&lt;50000,"30k-49k",IF(Workforce[[#This Row],[Salary]]&lt;70000,"50k-69k",IF(Workforce[[#This Row],[Salary]]&lt;90000,"70k-89k","90k+")))</f>
        <v>70k-89k</v>
      </c>
      <c r="M1136" t="s">
        <v>8314</v>
      </c>
      <c r="N1136">
        <f t="shared" ca="1" si="70"/>
        <v>2</v>
      </c>
      <c r="O1136" t="str">
        <f t="shared" ca="1" si="71"/>
        <v>Beginner</v>
      </c>
    </row>
    <row r="1137" spans="1:15" x14ac:dyDescent="0.3">
      <c r="A1137" t="s">
        <v>8315</v>
      </c>
      <c r="B1137" t="s">
        <v>8316</v>
      </c>
      <c r="C1137" t="s">
        <v>284</v>
      </c>
      <c r="D1137" t="s">
        <v>8317</v>
      </c>
      <c r="E1137" t="s">
        <v>8318</v>
      </c>
      <c r="F1137" t="s">
        <v>8319</v>
      </c>
      <c r="G1137" t="s">
        <v>8320</v>
      </c>
      <c r="H1137" t="s">
        <v>8321</v>
      </c>
      <c r="I1137">
        <f t="shared" ca="1" si="68"/>
        <v>66</v>
      </c>
      <c r="J1137" t="str">
        <f t="shared" ca="1" si="69"/>
        <v>60+</v>
      </c>
      <c r="K1137">
        <v>103549.12</v>
      </c>
      <c r="L1137" t="str">
        <f>IF(Workforce[[#This Row],[Salary]]&lt;50000,"30k-49k",IF(Workforce[[#This Row],[Salary]]&lt;70000,"50k-69k",IF(Workforce[[#This Row],[Salary]]&lt;90000,"70k-89k","90k+")))</f>
        <v>90k+</v>
      </c>
      <c r="M1137" t="s">
        <v>5962</v>
      </c>
      <c r="N1137">
        <f t="shared" ca="1" si="70"/>
        <v>9</v>
      </c>
      <c r="O1137" t="str">
        <f t="shared" ca="1" si="71"/>
        <v>Senior level</v>
      </c>
    </row>
    <row r="1138" spans="1:15" x14ac:dyDescent="0.3">
      <c r="A1138" t="s">
        <v>8322</v>
      </c>
      <c r="B1138" t="s">
        <v>8323</v>
      </c>
      <c r="C1138" t="s">
        <v>326</v>
      </c>
      <c r="D1138" t="s">
        <v>8324</v>
      </c>
      <c r="E1138" t="s">
        <v>8325</v>
      </c>
      <c r="F1138" t="s">
        <v>2505</v>
      </c>
      <c r="G1138" t="s">
        <v>8326</v>
      </c>
      <c r="H1138" t="s">
        <v>8327</v>
      </c>
      <c r="I1138">
        <f t="shared" ca="1" si="68"/>
        <v>32</v>
      </c>
      <c r="J1138" t="str">
        <f t="shared" ca="1" si="69"/>
        <v>30-39</v>
      </c>
      <c r="K1138">
        <v>119176.29</v>
      </c>
      <c r="L1138" t="str">
        <f>IF(Workforce[[#This Row],[Salary]]&lt;50000,"30k-49k",IF(Workforce[[#This Row],[Salary]]&lt;70000,"50k-69k",IF(Workforce[[#This Row],[Salary]]&lt;90000,"70k-89k","90k+")))</f>
        <v>90k+</v>
      </c>
      <c r="M1138" t="s">
        <v>8328</v>
      </c>
      <c r="N1138">
        <f t="shared" ca="1" si="70"/>
        <v>4</v>
      </c>
      <c r="O1138" t="str">
        <f t="shared" ca="1" si="71"/>
        <v>Intermediate level</v>
      </c>
    </row>
    <row r="1139" spans="1:15" x14ac:dyDescent="0.3">
      <c r="A1139" t="s">
        <v>8329</v>
      </c>
      <c r="B1139" t="s">
        <v>8330</v>
      </c>
      <c r="C1139" t="s">
        <v>482</v>
      </c>
      <c r="D1139" t="s">
        <v>8331</v>
      </c>
      <c r="E1139" t="s">
        <v>8332</v>
      </c>
      <c r="F1139" t="s">
        <v>3753</v>
      </c>
      <c r="G1139" t="s">
        <v>8333</v>
      </c>
      <c r="H1139" t="s">
        <v>8334</v>
      </c>
      <c r="I1139">
        <f t="shared" ca="1" si="68"/>
        <v>30</v>
      </c>
      <c r="J1139" t="str">
        <f t="shared" ca="1" si="69"/>
        <v>30-39</v>
      </c>
      <c r="K1139">
        <v>114415.18</v>
      </c>
      <c r="L1139" t="str">
        <f>IF(Workforce[[#This Row],[Salary]]&lt;50000,"30k-49k",IF(Workforce[[#This Row],[Salary]]&lt;70000,"50k-69k",IF(Workforce[[#This Row],[Salary]]&lt;90000,"70k-89k","90k+")))</f>
        <v>90k+</v>
      </c>
      <c r="M1139" t="s">
        <v>5209</v>
      </c>
      <c r="N1139">
        <f t="shared" ca="1" si="70"/>
        <v>5</v>
      </c>
      <c r="O1139" t="str">
        <f t="shared" ca="1" si="71"/>
        <v>Intermediate level</v>
      </c>
    </row>
    <row r="1140" spans="1:15" x14ac:dyDescent="0.3">
      <c r="A1140" t="s">
        <v>8335</v>
      </c>
      <c r="B1140" t="s">
        <v>8336</v>
      </c>
      <c r="C1140" t="s">
        <v>653</v>
      </c>
      <c r="D1140" t="s">
        <v>8337</v>
      </c>
      <c r="E1140" t="s">
        <v>8338</v>
      </c>
      <c r="F1140" t="s">
        <v>8234</v>
      </c>
      <c r="G1140" t="s">
        <v>8339</v>
      </c>
      <c r="H1140" t="s">
        <v>8340</v>
      </c>
      <c r="I1140">
        <f t="shared" ca="1" si="68"/>
        <v>31</v>
      </c>
      <c r="J1140" t="str">
        <f t="shared" ca="1" si="69"/>
        <v>30-39</v>
      </c>
      <c r="K1140">
        <v>79187.240000000005</v>
      </c>
      <c r="L1140" t="str">
        <f>IF(Workforce[[#This Row],[Salary]]&lt;50000,"30k-49k",IF(Workforce[[#This Row],[Salary]]&lt;70000,"50k-69k",IF(Workforce[[#This Row],[Salary]]&lt;90000,"70k-89k","90k+")))</f>
        <v>70k-89k</v>
      </c>
      <c r="M1140" t="s">
        <v>8341</v>
      </c>
      <c r="N1140">
        <f t="shared" ca="1" si="70"/>
        <v>3</v>
      </c>
      <c r="O1140" t="str">
        <f t="shared" ca="1" si="71"/>
        <v>Intermediate level</v>
      </c>
    </row>
    <row r="1141" spans="1:15" x14ac:dyDescent="0.3">
      <c r="A1141" t="s">
        <v>8342</v>
      </c>
      <c r="B1141" t="s">
        <v>8343</v>
      </c>
      <c r="C1141" t="s">
        <v>482</v>
      </c>
      <c r="D1141" t="s">
        <v>8344</v>
      </c>
      <c r="E1141" t="s">
        <v>8345</v>
      </c>
      <c r="F1141" t="s">
        <v>7487</v>
      </c>
      <c r="G1141" t="s">
        <v>6001</v>
      </c>
      <c r="H1141" t="s">
        <v>6910</v>
      </c>
      <c r="I1141">
        <f t="shared" ca="1" si="68"/>
        <v>51</v>
      </c>
      <c r="J1141" t="str">
        <f t="shared" ca="1" si="69"/>
        <v>50-59</v>
      </c>
      <c r="K1141">
        <v>53606.52</v>
      </c>
      <c r="L1141" t="str">
        <f>IF(Workforce[[#This Row],[Salary]]&lt;50000,"30k-49k",IF(Workforce[[#This Row],[Salary]]&lt;70000,"50k-69k",IF(Workforce[[#This Row],[Salary]]&lt;90000,"70k-89k","90k+")))</f>
        <v>50k-69k</v>
      </c>
      <c r="M1141" t="s">
        <v>8346</v>
      </c>
      <c r="N1141">
        <f t="shared" ca="1" si="70"/>
        <v>6</v>
      </c>
      <c r="O1141" t="str">
        <f t="shared" ca="1" si="71"/>
        <v>Intermediate level</v>
      </c>
    </row>
    <row r="1142" spans="1:15" x14ac:dyDescent="0.3">
      <c r="A1142" t="s">
        <v>8347</v>
      </c>
      <c r="B1142" t="s">
        <v>8348</v>
      </c>
      <c r="C1142" t="s">
        <v>17</v>
      </c>
      <c r="D1142" t="s">
        <v>8349</v>
      </c>
      <c r="E1142" t="s">
        <v>8350</v>
      </c>
      <c r="F1142" t="s">
        <v>8351</v>
      </c>
      <c r="G1142" t="s">
        <v>8352</v>
      </c>
      <c r="H1142" t="s">
        <v>8353</v>
      </c>
      <c r="I1142">
        <f t="shared" ca="1" si="68"/>
        <v>41</v>
      </c>
      <c r="J1142" t="str">
        <f t="shared" ca="1" si="69"/>
        <v>40-49</v>
      </c>
      <c r="K1142">
        <v>55562.45</v>
      </c>
      <c r="L1142" t="str">
        <f>IF(Workforce[[#This Row],[Salary]]&lt;50000,"30k-49k",IF(Workforce[[#This Row],[Salary]]&lt;70000,"50k-69k",IF(Workforce[[#This Row],[Salary]]&lt;90000,"70k-89k","90k+")))</f>
        <v>50k-69k</v>
      </c>
      <c r="M1142" t="s">
        <v>8182</v>
      </c>
      <c r="N1142">
        <f t="shared" ca="1" si="70"/>
        <v>3</v>
      </c>
      <c r="O1142" t="str">
        <f t="shared" ca="1" si="71"/>
        <v>Intermediate level</v>
      </c>
    </row>
    <row r="1143" spans="1:15" x14ac:dyDescent="0.3">
      <c r="A1143" t="s">
        <v>8354</v>
      </c>
      <c r="B1143" t="s">
        <v>8355</v>
      </c>
      <c r="C1143" t="s">
        <v>1004</v>
      </c>
      <c r="D1143" t="s">
        <v>8356</v>
      </c>
      <c r="E1143" t="s">
        <v>8357</v>
      </c>
      <c r="F1143" t="s">
        <v>1712</v>
      </c>
      <c r="G1143" t="s">
        <v>8358</v>
      </c>
      <c r="H1143" t="s">
        <v>8359</v>
      </c>
      <c r="I1143">
        <f t="shared" ca="1" si="68"/>
        <v>36</v>
      </c>
      <c r="J1143" t="str">
        <f t="shared" ca="1" si="69"/>
        <v>30-39</v>
      </c>
      <c r="K1143">
        <v>65654.080000000002</v>
      </c>
      <c r="L1143" t="str">
        <f>IF(Workforce[[#This Row],[Salary]]&lt;50000,"30k-49k",IF(Workforce[[#This Row],[Salary]]&lt;70000,"50k-69k",IF(Workforce[[#This Row],[Salary]]&lt;90000,"70k-89k","90k+")))</f>
        <v>50k-69k</v>
      </c>
      <c r="M1143" t="s">
        <v>2741</v>
      </c>
      <c r="N1143">
        <f t="shared" ca="1" si="70"/>
        <v>1</v>
      </c>
      <c r="O1143" t="str">
        <f t="shared" ca="1" si="71"/>
        <v>Beginner</v>
      </c>
    </row>
    <row r="1144" spans="1:15" x14ac:dyDescent="0.3">
      <c r="A1144" t="s">
        <v>8360</v>
      </c>
      <c r="B1144" t="s">
        <v>8361</v>
      </c>
      <c r="C1144" t="s">
        <v>79</v>
      </c>
      <c r="D1144" t="s">
        <v>8362</v>
      </c>
      <c r="E1144" t="s">
        <v>8363</v>
      </c>
      <c r="F1144" t="s">
        <v>1934</v>
      </c>
      <c r="G1144" t="s">
        <v>8364</v>
      </c>
      <c r="H1144" t="s">
        <v>8365</v>
      </c>
      <c r="I1144">
        <f t="shared" ca="1" si="68"/>
        <v>25</v>
      </c>
      <c r="J1144" t="str">
        <f t="shared" ca="1" si="69"/>
        <v>18-29</v>
      </c>
      <c r="K1144">
        <v>74940.31</v>
      </c>
      <c r="L1144" t="str">
        <f>IF(Workforce[[#This Row],[Salary]]&lt;50000,"30k-49k",IF(Workforce[[#This Row],[Salary]]&lt;70000,"50k-69k",IF(Workforce[[#This Row],[Salary]]&lt;90000,"70k-89k","90k+")))</f>
        <v>70k-89k</v>
      </c>
      <c r="M1144" t="s">
        <v>8366</v>
      </c>
      <c r="N1144">
        <f t="shared" ca="1" si="70"/>
        <v>6</v>
      </c>
      <c r="O1144" t="str">
        <f t="shared" ca="1" si="71"/>
        <v>Intermediate level</v>
      </c>
    </row>
    <row r="1145" spans="1:15" x14ac:dyDescent="0.3">
      <c r="A1145" t="s">
        <v>8367</v>
      </c>
      <c r="B1145" t="s">
        <v>8368</v>
      </c>
      <c r="C1145" t="s">
        <v>275</v>
      </c>
      <c r="D1145" t="s">
        <v>8369</v>
      </c>
      <c r="E1145" t="s">
        <v>8370</v>
      </c>
      <c r="F1145" t="s">
        <v>2416</v>
      </c>
      <c r="G1145" t="s">
        <v>8371</v>
      </c>
      <c r="H1145" t="s">
        <v>5801</v>
      </c>
      <c r="I1145">
        <f t="shared" ca="1" si="68"/>
        <v>65</v>
      </c>
      <c r="J1145" t="str">
        <f t="shared" ca="1" si="69"/>
        <v>60+</v>
      </c>
      <c r="K1145">
        <v>117334.98</v>
      </c>
      <c r="L1145" t="str">
        <f>IF(Workforce[[#This Row],[Salary]]&lt;50000,"30k-49k",IF(Workforce[[#This Row],[Salary]]&lt;70000,"50k-69k",IF(Workforce[[#This Row],[Salary]]&lt;90000,"70k-89k","90k+")))</f>
        <v>90k+</v>
      </c>
      <c r="M1145" t="s">
        <v>1040</v>
      </c>
      <c r="N1145">
        <f t="shared" ca="1" si="70"/>
        <v>2</v>
      </c>
      <c r="O1145" t="str">
        <f t="shared" ca="1" si="71"/>
        <v>Beginner</v>
      </c>
    </row>
    <row r="1146" spans="1:15" x14ac:dyDescent="0.3">
      <c r="A1146" t="s">
        <v>8372</v>
      </c>
      <c r="B1146" t="s">
        <v>8373</v>
      </c>
      <c r="C1146" t="s">
        <v>70</v>
      </c>
      <c r="D1146" t="s">
        <v>8374</v>
      </c>
      <c r="E1146" t="s">
        <v>8375</v>
      </c>
      <c r="F1146" t="s">
        <v>3012</v>
      </c>
      <c r="G1146" t="s">
        <v>8376</v>
      </c>
      <c r="H1146" t="s">
        <v>8377</v>
      </c>
      <c r="I1146">
        <f t="shared" ca="1" si="68"/>
        <v>44</v>
      </c>
      <c r="J1146" t="str">
        <f t="shared" ca="1" si="69"/>
        <v>40-49</v>
      </c>
      <c r="K1146">
        <v>38510.550000000003</v>
      </c>
      <c r="L1146" t="str">
        <f>IF(Workforce[[#This Row],[Salary]]&lt;50000,"30k-49k",IF(Workforce[[#This Row],[Salary]]&lt;70000,"50k-69k",IF(Workforce[[#This Row],[Salary]]&lt;90000,"70k-89k","90k+")))</f>
        <v>30k-49k</v>
      </c>
      <c r="M1146" t="s">
        <v>5935</v>
      </c>
      <c r="N1146">
        <f t="shared" ca="1" si="70"/>
        <v>9</v>
      </c>
      <c r="O1146" t="str">
        <f t="shared" ca="1" si="71"/>
        <v>Senior level</v>
      </c>
    </row>
    <row r="1147" spans="1:15" x14ac:dyDescent="0.3">
      <c r="A1147" t="s">
        <v>8378</v>
      </c>
      <c r="B1147" t="s">
        <v>8379</v>
      </c>
      <c r="C1147" t="s">
        <v>133</v>
      </c>
      <c r="D1147" t="s">
        <v>8380</v>
      </c>
      <c r="E1147" t="s">
        <v>8381</v>
      </c>
      <c r="F1147" t="s">
        <v>7729</v>
      </c>
      <c r="G1147" t="s">
        <v>3585</v>
      </c>
      <c r="H1147" t="s">
        <v>8382</v>
      </c>
      <c r="I1147">
        <f t="shared" ca="1" si="68"/>
        <v>40</v>
      </c>
      <c r="J1147" t="str">
        <f t="shared" ca="1" si="69"/>
        <v>40-49</v>
      </c>
      <c r="K1147">
        <v>79809.37</v>
      </c>
      <c r="L1147" t="str">
        <f>IF(Workforce[[#This Row],[Salary]]&lt;50000,"30k-49k",IF(Workforce[[#This Row],[Salary]]&lt;70000,"50k-69k",IF(Workforce[[#This Row],[Salary]]&lt;90000,"70k-89k","90k+")))</f>
        <v>70k-89k</v>
      </c>
      <c r="M1147" t="s">
        <v>8383</v>
      </c>
      <c r="N1147">
        <f t="shared" ca="1" si="70"/>
        <v>4</v>
      </c>
      <c r="O1147" t="str">
        <f t="shared" ca="1" si="71"/>
        <v>Intermediate level</v>
      </c>
    </row>
    <row r="1148" spans="1:15" x14ac:dyDescent="0.3">
      <c r="A1148" t="s">
        <v>8384</v>
      </c>
      <c r="B1148" t="s">
        <v>8385</v>
      </c>
      <c r="C1148" t="s">
        <v>44</v>
      </c>
      <c r="D1148" t="s">
        <v>8386</v>
      </c>
      <c r="E1148" t="s">
        <v>8387</v>
      </c>
      <c r="F1148" t="s">
        <v>1257</v>
      </c>
      <c r="G1148" t="s">
        <v>8388</v>
      </c>
      <c r="H1148" t="s">
        <v>8389</v>
      </c>
      <c r="I1148">
        <f t="shared" ca="1" si="68"/>
        <v>50</v>
      </c>
      <c r="J1148" t="str">
        <f t="shared" ca="1" si="69"/>
        <v>50-59</v>
      </c>
      <c r="K1148">
        <v>91530.66</v>
      </c>
      <c r="L1148" t="str">
        <f>IF(Workforce[[#This Row],[Salary]]&lt;50000,"30k-49k",IF(Workforce[[#This Row],[Salary]]&lt;70000,"50k-69k",IF(Workforce[[#This Row],[Salary]]&lt;90000,"70k-89k","90k+")))</f>
        <v>90k+</v>
      </c>
      <c r="M1148" t="s">
        <v>8390</v>
      </c>
      <c r="N1148">
        <f t="shared" ca="1" si="70"/>
        <v>5</v>
      </c>
      <c r="O1148" t="str">
        <f t="shared" ca="1" si="71"/>
        <v>Intermediate level</v>
      </c>
    </row>
    <row r="1149" spans="1:15" x14ac:dyDescent="0.3">
      <c r="A1149" t="s">
        <v>8391</v>
      </c>
      <c r="B1149" t="s">
        <v>8392</v>
      </c>
      <c r="C1149" t="s">
        <v>757</v>
      </c>
      <c r="D1149" t="s">
        <v>8393</v>
      </c>
      <c r="E1149" t="s">
        <v>8394</v>
      </c>
      <c r="F1149" t="s">
        <v>2960</v>
      </c>
      <c r="G1149" t="s">
        <v>8395</v>
      </c>
      <c r="H1149" t="s">
        <v>8396</v>
      </c>
      <c r="I1149">
        <f t="shared" ca="1" si="68"/>
        <v>50</v>
      </c>
      <c r="J1149" t="str">
        <f t="shared" ca="1" si="69"/>
        <v>50-59</v>
      </c>
      <c r="K1149">
        <v>109495.13</v>
      </c>
      <c r="L1149" t="str">
        <f>IF(Workforce[[#This Row],[Salary]]&lt;50000,"30k-49k",IF(Workforce[[#This Row],[Salary]]&lt;70000,"50k-69k",IF(Workforce[[#This Row],[Salary]]&lt;90000,"70k-89k","90k+")))</f>
        <v>90k+</v>
      </c>
      <c r="M1149" t="s">
        <v>8397</v>
      </c>
      <c r="N1149">
        <f t="shared" ca="1" si="70"/>
        <v>2</v>
      </c>
      <c r="O1149" t="str">
        <f t="shared" ca="1" si="71"/>
        <v>Beginner</v>
      </c>
    </row>
    <row r="1150" spans="1:15" x14ac:dyDescent="0.3">
      <c r="A1150" t="s">
        <v>8398</v>
      </c>
      <c r="B1150" t="s">
        <v>8399</v>
      </c>
      <c r="C1150" t="s">
        <v>400</v>
      </c>
      <c r="D1150" t="s">
        <v>8400</v>
      </c>
      <c r="E1150" t="s">
        <v>8401</v>
      </c>
      <c r="F1150" t="s">
        <v>3545</v>
      </c>
      <c r="G1150" t="s">
        <v>8402</v>
      </c>
      <c r="H1150" t="s">
        <v>8403</v>
      </c>
      <c r="I1150">
        <f t="shared" ca="1" si="68"/>
        <v>20</v>
      </c>
      <c r="J1150" t="str">
        <f t="shared" ca="1" si="69"/>
        <v>18-29</v>
      </c>
      <c r="K1150">
        <v>75404.92</v>
      </c>
      <c r="L1150" t="str">
        <f>IF(Workforce[[#This Row],[Salary]]&lt;50000,"30k-49k",IF(Workforce[[#This Row],[Salary]]&lt;70000,"50k-69k",IF(Workforce[[#This Row],[Salary]]&lt;90000,"70k-89k","90k+")))</f>
        <v>70k-89k</v>
      </c>
      <c r="M1150" t="s">
        <v>8404</v>
      </c>
      <c r="N1150">
        <f t="shared" ca="1" si="70"/>
        <v>1</v>
      </c>
      <c r="O1150" t="str">
        <f t="shared" ca="1" si="71"/>
        <v>Beginner</v>
      </c>
    </row>
    <row r="1151" spans="1:15" x14ac:dyDescent="0.3">
      <c r="A1151" t="s">
        <v>8405</v>
      </c>
      <c r="B1151" t="s">
        <v>8406</v>
      </c>
      <c r="C1151" t="s">
        <v>88</v>
      </c>
      <c r="D1151" t="s">
        <v>8407</v>
      </c>
      <c r="E1151" t="s">
        <v>8408</v>
      </c>
      <c r="F1151" t="s">
        <v>5126</v>
      </c>
      <c r="G1151" t="s">
        <v>8409</v>
      </c>
      <c r="H1151" t="s">
        <v>8410</v>
      </c>
      <c r="I1151">
        <f t="shared" ca="1" si="68"/>
        <v>63</v>
      </c>
      <c r="J1151" t="str">
        <f t="shared" ca="1" si="69"/>
        <v>60+</v>
      </c>
      <c r="K1151">
        <v>38577.74</v>
      </c>
      <c r="L1151" t="str">
        <f>IF(Workforce[[#This Row],[Salary]]&lt;50000,"30k-49k",IF(Workforce[[#This Row],[Salary]]&lt;70000,"50k-69k",IF(Workforce[[#This Row],[Salary]]&lt;90000,"70k-89k","90k+")))</f>
        <v>30k-49k</v>
      </c>
      <c r="M1151" t="s">
        <v>8411</v>
      </c>
      <c r="N1151">
        <f t="shared" ca="1" si="70"/>
        <v>5</v>
      </c>
      <c r="O1151" t="str">
        <f t="shared" ca="1" si="71"/>
        <v>Intermediate level</v>
      </c>
    </row>
    <row r="1152" spans="1:15" x14ac:dyDescent="0.3">
      <c r="A1152" t="s">
        <v>8412</v>
      </c>
      <c r="B1152" t="s">
        <v>8413</v>
      </c>
      <c r="C1152" t="s">
        <v>757</v>
      </c>
      <c r="D1152" t="s">
        <v>8414</v>
      </c>
      <c r="E1152" t="s">
        <v>8415</v>
      </c>
      <c r="F1152" t="s">
        <v>6748</v>
      </c>
      <c r="G1152" t="s">
        <v>8416</v>
      </c>
      <c r="H1152" t="s">
        <v>8417</v>
      </c>
      <c r="I1152">
        <f t="shared" ca="1" si="68"/>
        <v>46</v>
      </c>
      <c r="J1152" t="str">
        <f t="shared" ca="1" si="69"/>
        <v>40-49</v>
      </c>
      <c r="K1152">
        <v>58182.17</v>
      </c>
      <c r="L1152" t="str">
        <f>IF(Workforce[[#This Row],[Salary]]&lt;50000,"30k-49k",IF(Workforce[[#This Row],[Salary]]&lt;70000,"50k-69k",IF(Workforce[[#This Row],[Salary]]&lt;90000,"70k-89k","90k+")))</f>
        <v>50k-69k</v>
      </c>
      <c r="M1152" t="s">
        <v>5554</v>
      </c>
      <c r="N1152">
        <f t="shared" ca="1" si="70"/>
        <v>9</v>
      </c>
      <c r="O1152" t="str">
        <f t="shared" ca="1" si="71"/>
        <v>Senior level</v>
      </c>
    </row>
    <row r="1153" spans="1:15" x14ac:dyDescent="0.3">
      <c r="A1153" t="s">
        <v>8418</v>
      </c>
      <c r="B1153" t="s">
        <v>8419</v>
      </c>
      <c r="C1153" t="s">
        <v>151</v>
      </c>
      <c r="D1153" t="s">
        <v>8420</v>
      </c>
      <c r="E1153" t="s">
        <v>8421</v>
      </c>
      <c r="F1153" t="s">
        <v>2080</v>
      </c>
      <c r="G1153" t="s">
        <v>8422</v>
      </c>
      <c r="H1153" t="s">
        <v>8423</v>
      </c>
      <c r="I1153">
        <f t="shared" ca="1" si="68"/>
        <v>54</v>
      </c>
      <c r="J1153" t="str">
        <f t="shared" ca="1" si="69"/>
        <v>50-59</v>
      </c>
      <c r="K1153">
        <v>113782.72</v>
      </c>
      <c r="L1153" t="str">
        <f>IF(Workforce[[#This Row],[Salary]]&lt;50000,"30k-49k",IF(Workforce[[#This Row],[Salary]]&lt;70000,"50k-69k",IF(Workforce[[#This Row],[Salary]]&lt;90000,"70k-89k","90k+")))</f>
        <v>90k+</v>
      </c>
      <c r="M1153" t="s">
        <v>8424</v>
      </c>
      <c r="N1153">
        <f t="shared" ca="1" si="70"/>
        <v>9</v>
      </c>
      <c r="O1153" t="str">
        <f t="shared" ca="1" si="71"/>
        <v>Senior level</v>
      </c>
    </row>
    <row r="1154" spans="1:15" x14ac:dyDescent="0.3">
      <c r="A1154" t="s">
        <v>8425</v>
      </c>
      <c r="B1154" t="s">
        <v>8426</v>
      </c>
      <c r="C1154" t="s">
        <v>1159</v>
      </c>
      <c r="D1154" t="s">
        <v>8427</v>
      </c>
      <c r="E1154" t="s">
        <v>8428</v>
      </c>
      <c r="F1154" t="s">
        <v>1549</v>
      </c>
      <c r="G1154" t="s">
        <v>8429</v>
      </c>
      <c r="H1154" t="s">
        <v>8430</v>
      </c>
      <c r="I1154">
        <f t="shared" ref="I1154:I1217" ca="1" si="72">DATEDIF(H1154,TODAY(),"y")</f>
        <v>30</v>
      </c>
      <c r="J1154" t="str">
        <f t="shared" ref="J1154:J1217" ca="1" si="73">IF(I1154&lt;30,"18-29",IF(I1154&lt;40,"30-39",IF(I1154&lt;50,"40-49",IF(I1154&lt;60,"50-59","60+"))))</f>
        <v>30-39</v>
      </c>
      <c r="K1154">
        <v>64392.44</v>
      </c>
      <c r="L1154" t="str">
        <f>IF(Workforce[[#This Row],[Salary]]&lt;50000,"30k-49k",IF(Workforce[[#This Row],[Salary]]&lt;70000,"50k-69k",IF(Workforce[[#This Row],[Salary]]&lt;90000,"70k-89k","90k+")))</f>
        <v>50k-69k</v>
      </c>
      <c r="M1154" t="s">
        <v>8431</v>
      </c>
      <c r="N1154">
        <f t="shared" ref="N1154:N1217" ca="1" si="74">DATEDIF(M1154,TODAY(),"y")</f>
        <v>4</v>
      </c>
      <c r="O1154" t="str">
        <f t="shared" ref="O1154:O1217" ca="1" si="75">IF(N1154&lt;=2,"Beginner",IF(N1154&lt;=6,"Intermediate level","Senior level"))</f>
        <v>Intermediate level</v>
      </c>
    </row>
    <row r="1155" spans="1:15" x14ac:dyDescent="0.3">
      <c r="A1155" t="s">
        <v>8432</v>
      </c>
      <c r="B1155" t="s">
        <v>8433</v>
      </c>
      <c r="C1155" t="s">
        <v>604</v>
      </c>
      <c r="D1155" t="s">
        <v>8434</v>
      </c>
      <c r="E1155" t="s">
        <v>8435</v>
      </c>
      <c r="F1155" t="s">
        <v>1765</v>
      </c>
      <c r="G1155" t="s">
        <v>8436</v>
      </c>
      <c r="H1155" t="s">
        <v>8437</v>
      </c>
      <c r="I1155">
        <f t="shared" ca="1" si="72"/>
        <v>31</v>
      </c>
      <c r="J1155" t="str">
        <f t="shared" ca="1" si="73"/>
        <v>30-39</v>
      </c>
      <c r="K1155">
        <v>40208.769999999997</v>
      </c>
      <c r="L1155" t="str">
        <f>IF(Workforce[[#This Row],[Salary]]&lt;50000,"30k-49k",IF(Workforce[[#This Row],[Salary]]&lt;70000,"50k-69k",IF(Workforce[[#This Row],[Salary]]&lt;90000,"70k-89k","90k+")))</f>
        <v>30k-49k</v>
      </c>
      <c r="M1155" t="s">
        <v>5274</v>
      </c>
      <c r="N1155">
        <f t="shared" ca="1" si="74"/>
        <v>7</v>
      </c>
      <c r="O1155" t="str">
        <f t="shared" ca="1" si="75"/>
        <v>Senior level</v>
      </c>
    </row>
    <row r="1156" spans="1:15" x14ac:dyDescent="0.3">
      <c r="A1156" t="s">
        <v>8438</v>
      </c>
      <c r="B1156" t="s">
        <v>8439</v>
      </c>
      <c r="C1156" t="s">
        <v>482</v>
      </c>
      <c r="D1156" t="s">
        <v>8440</v>
      </c>
      <c r="E1156" t="s">
        <v>8441</v>
      </c>
      <c r="F1156" t="s">
        <v>2585</v>
      </c>
      <c r="G1156" t="s">
        <v>8442</v>
      </c>
      <c r="H1156" t="s">
        <v>8443</v>
      </c>
      <c r="I1156">
        <f t="shared" ca="1" si="72"/>
        <v>38</v>
      </c>
      <c r="J1156" t="str">
        <f t="shared" ca="1" si="73"/>
        <v>30-39</v>
      </c>
      <c r="K1156">
        <v>112599.72</v>
      </c>
      <c r="L1156" t="str">
        <f>IF(Workforce[[#This Row],[Salary]]&lt;50000,"30k-49k",IF(Workforce[[#This Row],[Salary]]&lt;70000,"50k-69k",IF(Workforce[[#This Row],[Salary]]&lt;90000,"70k-89k","90k+")))</f>
        <v>90k+</v>
      </c>
      <c r="M1156" t="s">
        <v>8444</v>
      </c>
      <c r="N1156">
        <f t="shared" ca="1" si="74"/>
        <v>3</v>
      </c>
      <c r="O1156" t="str">
        <f t="shared" ca="1" si="75"/>
        <v>Intermediate level</v>
      </c>
    </row>
    <row r="1157" spans="1:15" x14ac:dyDescent="0.3">
      <c r="A1157" t="s">
        <v>8445</v>
      </c>
      <c r="B1157" t="s">
        <v>8446</v>
      </c>
      <c r="C1157" t="s">
        <v>151</v>
      </c>
      <c r="D1157" t="s">
        <v>8447</v>
      </c>
      <c r="E1157" t="s">
        <v>8448</v>
      </c>
      <c r="F1157" t="s">
        <v>4206</v>
      </c>
      <c r="G1157" t="s">
        <v>8449</v>
      </c>
      <c r="H1157" t="s">
        <v>8450</v>
      </c>
      <c r="I1157">
        <f t="shared" ca="1" si="72"/>
        <v>41</v>
      </c>
      <c r="J1157" t="str">
        <f t="shared" ca="1" si="73"/>
        <v>40-49</v>
      </c>
      <c r="K1157">
        <v>42301.42</v>
      </c>
      <c r="L1157" t="str">
        <f>IF(Workforce[[#This Row],[Salary]]&lt;50000,"30k-49k",IF(Workforce[[#This Row],[Salary]]&lt;70000,"50k-69k",IF(Workforce[[#This Row],[Salary]]&lt;90000,"70k-89k","90k+")))</f>
        <v>30k-49k</v>
      </c>
      <c r="M1157" t="s">
        <v>8451</v>
      </c>
      <c r="N1157">
        <f t="shared" ca="1" si="74"/>
        <v>8</v>
      </c>
      <c r="O1157" t="str">
        <f t="shared" ca="1" si="75"/>
        <v>Senior level</v>
      </c>
    </row>
    <row r="1158" spans="1:15" x14ac:dyDescent="0.3">
      <c r="A1158" t="s">
        <v>8452</v>
      </c>
      <c r="B1158" t="s">
        <v>8453</v>
      </c>
      <c r="C1158" t="s">
        <v>995</v>
      </c>
      <c r="D1158" t="s">
        <v>8454</v>
      </c>
      <c r="E1158" t="s">
        <v>8455</v>
      </c>
      <c r="F1158" t="s">
        <v>3696</v>
      </c>
      <c r="G1158" t="s">
        <v>8456</v>
      </c>
      <c r="H1158" t="s">
        <v>8457</v>
      </c>
      <c r="I1158">
        <f t="shared" ca="1" si="72"/>
        <v>59</v>
      </c>
      <c r="J1158" t="str">
        <f t="shared" ca="1" si="73"/>
        <v>50-59</v>
      </c>
      <c r="K1158">
        <v>50160.12</v>
      </c>
      <c r="L1158" t="str">
        <f>IF(Workforce[[#This Row],[Salary]]&lt;50000,"30k-49k",IF(Workforce[[#This Row],[Salary]]&lt;70000,"50k-69k",IF(Workforce[[#This Row],[Salary]]&lt;90000,"70k-89k","90k+")))</f>
        <v>50k-69k</v>
      </c>
      <c r="M1158" t="s">
        <v>2105</v>
      </c>
      <c r="N1158">
        <f t="shared" ca="1" si="74"/>
        <v>2</v>
      </c>
      <c r="O1158" t="str">
        <f t="shared" ca="1" si="75"/>
        <v>Beginner</v>
      </c>
    </row>
    <row r="1159" spans="1:15" x14ac:dyDescent="0.3">
      <c r="A1159" t="s">
        <v>8458</v>
      </c>
      <c r="B1159" t="s">
        <v>8459</v>
      </c>
      <c r="C1159" t="s">
        <v>26</v>
      </c>
      <c r="D1159" t="s">
        <v>8460</v>
      </c>
      <c r="E1159" t="s">
        <v>8461</v>
      </c>
      <c r="F1159" t="s">
        <v>1153</v>
      </c>
      <c r="G1159" t="s">
        <v>8462</v>
      </c>
      <c r="H1159" t="s">
        <v>8463</v>
      </c>
      <c r="I1159">
        <f t="shared" ca="1" si="72"/>
        <v>49</v>
      </c>
      <c r="J1159" t="str">
        <f t="shared" ca="1" si="73"/>
        <v>40-49</v>
      </c>
      <c r="K1159">
        <v>81155.78</v>
      </c>
      <c r="L1159" t="str">
        <f>IF(Workforce[[#This Row],[Salary]]&lt;50000,"30k-49k",IF(Workforce[[#This Row],[Salary]]&lt;70000,"50k-69k",IF(Workforce[[#This Row],[Salary]]&lt;90000,"70k-89k","90k+")))</f>
        <v>70k-89k</v>
      </c>
      <c r="M1159" t="s">
        <v>626</v>
      </c>
      <c r="N1159">
        <f t="shared" ca="1" si="74"/>
        <v>9</v>
      </c>
      <c r="O1159" t="str">
        <f t="shared" ca="1" si="75"/>
        <v>Senior level</v>
      </c>
    </row>
    <row r="1160" spans="1:15" x14ac:dyDescent="0.3">
      <c r="A1160" t="s">
        <v>8464</v>
      </c>
      <c r="B1160" t="s">
        <v>8465</v>
      </c>
      <c r="C1160" t="s">
        <v>240</v>
      </c>
      <c r="D1160" t="s">
        <v>8466</v>
      </c>
      <c r="E1160" t="s">
        <v>8467</v>
      </c>
      <c r="F1160" t="s">
        <v>1811</v>
      </c>
      <c r="G1160" t="s">
        <v>8468</v>
      </c>
      <c r="H1160" t="s">
        <v>8469</v>
      </c>
      <c r="I1160">
        <f t="shared" ca="1" si="72"/>
        <v>51</v>
      </c>
      <c r="J1160" t="str">
        <f t="shared" ca="1" si="73"/>
        <v>50-59</v>
      </c>
      <c r="K1160">
        <v>94380.66</v>
      </c>
      <c r="L1160" t="str">
        <f>IF(Workforce[[#This Row],[Salary]]&lt;50000,"30k-49k",IF(Workforce[[#This Row],[Salary]]&lt;70000,"50k-69k",IF(Workforce[[#This Row],[Salary]]&lt;90000,"70k-89k","90k+")))</f>
        <v>90k+</v>
      </c>
      <c r="M1160" t="s">
        <v>8470</v>
      </c>
      <c r="N1160">
        <f t="shared" ca="1" si="74"/>
        <v>2</v>
      </c>
      <c r="O1160" t="str">
        <f t="shared" ca="1" si="75"/>
        <v>Beginner</v>
      </c>
    </row>
    <row r="1161" spans="1:15" x14ac:dyDescent="0.3">
      <c r="A1161" t="s">
        <v>8471</v>
      </c>
      <c r="B1161" t="s">
        <v>8472</v>
      </c>
      <c r="C1161" t="s">
        <v>97</v>
      </c>
      <c r="D1161" t="s">
        <v>8473</v>
      </c>
      <c r="E1161" t="s">
        <v>8474</v>
      </c>
      <c r="F1161" t="s">
        <v>3804</v>
      </c>
      <c r="G1161" t="s">
        <v>8475</v>
      </c>
      <c r="H1161" t="s">
        <v>8476</v>
      </c>
      <c r="I1161">
        <f t="shared" ca="1" si="72"/>
        <v>40</v>
      </c>
      <c r="J1161" t="str">
        <f t="shared" ca="1" si="73"/>
        <v>40-49</v>
      </c>
      <c r="K1161">
        <v>83777.899999999994</v>
      </c>
      <c r="L1161" t="str">
        <f>IF(Workforce[[#This Row],[Salary]]&lt;50000,"30k-49k",IF(Workforce[[#This Row],[Salary]]&lt;70000,"50k-69k",IF(Workforce[[#This Row],[Salary]]&lt;90000,"70k-89k","90k+")))</f>
        <v>70k-89k</v>
      </c>
      <c r="M1161" t="s">
        <v>7770</v>
      </c>
      <c r="N1161">
        <f t="shared" ca="1" si="74"/>
        <v>4</v>
      </c>
      <c r="O1161" t="str">
        <f t="shared" ca="1" si="75"/>
        <v>Intermediate level</v>
      </c>
    </row>
    <row r="1162" spans="1:15" x14ac:dyDescent="0.3">
      <c r="A1162" t="s">
        <v>8477</v>
      </c>
      <c r="B1162" t="s">
        <v>8478</v>
      </c>
      <c r="C1162" t="s">
        <v>79</v>
      </c>
      <c r="D1162" t="s">
        <v>8479</v>
      </c>
      <c r="E1162" t="s">
        <v>8480</v>
      </c>
      <c r="F1162" t="s">
        <v>1186</v>
      </c>
      <c r="G1162" t="s">
        <v>8481</v>
      </c>
      <c r="H1162" t="s">
        <v>8482</v>
      </c>
      <c r="I1162">
        <f t="shared" ca="1" si="72"/>
        <v>39</v>
      </c>
      <c r="J1162" t="str">
        <f t="shared" ca="1" si="73"/>
        <v>30-39</v>
      </c>
      <c r="K1162">
        <v>48627.48</v>
      </c>
      <c r="L1162" t="str">
        <f>IF(Workforce[[#This Row],[Salary]]&lt;50000,"30k-49k",IF(Workforce[[#This Row],[Salary]]&lt;70000,"50k-69k",IF(Workforce[[#This Row],[Salary]]&lt;90000,"70k-89k","90k+")))</f>
        <v>30k-49k</v>
      </c>
      <c r="M1162" t="s">
        <v>8483</v>
      </c>
      <c r="N1162">
        <f t="shared" ca="1" si="74"/>
        <v>1</v>
      </c>
      <c r="O1162" t="str">
        <f t="shared" ca="1" si="75"/>
        <v>Beginner</v>
      </c>
    </row>
    <row r="1163" spans="1:15" x14ac:dyDescent="0.3">
      <c r="A1163" t="s">
        <v>8484</v>
      </c>
      <c r="B1163" t="s">
        <v>8485</v>
      </c>
      <c r="C1163" t="s">
        <v>187</v>
      </c>
      <c r="D1163" t="s">
        <v>8486</v>
      </c>
      <c r="E1163" t="s">
        <v>8487</v>
      </c>
      <c r="F1163" t="s">
        <v>5416</v>
      </c>
      <c r="G1163" t="s">
        <v>8488</v>
      </c>
      <c r="H1163" t="s">
        <v>8489</v>
      </c>
      <c r="I1163">
        <f t="shared" ca="1" si="72"/>
        <v>27</v>
      </c>
      <c r="J1163" t="str">
        <f t="shared" ca="1" si="73"/>
        <v>18-29</v>
      </c>
      <c r="K1163">
        <v>100653.96</v>
      </c>
      <c r="L1163" t="str">
        <f>IF(Workforce[[#This Row],[Salary]]&lt;50000,"30k-49k",IF(Workforce[[#This Row],[Salary]]&lt;70000,"50k-69k",IF(Workforce[[#This Row],[Salary]]&lt;90000,"70k-89k","90k+")))</f>
        <v>90k+</v>
      </c>
      <c r="M1163" t="s">
        <v>8490</v>
      </c>
      <c r="N1163">
        <f t="shared" ca="1" si="74"/>
        <v>8</v>
      </c>
      <c r="O1163" t="str">
        <f t="shared" ca="1" si="75"/>
        <v>Senior level</v>
      </c>
    </row>
    <row r="1164" spans="1:15" x14ac:dyDescent="0.3">
      <c r="A1164" t="s">
        <v>8491</v>
      </c>
      <c r="B1164" t="s">
        <v>8492</v>
      </c>
      <c r="C1164" t="s">
        <v>124</v>
      </c>
      <c r="D1164" t="s">
        <v>8493</v>
      </c>
      <c r="E1164" t="s">
        <v>8494</v>
      </c>
      <c r="F1164" t="s">
        <v>2630</v>
      </c>
      <c r="G1164" t="s">
        <v>8495</v>
      </c>
      <c r="H1164" t="s">
        <v>8496</v>
      </c>
      <c r="I1164">
        <f t="shared" ca="1" si="72"/>
        <v>22</v>
      </c>
      <c r="J1164" t="str">
        <f t="shared" ca="1" si="73"/>
        <v>18-29</v>
      </c>
      <c r="K1164">
        <v>81048.240000000005</v>
      </c>
      <c r="L1164" t="str">
        <f>IF(Workforce[[#This Row],[Salary]]&lt;50000,"30k-49k",IF(Workforce[[#This Row],[Salary]]&lt;70000,"50k-69k",IF(Workforce[[#This Row],[Salary]]&lt;90000,"70k-89k","90k+")))</f>
        <v>70k-89k</v>
      </c>
      <c r="M1164" t="s">
        <v>689</v>
      </c>
      <c r="N1164">
        <f t="shared" ca="1" si="74"/>
        <v>6</v>
      </c>
      <c r="O1164" t="str">
        <f t="shared" ca="1" si="75"/>
        <v>Intermediate level</v>
      </c>
    </row>
    <row r="1165" spans="1:15" x14ac:dyDescent="0.3">
      <c r="A1165" t="s">
        <v>8497</v>
      </c>
      <c r="B1165" t="s">
        <v>8498</v>
      </c>
      <c r="C1165" t="s">
        <v>580</v>
      </c>
      <c r="D1165" t="s">
        <v>8499</v>
      </c>
      <c r="E1165" t="s">
        <v>8500</v>
      </c>
      <c r="F1165" t="s">
        <v>6980</v>
      </c>
      <c r="G1165" t="s">
        <v>8501</v>
      </c>
      <c r="H1165" t="s">
        <v>8502</v>
      </c>
      <c r="I1165">
        <f t="shared" ca="1" si="72"/>
        <v>22</v>
      </c>
      <c r="J1165" t="str">
        <f t="shared" ca="1" si="73"/>
        <v>18-29</v>
      </c>
      <c r="K1165">
        <v>76330.820000000007</v>
      </c>
      <c r="L1165" t="str">
        <f>IF(Workforce[[#This Row],[Salary]]&lt;50000,"30k-49k",IF(Workforce[[#This Row],[Salary]]&lt;70000,"50k-69k",IF(Workforce[[#This Row],[Salary]]&lt;90000,"70k-89k","90k+")))</f>
        <v>70k-89k</v>
      </c>
      <c r="M1165" t="s">
        <v>8503</v>
      </c>
      <c r="N1165">
        <f t="shared" ca="1" si="74"/>
        <v>8</v>
      </c>
      <c r="O1165" t="str">
        <f t="shared" ca="1" si="75"/>
        <v>Senior level</v>
      </c>
    </row>
    <row r="1166" spans="1:15" x14ac:dyDescent="0.3">
      <c r="A1166" t="s">
        <v>8504</v>
      </c>
      <c r="B1166" t="s">
        <v>8505</v>
      </c>
      <c r="C1166" t="s">
        <v>774</v>
      </c>
      <c r="D1166" t="s">
        <v>8506</v>
      </c>
      <c r="E1166" t="s">
        <v>8507</v>
      </c>
      <c r="F1166" t="s">
        <v>5559</v>
      </c>
      <c r="G1166" t="s">
        <v>8508</v>
      </c>
      <c r="H1166" t="s">
        <v>8509</v>
      </c>
      <c r="I1166">
        <f t="shared" ca="1" si="72"/>
        <v>27</v>
      </c>
      <c r="J1166" t="str">
        <f t="shared" ca="1" si="73"/>
        <v>18-29</v>
      </c>
      <c r="K1166">
        <v>34847.160000000003</v>
      </c>
      <c r="L1166" t="str">
        <f>IF(Workforce[[#This Row],[Salary]]&lt;50000,"30k-49k",IF(Workforce[[#This Row],[Salary]]&lt;70000,"50k-69k",IF(Workforce[[#This Row],[Salary]]&lt;90000,"70k-89k","90k+")))</f>
        <v>30k-49k</v>
      </c>
      <c r="M1166" t="s">
        <v>8510</v>
      </c>
      <c r="N1166">
        <f t="shared" ca="1" si="74"/>
        <v>1</v>
      </c>
      <c r="O1166" t="str">
        <f t="shared" ca="1" si="75"/>
        <v>Beginner</v>
      </c>
    </row>
    <row r="1167" spans="1:15" x14ac:dyDescent="0.3">
      <c r="A1167" t="s">
        <v>8511</v>
      </c>
      <c r="B1167" t="s">
        <v>8512</v>
      </c>
      <c r="C1167" t="s">
        <v>151</v>
      </c>
      <c r="D1167" t="s">
        <v>8513</v>
      </c>
      <c r="E1167" t="s">
        <v>8514</v>
      </c>
      <c r="F1167" t="s">
        <v>1988</v>
      </c>
      <c r="G1167" t="s">
        <v>8515</v>
      </c>
      <c r="H1167" t="s">
        <v>8516</v>
      </c>
      <c r="I1167">
        <f t="shared" ca="1" si="72"/>
        <v>64</v>
      </c>
      <c r="J1167" t="str">
        <f t="shared" ca="1" si="73"/>
        <v>60+</v>
      </c>
      <c r="K1167">
        <v>39969.129999999997</v>
      </c>
      <c r="L1167" t="str">
        <f>IF(Workforce[[#This Row],[Salary]]&lt;50000,"30k-49k",IF(Workforce[[#This Row],[Salary]]&lt;70000,"50k-69k",IF(Workforce[[#This Row],[Salary]]&lt;90000,"70k-89k","90k+")))</f>
        <v>30k-49k</v>
      </c>
      <c r="M1167" t="s">
        <v>8517</v>
      </c>
      <c r="N1167">
        <f t="shared" ca="1" si="74"/>
        <v>7</v>
      </c>
      <c r="O1167" t="str">
        <f t="shared" ca="1" si="75"/>
        <v>Senior level</v>
      </c>
    </row>
    <row r="1168" spans="1:15" x14ac:dyDescent="0.3">
      <c r="A1168" t="s">
        <v>8518</v>
      </c>
      <c r="B1168" t="s">
        <v>8519</v>
      </c>
      <c r="C1168" t="s">
        <v>160</v>
      </c>
      <c r="D1168" t="s">
        <v>8520</v>
      </c>
      <c r="E1168" t="s">
        <v>8521</v>
      </c>
      <c r="F1168" t="s">
        <v>1178</v>
      </c>
      <c r="G1168" t="s">
        <v>8522</v>
      </c>
      <c r="H1168" t="s">
        <v>8523</v>
      </c>
      <c r="I1168">
        <f t="shared" ca="1" si="72"/>
        <v>66</v>
      </c>
      <c r="J1168" t="str">
        <f t="shared" ca="1" si="73"/>
        <v>60+</v>
      </c>
      <c r="K1168">
        <v>71603.740000000005</v>
      </c>
      <c r="L1168" t="str">
        <f>IF(Workforce[[#This Row],[Salary]]&lt;50000,"30k-49k",IF(Workforce[[#This Row],[Salary]]&lt;70000,"50k-69k",IF(Workforce[[#This Row],[Salary]]&lt;90000,"70k-89k","90k+")))</f>
        <v>70k-89k</v>
      </c>
      <c r="M1168" t="s">
        <v>8524</v>
      </c>
      <c r="N1168">
        <f t="shared" ca="1" si="74"/>
        <v>9</v>
      </c>
      <c r="O1168" t="str">
        <f t="shared" ca="1" si="75"/>
        <v>Senior level</v>
      </c>
    </row>
    <row r="1169" spans="1:15" x14ac:dyDescent="0.3">
      <c r="A1169" t="s">
        <v>8525</v>
      </c>
      <c r="B1169" t="s">
        <v>8526</v>
      </c>
      <c r="C1169" t="s">
        <v>844</v>
      </c>
      <c r="D1169" t="s">
        <v>8527</v>
      </c>
      <c r="E1169" t="s">
        <v>8528</v>
      </c>
      <c r="F1169" t="s">
        <v>3012</v>
      </c>
      <c r="G1169" t="s">
        <v>8529</v>
      </c>
      <c r="H1169" t="s">
        <v>8530</v>
      </c>
      <c r="I1169">
        <f t="shared" ca="1" si="72"/>
        <v>37</v>
      </c>
      <c r="J1169" t="str">
        <f t="shared" ca="1" si="73"/>
        <v>30-39</v>
      </c>
      <c r="K1169">
        <v>95883.89</v>
      </c>
      <c r="L1169" t="str">
        <f>IF(Workforce[[#This Row],[Salary]]&lt;50000,"30k-49k",IF(Workforce[[#This Row],[Salary]]&lt;70000,"50k-69k",IF(Workforce[[#This Row],[Salary]]&lt;90000,"70k-89k","90k+")))</f>
        <v>90k+</v>
      </c>
      <c r="M1169" t="s">
        <v>8531</v>
      </c>
      <c r="N1169">
        <f t="shared" ca="1" si="74"/>
        <v>10</v>
      </c>
      <c r="O1169" t="str">
        <f t="shared" ca="1" si="75"/>
        <v>Senior level</v>
      </c>
    </row>
    <row r="1170" spans="1:15" x14ac:dyDescent="0.3">
      <c r="A1170" t="s">
        <v>8532</v>
      </c>
      <c r="B1170" t="s">
        <v>8533</v>
      </c>
      <c r="C1170" t="s">
        <v>35</v>
      </c>
      <c r="D1170" t="s">
        <v>8534</v>
      </c>
      <c r="E1170" t="s">
        <v>8535</v>
      </c>
      <c r="F1170" t="s">
        <v>8536</v>
      </c>
      <c r="G1170" t="s">
        <v>8537</v>
      </c>
      <c r="H1170" t="s">
        <v>8538</v>
      </c>
      <c r="I1170">
        <f t="shared" ca="1" si="72"/>
        <v>54</v>
      </c>
      <c r="J1170" t="str">
        <f t="shared" ca="1" si="73"/>
        <v>50-59</v>
      </c>
      <c r="K1170">
        <v>74974.990000000005</v>
      </c>
      <c r="L1170" t="str">
        <f>IF(Workforce[[#This Row],[Salary]]&lt;50000,"30k-49k",IF(Workforce[[#This Row],[Salary]]&lt;70000,"50k-69k",IF(Workforce[[#This Row],[Salary]]&lt;90000,"70k-89k","90k+")))</f>
        <v>70k-89k</v>
      </c>
      <c r="M1170" t="s">
        <v>8539</v>
      </c>
      <c r="N1170">
        <f t="shared" ca="1" si="74"/>
        <v>2</v>
      </c>
      <c r="O1170" t="str">
        <f t="shared" ca="1" si="75"/>
        <v>Beginner</v>
      </c>
    </row>
    <row r="1171" spans="1:15" x14ac:dyDescent="0.3">
      <c r="A1171" t="s">
        <v>8540</v>
      </c>
      <c r="B1171" t="s">
        <v>8541</v>
      </c>
      <c r="C1171" t="s">
        <v>169</v>
      </c>
      <c r="D1171" t="s">
        <v>8542</v>
      </c>
      <c r="E1171" t="s">
        <v>8543</v>
      </c>
      <c r="F1171" t="s">
        <v>1434</v>
      </c>
      <c r="G1171" t="s">
        <v>8544</v>
      </c>
      <c r="H1171" t="s">
        <v>8545</v>
      </c>
      <c r="I1171">
        <f t="shared" ca="1" si="72"/>
        <v>62</v>
      </c>
      <c r="J1171" t="str">
        <f t="shared" ca="1" si="73"/>
        <v>60+</v>
      </c>
      <c r="K1171">
        <v>107985.65</v>
      </c>
      <c r="L1171" t="str">
        <f>IF(Workforce[[#This Row],[Salary]]&lt;50000,"30k-49k",IF(Workforce[[#This Row],[Salary]]&lt;70000,"50k-69k",IF(Workforce[[#This Row],[Salary]]&lt;90000,"70k-89k","90k+")))</f>
        <v>90k+</v>
      </c>
      <c r="M1171" t="s">
        <v>8546</v>
      </c>
      <c r="N1171">
        <f t="shared" ca="1" si="74"/>
        <v>8</v>
      </c>
      <c r="O1171" t="str">
        <f t="shared" ca="1" si="75"/>
        <v>Senior level</v>
      </c>
    </row>
    <row r="1172" spans="1:15" x14ac:dyDescent="0.3">
      <c r="A1172" t="s">
        <v>8547</v>
      </c>
      <c r="B1172" t="s">
        <v>8548</v>
      </c>
      <c r="C1172" t="s">
        <v>284</v>
      </c>
      <c r="D1172" t="s">
        <v>8549</v>
      </c>
      <c r="E1172" t="s">
        <v>8550</v>
      </c>
      <c r="F1172" t="s">
        <v>3900</v>
      </c>
      <c r="G1172" t="s">
        <v>8551</v>
      </c>
      <c r="H1172" t="s">
        <v>8552</v>
      </c>
      <c r="I1172">
        <f t="shared" ca="1" si="72"/>
        <v>51</v>
      </c>
      <c r="J1172" t="str">
        <f t="shared" ca="1" si="73"/>
        <v>50-59</v>
      </c>
      <c r="K1172">
        <v>68523.39</v>
      </c>
      <c r="L1172" t="str">
        <f>IF(Workforce[[#This Row],[Salary]]&lt;50000,"30k-49k",IF(Workforce[[#This Row],[Salary]]&lt;70000,"50k-69k",IF(Workforce[[#This Row],[Salary]]&lt;90000,"70k-89k","90k+")))</f>
        <v>50k-69k</v>
      </c>
      <c r="M1172" t="s">
        <v>306</v>
      </c>
      <c r="N1172">
        <f t="shared" ca="1" si="74"/>
        <v>10</v>
      </c>
      <c r="O1172" t="str">
        <f t="shared" ca="1" si="75"/>
        <v>Senior level</v>
      </c>
    </row>
    <row r="1173" spans="1:15" x14ac:dyDescent="0.3">
      <c r="A1173" t="s">
        <v>8553</v>
      </c>
      <c r="B1173" t="s">
        <v>8554</v>
      </c>
      <c r="C1173" t="s">
        <v>88</v>
      </c>
      <c r="D1173" t="s">
        <v>8555</v>
      </c>
      <c r="E1173" t="s">
        <v>8556</v>
      </c>
      <c r="F1173" t="s">
        <v>207</v>
      </c>
      <c r="G1173" t="s">
        <v>8557</v>
      </c>
      <c r="H1173" t="s">
        <v>8558</v>
      </c>
      <c r="I1173">
        <f t="shared" ca="1" si="72"/>
        <v>19</v>
      </c>
      <c r="J1173" t="str">
        <f t="shared" ca="1" si="73"/>
        <v>18-29</v>
      </c>
      <c r="K1173">
        <v>60320.59</v>
      </c>
      <c r="L1173" t="str">
        <f>IF(Workforce[[#This Row],[Salary]]&lt;50000,"30k-49k",IF(Workforce[[#This Row],[Salary]]&lt;70000,"50k-69k",IF(Workforce[[#This Row],[Salary]]&lt;90000,"70k-89k","90k+")))</f>
        <v>50k-69k</v>
      </c>
      <c r="M1173" t="s">
        <v>8559</v>
      </c>
      <c r="N1173">
        <f t="shared" ca="1" si="74"/>
        <v>5</v>
      </c>
      <c r="O1173" t="str">
        <f t="shared" ca="1" si="75"/>
        <v>Intermediate level</v>
      </c>
    </row>
    <row r="1174" spans="1:15" x14ac:dyDescent="0.3">
      <c r="A1174" t="s">
        <v>8560</v>
      </c>
      <c r="B1174" t="s">
        <v>8561</v>
      </c>
      <c r="C1174" t="s">
        <v>1043</v>
      </c>
      <c r="D1174" t="s">
        <v>8562</v>
      </c>
      <c r="E1174" t="s">
        <v>8563</v>
      </c>
      <c r="F1174" t="s">
        <v>3028</v>
      </c>
      <c r="G1174" t="s">
        <v>8564</v>
      </c>
      <c r="H1174" t="s">
        <v>8565</v>
      </c>
      <c r="I1174">
        <f t="shared" ca="1" si="72"/>
        <v>55</v>
      </c>
      <c r="J1174" t="str">
        <f t="shared" ca="1" si="73"/>
        <v>50-59</v>
      </c>
      <c r="K1174">
        <v>83472.929999999993</v>
      </c>
      <c r="L1174" t="str">
        <f>IF(Workforce[[#This Row],[Salary]]&lt;50000,"30k-49k",IF(Workforce[[#This Row],[Salary]]&lt;70000,"50k-69k",IF(Workforce[[#This Row],[Salary]]&lt;90000,"70k-89k","90k+")))</f>
        <v>70k-89k</v>
      </c>
      <c r="M1174" t="s">
        <v>8566</v>
      </c>
      <c r="N1174">
        <f t="shared" ca="1" si="74"/>
        <v>10</v>
      </c>
      <c r="O1174" t="str">
        <f t="shared" ca="1" si="75"/>
        <v>Senior level</v>
      </c>
    </row>
    <row r="1175" spans="1:15" x14ac:dyDescent="0.3">
      <c r="A1175" t="s">
        <v>8567</v>
      </c>
      <c r="B1175" t="s">
        <v>8568</v>
      </c>
      <c r="C1175" t="s">
        <v>482</v>
      </c>
      <c r="D1175" t="s">
        <v>8569</v>
      </c>
      <c r="E1175" t="s">
        <v>8570</v>
      </c>
      <c r="F1175" t="s">
        <v>8571</v>
      </c>
      <c r="G1175" t="s">
        <v>8572</v>
      </c>
      <c r="H1175" t="s">
        <v>8573</v>
      </c>
      <c r="I1175">
        <f t="shared" ca="1" si="72"/>
        <v>42</v>
      </c>
      <c r="J1175" t="str">
        <f t="shared" ca="1" si="73"/>
        <v>40-49</v>
      </c>
      <c r="K1175">
        <v>75080.490000000005</v>
      </c>
      <c r="L1175" t="str">
        <f>IF(Workforce[[#This Row],[Salary]]&lt;50000,"30k-49k",IF(Workforce[[#This Row],[Salary]]&lt;70000,"50k-69k",IF(Workforce[[#This Row],[Salary]]&lt;90000,"70k-89k","90k+")))</f>
        <v>70k-89k</v>
      </c>
      <c r="M1175" t="s">
        <v>8574</v>
      </c>
      <c r="N1175">
        <f t="shared" ca="1" si="74"/>
        <v>2</v>
      </c>
      <c r="O1175" t="str">
        <f t="shared" ca="1" si="75"/>
        <v>Beginner</v>
      </c>
    </row>
    <row r="1176" spans="1:15" x14ac:dyDescent="0.3">
      <c r="A1176" t="s">
        <v>8575</v>
      </c>
      <c r="B1176" t="s">
        <v>8576</v>
      </c>
      <c r="C1176" t="s">
        <v>169</v>
      </c>
      <c r="D1176" t="s">
        <v>8577</v>
      </c>
      <c r="E1176" t="s">
        <v>8578</v>
      </c>
      <c r="F1176" t="s">
        <v>2673</v>
      </c>
      <c r="G1176" t="s">
        <v>8579</v>
      </c>
      <c r="H1176" t="s">
        <v>8580</v>
      </c>
      <c r="I1176">
        <f t="shared" ca="1" si="72"/>
        <v>34</v>
      </c>
      <c r="J1176" t="str">
        <f t="shared" ca="1" si="73"/>
        <v>30-39</v>
      </c>
      <c r="K1176">
        <v>52828.61</v>
      </c>
      <c r="L1176" t="str">
        <f>IF(Workforce[[#This Row],[Salary]]&lt;50000,"30k-49k",IF(Workforce[[#This Row],[Salary]]&lt;70000,"50k-69k",IF(Workforce[[#This Row],[Salary]]&lt;90000,"70k-89k","90k+")))</f>
        <v>50k-69k</v>
      </c>
      <c r="M1176" t="s">
        <v>7895</v>
      </c>
      <c r="N1176">
        <f t="shared" ca="1" si="74"/>
        <v>10</v>
      </c>
      <c r="O1176" t="str">
        <f t="shared" ca="1" si="75"/>
        <v>Senior level</v>
      </c>
    </row>
    <row r="1177" spans="1:15" x14ac:dyDescent="0.3">
      <c r="A1177" t="s">
        <v>8581</v>
      </c>
      <c r="B1177" t="s">
        <v>8582</v>
      </c>
      <c r="C1177" t="s">
        <v>196</v>
      </c>
      <c r="D1177" t="s">
        <v>8583</v>
      </c>
      <c r="E1177" t="s">
        <v>8584</v>
      </c>
      <c r="F1177" t="s">
        <v>1123</v>
      </c>
      <c r="G1177" t="s">
        <v>8585</v>
      </c>
      <c r="H1177" t="s">
        <v>8586</v>
      </c>
      <c r="I1177">
        <f t="shared" ca="1" si="72"/>
        <v>57</v>
      </c>
      <c r="J1177" t="str">
        <f t="shared" ca="1" si="73"/>
        <v>50-59</v>
      </c>
      <c r="K1177">
        <v>97391.47</v>
      </c>
      <c r="L1177" t="str">
        <f>IF(Workforce[[#This Row],[Salary]]&lt;50000,"30k-49k",IF(Workforce[[#This Row],[Salary]]&lt;70000,"50k-69k",IF(Workforce[[#This Row],[Salary]]&lt;90000,"70k-89k","90k+")))</f>
        <v>90k+</v>
      </c>
      <c r="M1177" t="s">
        <v>8587</v>
      </c>
      <c r="N1177">
        <f t="shared" ca="1" si="74"/>
        <v>9</v>
      </c>
      <c r="O1177" t="str">
        <f t="shared" ca="1" si="75"/>
        <v>Senior level</v>
      </c>
    </row>
    <row r="1178" spans="1:15" x14ac:dyDescent="0.3">
      <c r="A1178" t="s">
        <v>8588</v>
      </c>
      <c r="B1178" t="s">
        <v>8589</v>
      </c>
      <c r="C1178" t="s">
        <v>457</v>
      </c>
      <c r="D1178" t="s">
        <v>8590</v>
      </c>
      <c r="E1178" t="s">
        <v>8591</v>
      </c>
      <c r="F1178" t="s">
        <v>2232</v>
      </c>
      <c r="G1178" t="s">
        <v>8592</v>
      </c>
      <c r="H1178" t="s">
        <v>8593</v>
      </c>
      <c r="I1178">
        <f t="shared" ca="1" si="72"/>
        <v>40</v>
      </c>
      <c r="J1178" t="str">
        <f t="shared" ca="1" si="73"/>
        <v>40-49</v>
      </c>
      <c r="K1178">
        <v>45204.25</v>
      </c>
      <c r="L1178" t="str">
        <f>IF(Workforce[[#This Row],[Salary]]&lt;50000,"30k-49k",IF(Workforce[[#This Row],[Salary]]&lt;70000,"50k-69k",IF(Workforce[[#This Row],[Salary]]&lt;90000,"70k-89k","90k+")))</f>
        <v>30k-49k</v>
      </c>
      <c r="M1178" t="s">
        <v>8594</v>
      </c>
      <c r="N1178">
        <f t="shared" ca="1" si="74"/>
        <v>1</v>
      </c>
      <c r="O1178" t="str">
        <f t="shared" ca="1" si="75"/>
        <v>Beginner</v>
      </c>
    </row>
    <row r="1179" spans="1:15" x14ac:dyDescent="0.3">
      <c r="A1179" t="s">
        <v>8595</v>
      </c>
      <c r="B1179" t="s">
        <v>8596</v>
      </c>
      <c r="C1179" t="s">
        <v>284</v>
      </c>
      <c r="D1179" t="s">
        <v>8597</v>
      </c>
      <c r="E1179" t="s">
        <v>8598</v>
      </c>
      <c r="F1179" t="s">
        <v>1896</v>
      </c>
      <c r="G1179" t="s">
        <v>8599</v>
      </c>
      <c r="H1179" t="s">
        <v>8600</v>
      </c>
      <c r="I1179">
        <f t="shared" ca="1" si="72"/>
        <v>33</v>
      </c>
      <c r="J1179" t="str">
        <f t="shared" ca="1" si="73"/>
        <v>30-39</v>
      </c>
      <c r="K1179">
        <v>65588.600000000006</v>
      </c>
      <c r="L1179" t="str">
        <f>IF(Workforce[[#This Row],[Salary]]&lt;50000,"30k-49k",IF(Workforce[[#This Row],[Salary]]&lt;70000,"50k-69k",IF(Workforce[[#This Row],[Salary]]&lt;90000,"70k-89k","90k+")))</f>
        <v>50k-69k</v>
      </c>
      <c r="M1179" t="s">
        <v>2734</v>
      </c>
      <c r="N1179">
        <f t="shared" ca="1" si="74"/>
        <v>7</v>
      </c>
      <c r="O1179" t="str">
        <f t="shared" ca="1" si="75"/>
        <v>Senior level</v>
      </c>
    </row>
    <row r="1180" spans="1:15" x14ac:dyDescent="0.3">
      <c r="A1180" t="s">
        <v>8601</v>
      </c>
      <c r="B1180" t="s">
        <v>8602</v>
      </c>
      <c r="C1180" t="s">
        <v>317</v>
      </c>
      <c r="D1180" t="s">
        <v>8603</v>
      </c>
      <c r="E1180" t="s">
        <v>8604</v>
      </c>
      <c r="F1180" t="s">
        <v>5485</v>
      </c>
      <c r="G1180" t="s">
        <v>5638</v>
      </c>
      <c r="H1180" t="s">
        <v>8605</v>
      </c>
      <c r="I1180">
        <f t="shared" ca="1" si="72"/>
        <v>19</v>
      </c>
      <c r="J1180" t="str">
        <f t="shared" ca="1" si="73"/>
        <v>18-29</v>
      </c>
      <c r="K1180">
        <v>102150.39</v>
      </c>
      <c r="L1180" t="str">
        <f>IF(Workforce[[#This Row],[Salary]]&lt;50000,"30k-49k",IF(Workforce[[#This Row],[Salary]]&lt;70000,"50k-69k",IF(Workforce[[#This Row],[Salary]]&lt;90000,"70k-89k","90k+")))</f>
        <v>90k+</v>
      </c>
      <c r="M1180" t="s">
        <v>8606</v>
      </c>
      <c r="N1180">
        <f t="shared" ca="1" si="74"/>
        <v>6</v>
      </c>
      <c r="O1180" t="str">
        <f t="shared" ca="1" si="75"/>
        <v>Intermediate level</v>
      </c>
    </row>
    <row r="1181" spans="1:15" x14ac:dyDescent="0.3">
      <c r="A1181" t="s">
        <v>8607</v>
      </c>
      <c r="B1181" t="s">
        <v>8608</v>
      </c>
      <c r="C1181" t="s">
        <v>133</v>
      </c>
      <c r="D1181" t="s">
        <v>8609</v>
      </c>
      <c r="E1181" t="s">
        <v>8610</v>
      </c>
      <c r="F1181" t="s">
        <v>6585</v>
      </c>
      <c r="G1181" t="s">
        <v>8611</v>
      </c>
      <c r="H1181" t="s">
        <v>5418</v>
      </c>
      <c r="I1181">
        <f t="shared" ca="1" si="72"/>
        <v>53</v>
      </c>
      <c r="J1181" t="str">
        <f t="shared" ca="1" si="73"/>
        <v>50-59</v>
      </c>
      <c r="K1181">
        <v>34807.97</v>
      </c>
      <c r="L1181" t="str">
        <f>IF(Workforce[[#This Row],[Salary]]&lt;50000,"30k-49k",IF(Workforce[[#This Row],[Salary]]&lt;70000,"50k-69k",IF(Workforce[[#This Row],[Salary]]&lt;90000,"70k-89k","90k+")))</f>
        <v>30k-49k</v>
      </c>
      <c r="M1181" t="s">
        <v>8612</v>
      </c>
      <c r="N1181">
        <f t="shared" ca="1" si="74"/>
        <v>3</v>
      </c>
      <c r="O1181" t="str">
        <f t="shared" ca="1" si="75"/>
        <v>Intermediate level</v>
      </c>
    </row>
    <row r="1182" spans="1:15" x14ac:dyDescent="0.3">
      <c r="A1182" t="s">
        <v>8613</v>
      </c>
      <c r="B1182" t="s">
        <v>8614</v>
      </c>
      <c r="C1182" t="s">
        <v>2086</v>
      </c>
      <c r="D1182" t="s">
        <v>8615</v>
      </c>
      <c r="E1182" t="s">
        <v>8616</v>
      </c>
      <c r="F1182" t="s">
        <v>3804</v>
      </c>
      <c r="G1182" t="s">
        <v>8617</v>
      </c>
      <c r="H1182" t="s">
        <v>8618</v>
      </c>
      <c r="I1182">
        <f t="shared" ca="1" si="72"/>
        <v>44</v>
      </c>
      <c r="J1182" t="str">
        <f t="shared" ca="1" si="73"/>
        <v>40-49</v>
      </c>
      <c r="K1182">
        <v>111275.26</v>
      </c>
      <c r="L1182" t="str">
        <f>IF(Workforce[[#This Row],[Salary]]&lt;50000,"30k-49k",IF(Workforce[[#This Row],[Salary]]&lt;70000,"50k-69k",IF(Workforce[[#This Row],[Salary]]&lt;90000,"70k-89k","90k+")))</f>
        <v>90k+</v>
      </c>
      <c r="M1182" t="s">
        <v>8619</v>
      </c>
      <c r="N1182">
        <f t="shared" ca="1" si="74"/>
        <v>5</v>
      </c>
      <c r="O1182" t="str">
        <f t="shared" ca="1" si="75"/>
        <v>Intermediate level</v>
      </c>
    </row>
    <row r="1183" spans="1:15" x14ac:dyDescent="0.3">
      <c r="A1183" t="s">
        <v>8620</v>
      </c>
      <c r="B1183" t="s">
        <v>8621</v>
      </c>
      <c r="C1183" t="s">
        <v>1223</v>
      </c>
      <c r="D1183" t="s">
        <v>8622</v>
      </c>
      <c r="E1183" t="s">
        <v>8623</v>
      </c>
      <c r="F1183" t="s">
        <v>5191</v>
      </c>
      <c r="G1183" t="s">
        <v>8624</v>
      </c>
      <c r="H1183" t="s">
        <v>8625</v>
      </c>
      <c r="I1183">
        <f t="shared" ca="1" si="72"/>
        <v>47</v>
      </c>
      <c r="J1183" t="str">
        <f t="shared" ca="1" si="73"/>
        <v>40-49</v>
      </c>
      <c r="K1183">
        <v>114192.72</v>
      </c>
      <c r="L1183" t="str">
        <f>IF(Workforce[[#This Row],[Salary]]&lt;50000,"30k-49k",IF(Workforce[[#This Row],[Salary]]&lt;70000,"50k-69k",IF(Workforce[[#This Row],[Salary]]&lt;90000,"70k-89k","90k+")))</f>
        <v>90k+</v>
      </c>
      <c r="M1183" t="s">
        <v>8626</v>
      </c>
      <c r="N1183">
        <f t="shared" ca="1" si="74"/>
        <v>4</v>
      </c>
      <c r="O1183" t="str">
        <f t="shared" ca="1" si="75"/>
        <v>Intermediate level</v>
      </c>
    </row>
    <row r="1184" spans="1:15" x14ac:dyDescent="0.3">
      <c r="A1184" t="s">
        <v>8627</v>
      </c>
      <c r="B1184" t="s">
        <v>8628</v>
      </c>
      <c r="C1184" t="s">
        <v>70</v>
      </c>
      <c r="D1184" t="s">
        <v>8629</v>
      </c>
      <c r="E1184" t="s">
        <v>8630</v>
      </c>
      <c r="F1184" t="s">
        <v>4387</v>
      </c>
      <c r="G1184" t="s">
        <v>3704</v>
      </c>
      <c r="H1184" t="s">
        <v>8631</v>
      </c>
      <c r="I1184">
        <f t="shared" ca="1" si="72"/>
        <v>40</v>
      </c>
      <c r="J1184" t="str">
        <f t="shared" ca="1" si="73"/>
        <v>40-49</v>
      </c>
      <c r="K1184">
        <v>77311.94</v>
      </c>
      <c r="L1184" t="str">
        <f>IF(Workforce[[#This Row],[Salary]]&lt;50000,"30k-49k",IF(Workforce[[#This Row],[Salary]]&lt;70000,"50k-69k",IF(Workforce[[#This Row],[Salary]]&lt;90000,"70k-89k","90k+")))</f>
        <v>70k-89k</v>
      </c>
      <c r="M1184" t="s">
        <v>8632</v>
      </c>
      <c r="N1184">
        <f t="shared" ca="1" si="74"/>
        <v>5</v>
      </c>
      <c r="O1184" t="str">
        <f t="shared" ca="1" si="75"/>
        <v>Intermediate level</v>
      </c>
    </row>
    <row r="1185" spans="1:15" x14ac:dyDescent="0.3">
      <c r="A1185" t="s">
        <v>8633</v>
      </c>
      <c r="B1185" t="s">
        <v>8634</v>
      </c>
      <c r="C1185" t="s">
        <v>151</v>
      </c>
      <c r="D1185" t="s">
        <v>8635</v>
      </c>
      <c r="E1185" t="s">
        <v>8636</v>
      </c>
      <c r="F1185" t="s">
        <v>8637</v>
      </c>
      <c r="G1185" t="s">
        <v>8638</v>
      </c>
      <c r="H1185" t="s">
        <v>8639</v>
      </c>
      <c r="I1185">
        <f t="shared" ca="1" si="72"/>
        <v>21</v>
      </c>
      <c r="J1185" t="str">
        <f t="shared" ca="1" si="73"/>
        <v>18-29</v>
      </c>
      <c r="K1185">
        <v>68057.149999999994</v>
      </c>
      <c r="L1185" t="str">
        <f>IF(Workforce[[#This Row],[Salary]]&lt;50000,"30k-49k",IF(Workforce[[#This Row],[Salary]]&lt;70000,"50k-69k",IF(Workforce[[#This Row],[Salary]]&lt;90000,"70k-89k","90k+")))</f>
        <v>50k-69k</v>
      </c>
      <c r="M1185" t="s">
        <v>6891</v>
      </c>
      <c r="N1185">
        <f t="shared" ca="1" si="74"/>
        <v>7</v>
      </c>
      <c r="O1185" t="str">
        <f t="shared" ca="1" si="75"/>
        <v>Senior level</v>
      </c>
    </row>
    <row r="1186" spans="1:15" x14ac:dyDescent="0.3">
      <c r="A1186" t="s">
        <v>8640</v>
      </c>
      <c r="B1186" t="s">
        <v>8641</v>
      </c>
      <c r="C1186" t="s">
        <v>335</v>
      </c>
      <c r="D1186" t="s">
        <v>8642</v>
      </c>
      <c r="E1186" t="s">
        <v>8643</v>
      </c>
      <c r="F1186" t="s">
        <v>533</v>
      </c>
      <c r="G1186" t="s">
        <v>8644</v>
      </c>
      <c r="H1186" t="s">
        <v>8645</v>
      </c>
      <c r="I1186">
        <f t="shared" ca="1" si="72"/>
        <v>20</v>
      </c>
      <c r="J1186" t="str">
        <f t="shared" ca="1" si="73"/>
        <v>18-29</v>
      </c>
      <c r="K1186">
        <v>105487.12</v>
      </c>
      <c r="L1186" t="str">
        <f>IF(Workforce[[#This Row],[Salary]]&lt;50000,"30k-49k",IF(Workforce[[#This Row],[Salary]]&lt;70000,"50k-69k",IF(Workforce[[#This Row],[Salary]]&lt;90000,"70k-89k","90k+")))</f>
        <v>90k+</v>
      </c>
      <c r="M1186" t="s">
        <v>8646</v>
      </c>
      <c r="N1186">
        <f t="shared" ca="1" si="74"/>
        <v>8</v>
      </c>
      <c r="O1186" t="str">
        <f t="shared" ca="1" si="75"/>
        <v>Senior level</v>
      </c>
    </row>
    <row r="1187" spans="1:15" x14ac:dyDescent="0.3">
      <c r="A1187" t="s">
        <v>8647</v>
      </c>
      <c r="B1187" t="s">
        <v>8648</v>
      </c>
      <c r="C1187" t="s">
        <v>35</v>
      </c>
      <c r="D1187" t="s">
        <v>8649</v>
      </c>
      <c r="E1187" t="s">
        <v>8650</v>
      </c>
      <c r="F1187" t="s">
        <v>1795</v>
      </c>
      <c r="G1187" t="s">
        <v>8651</v>
      </c>
      <c r="H1187" t="s">
        <v>696</v>
      </c>
      <c r="I1187">
        <f t="shared" ca="1" si="72"/>
        <v>40</v>
      </c>
      <c r="J1187" t="str">
        <f t="shared" ca="1" si="73"/>
        <v>40-49</v>
      </c>
      <c r="K1187">
        <v>55386.76</v>
      </c>
      <c r="L1187" t="str">
        <f>IF(Workforce[[#This Row],[Salary]]&lt;50000,"30k-49k",IF(Workforce[[#This Row],[Salary]]&lt;70000,"50k-69k",IF(Workforce[[#This Row],[Salary]]&lt;90000,"70k-89k","90k+")))</f>
        <v>50k-69k</v>
      </c>
      <c r="M1187" t="s">
        <v>929</v>
      </c>
      <c r="N1187">
        <f t="shared" ca="1" si="74"/>
        <v>10</v>
      </c>
      <c r="O1187" t="str">
        <f t="shared" ca="1" si="75"/>
        <v>Senior level</v>
      </c>
    </row>
    <row r="1188" spans="1:15" x14ac:dyDescent="0.3">
      <c r="A1188" t="s">
        <v>8652</v>
      </c>
      <c r="B1188" t="s">
        <v>8653</v>
      </c>
      <c r="C1188" t="s">
        <v>1043</v>
      </c>
      <c r="D1188" t="s">
        <v>8654</v>
      </c>
      <c r="E1188" t="s">
        <v>8655</v>
      </c>
      <c r="F1188" t="s">
        <v>2673</v>
      </c>
      <c r="G1188" t="s">
        <v>8656</v>
      </c>
      <c r="H1188" t="s">
        <v>8657</v>
      </c>
      <c r="I1188">
        <f t="shared" ca="1" si="72"/>
        <v>25</v>
      </c>
      <c r="J1188" t="str">
        <f t="shared" ca="1" si="73"/>
        <v>18-29</v>
      </c>
      <c r="K1188">
        <v>115979.97</v>
      </c>
      <c r="L1188" t="str">
        <f>IF(Workforce[[#This Row],[Salary]]&lt;50000,"30k-49k",IF(Workforce[[#This Row],[Salary]]&lt;70000,"50k-69k",IF(Workforce[[#This Row],[Salary]]&lt;90000,"70k-89k","90k+")))</f>
        <v>90k+</v>
      </c>
      <c r="M1188" t="s">
        <v>8658</v>
      </c>
      <c r="N1188">
        <f t="shared" ca="1" si="74"/>
        <v>2</v>
      </c>
      <c r="O1188" t="str">
        <f t="shared" ca="1" si="75"/>
        <v>Beginner</v>
      </c>
    </row>
    <row r="1189" spans="1:15" x14ac:dyDescent="0.3">
      <c r="A1189" t="s">
        <v>8659</v>
      </c>
      <c r="B1189" t="s">
        <v>8660</v>
      </c>
      <c r="C1189" t="s">
        <v>1159</v>
      </c>
      <c r="D1189" t="s">
        <v>8661</v>
      </c>
      <c r="E1189" t="s">
        <v>8662</v>
      </c>
      <c r="F1189" t="s">
        <v>4329</v>
      </c>
      <c r="G1189" t="s">
        <v>8663</v>
      </c>
      <c r="H1189" t="s">
        <v>8664</v>
      </c>
      <c r="I1189">
        <f t="shared" ca="1" si="72"/>
        <v>44</v>
      </c>
      <c r="J1189" t="str">
        <f t="shared" ca="1" si="73"/>
        <v>40-49</v>
      </c>
      <c r="K1189">
        <v>112772.31</v>
      </c>
      <c r="L1189" t="str">
        <f>IF(Workforce[[#This Row],[Salary]]&lt;50000,"30k-49k",IF(Workforce[[#This Row],[Salary]]&lt;70000,"50k-69k",IF(Workforce[[#This Row],[Salary]]&lt;90000,"70k-89k","90k+")))</f>
        <v>90k+</v>
      </c>
      <c r="M1189" t="s">
        <v>8665</v>
      </c>
      <c r="N1189">
        <f t="shared" ca="1" si="74"/>
        <v>10</v>
      </c>
      <c r="O1189" t="str">
        <f t="shared" ca="1" si="75"/>
        <v>Senior level</v>
      </c>
    </row>
    <row r="1190" spans="1:15" x14ac:dyDescent="0.3">
      <c r="A1190" t="s">
        <v>8666</v>
      </c>
      <c r="B1190" t="s">
        <v>8667</v>
      </c>
      <c r="C1190" t="s">
        <v>222</v>
      </c>
      <c r="D1190" t="s">
        <v>8668</v>
      </c>
      <c r="E1190" t="s">
        <v>8669</v>
      </c>
      <c r="F1190" t="s">
        <v>3337</v>
      </c>
      <c r="G1190" t="s">
        <v>1023</v>
      </c>
      <c r="H1190" t="s">
        <v>8670</v>
      </c>
      <c r="I1190">
        <f t="shared" ca="1" si="72"/>
        <v>65</v>
      </c>
      <c r="J1190" t="str">
        <f t="shared" ca="1" si="73"/>
        <v>60+</v>
      </c>
      <c r="K1190">
        <v>37814.67</v>
      </c>
      <c r="L1190" t="str">
        <f>IF(Workforce[[#This Row],[Salary]]&lt;50000,"30k-49k",IF(Workforce[[#This Row],[Salary]]&lt;70000,"50k-69k",IF(Workforce[[#This Row],[Salary]]&lt;90000,"70k-89k","90k+")))</f>
        <v>30k-49k</v>
      </c>
      <c r="M1190" t="s">
        <v>8671</v>
      </c>
      <c r="N1190">
        <f t="shared" ca="1" si="74"/>
        <v>3</v>
      </c>
      <c r="O1190" t="str">
        <f t="shared" ca="1" si="75"/>
        <v>Intermediate level</v>
      </c>
    </row>
    <row r="1191" spans="1:15" x14ac:dyDescent="0.3">
      <c r="A1191" t="s">
        <v>4579</v>
      </c>
      <c r="B1191" t="s">
        <v>8672</v>
      </c>
      <c r="C1191" t="s">
        <v>44</v>
      </c>
      <c r="D1191" t="s">
        <v>8673</v>
      </c>
      <c r="E1191" t="s">
        <v>8674</v>
      </c>
      <c r="F1191" t="s">
        <v>4270</v>
      </c>
      <c r="G1191" t="s">
        <v>8675</v>
      </c>
      <c r="H1191" t="s">
        <v>8676</v>
      </c>
      <c r="I1191">
        <f t="shared" ca="1" si="72"/>
        <v>28</v>
      </c>
      <c r="J1191" t="str">
        <f t="shared" ca="1" si="73"/>
        <v>18-29</v>
      </c>
      <c r="K1191">
        <v>40973.97</v>
      </c>
      <c r="L1191" t="str">
        <f>IF(Workforce[[#This Row],[Salary]]&lt;50000,"30k-49k",IF(Workforce[[#This Row],[Salary]]&lt;70000,"50k-69k",IF(Workforce[[#This Row],[Salary]]&lt;90000,"70k-89k","90k+")))</f>
        <v>30k-49k</v>
      </c>
      <c r="M1191" t="s">
        <v>8677</v>
      </c>
      <c r="N1191">
        <f t="shared" ca="1" si="74"/>
        <v>8</v>
      </c>
      <c r="O1191" t="str">
        <f t="shared" ca="1" si="75"/>
        <v>Senior level</v>
      </c>
    </row>
    <row r="1192" spans="1:15" x14ac:dyDescent="0.3">
      <c r="A1192" t="s">
        <v>8678</v>
      </c>
      <c r="B1192" t="s">
        <v>8679</v>
      </c>
      <c r="C1192" t="s">
        <v>124</v>
      </c>
      <c r="D1192" t="s">
        <v>8680</v>
      </c>
      <c r="E1192" t="s">
        <v>8681</v>
      </c>
      <c r="F1192" t="s">
        <v>2217</v>
      </c>
      <c r="G1192" t="s">
        <v>8682</v>
      </c>
      <c r="H1192" t="s">
        <v>8683</v>
      </c>
      <c r="I1192">
        <f t="shared" ca="1" si="72"/>
        <v>53</v>
      </c>
      <c r="J1192" t="str">
        <f t="shared" ca="1" si="73"/>
        <v>50-59</v>
      </c>
      <c r="K1192">
        <v>49886.48</v>
      </c>
      <c r="L1192" t="str">
        <f>IF(Workforce[[#This Row],[Salary]]&lt;50000,"30k-49k",IF(Workforce[[#This Row],[Salary]]&lt;70000,"50k-69k",IF(Workforce[[#This Row],[Salary]]&lt;90000,"70k-89k","90k+")))</f>
        <v>30k-49k</v>
      </c>
      <c r="M1192" t="s">
        <v>8684</v>
      </c>
      <c r="N1192">
        <f t="shared" ca="1" si="74"/>
        <v>3</v>
      </c>
      <c r="O1192" t="str">
        <f t="shared" ca="1" si="75"/>
        <v>Intermediate level</v>
      </c>
    </row>
    <row r="1193" spans="1:15" x14ac:dyDescent="0.3">
      <c r="A1193" t="s">
        <v>8685</v>
      </c>
      <c r="B1193" t="s">
        <v>8686</v>
      </c>
      <c r="C1193" t="s">
        <v>335</v>
      </c>
      <c r="D1193" t="s">
        <v>8687</v>
      </c>
      <c r="E1193" t="s">
        <v>8688</v>
      </c>
      <c r="F1193" t="s">
        <v>8689</v>
      </c>
      <c r="G1193" t="s">
        <v>8690</v>
      </c>
      <c r="H1193" t="s">
        <v>8691</v>
      </c>
      <c r="I1193">
        <f t="shared" ca="1" si="72"/>
        <v>22</v>
      </c>
      <c r="J1193" t="str">
        <f t="shared" ca="1" si="73"/>
        <v>18-29</v>
      </c>
      <c r="K1193">
        <v>38714.43</v>
      </c>
      <c r="L1193" t="str">
        <f>IF(Workforce[[#This Row],[Salary]]&lt;50000,"30k-49k",IF(Workforce[[#This Row],[Salary]]&lt;70000,"50k-69k",IF(Workforce[[#This Row],[Salary]]&lt;90000,"70k-89k","90k+")))</f>
        <v>30k-49k</v>
      </c>
      <c r="M1193" t="s">
        <v>8692</v>
      </c>
      <c r="N1193">
        <f t="shared" ca="1" si="74"/>
        <v>3</v>
      </c>
      <c r="O1193" t="str">
        <f t="shared" ca="1" si="75"/>
        <v>Intermediate level</v>
      </c>
    </row>
    <row r="1194" spans="1:15" x14ac:dyDescent="0.3">
      <c r="A1194" t="s">
        <v>8693</v>
      </c>
      <c r="B1194" t="s">
        <v>8694</v>
      </c>
      <c r="C1194" t="s">
        <v>351</v>
      </c>
      <c r="D1194" t="s">
        <v>8695</v>
      </c>
      <c r="E1194" t="s">
        <v>8696</v>
      </c>
      <c r="F1194" t="s">
        <v>1511</v>
      </c>
      <c r="G1194" t="s">
        <v>8697</v>
      </c>
      <c r="H1194" t="s">
        <v>8698</v>
      </c>
      <c r="I1194">
        <f t="shared" ca="1" si="72"/>
        <v>47</v>
      </c>
      <c r="J1194" t="str">
        <f t="shared" ca="1" si="73"/>
        <v>40-49</v>
      </c>
      <c r="K1194">
        <v>68439.399999999994</v>
      </c>
      <c r="L1194" t="str">
        <f>IF(Workforce[[#This Row],[Salary]]&lt;50000,"30k-49k",IF(Workforce[[#This Row],[Salary]]&lt;70000,"50k-69k",IF(Workforce[[#This Row],[Salary]]&lt;90000,"70k-89k","90k+")))</f>
        <v>50k-69k</v>
      </c>
      <c r="M1194" t="s">
        <v>8699</v>
      </c>
      <c r="N1194">
        <f t="shared" ca="1" si="74"/>
        <v>7</v>
      </c>
      <c r="O1194" t="str">
        <f t="shared" ca="1" si="75"/>
        <v>Senior level</v>
      </c>
    </row>
    <row r="1195" spans="1:15" x14ac:dyDescent="0.3">
      <c r="A1195" t="s">
        <v>8700</v>
      </c>
      <c r="B1195" t="s">
        <v>8701</v>
      </c>
      <c r="C1195" t="s">
        <v>580</v>
      </c>
      <c r="D1195" t="s">
        <v>8702</v>
      </c>
      <c r="E1195" t="s">
        <v>8703</v>
      </c>
      <c r="F1195" t="s">
        <v>6290</v>
      </c>
      <c r="G1195" t="s">
        <v>8704</v>
      </c>
      <c r="H1195" t="s">
        <v>8705</v>
      </c>
      <c r="I1195">
        <f t="shared" ca="1" si="72"/>
        <v>49</v>
      </c>
      <c r="J1195" t="str">
        <f t="shared" ca="1" si="73"/>
        <v>40-49</v>
      </c>
      <c r="K1195">
        <v>57787.15</v>
      </c>
      <c r="L1195" t="str">
        <f>IF(Workforce[[#This Row],[Salary]]&lt;50000,"30k-49k",IF(Workforce[[#This Row],[Salary]]&lt;70000,"50k-69k",IF(Workforce[[#This Row],[Salary]]&lt;90000,"70k-89k","90k+")))</f>
        <v>50k-69k</v>
      </c>
      <c r="M1195" t="s">
        <v>1814</v>
      </c>
      <c r="N1195">
        <f t="shared" ca="1" si="74"/>
        <v>8</v>
      </c>
      <c r="O1195" t="str">
        <f t="shared" ca="1" si="75"/>
        <v>Senior level</v>
      </c>
    </row>
    <row r="1196" spans="1:15" x14ac:dyDescent="0.3">
      <c r="A1196" t="s">
        <v>8706</v>
      </c>
      <c r="B1196" t="s">
        <v>8707</v>
      </c>
      <c r="C1196" t="s">
        <v>326</v>
      </c>
      <c r="D1196" t="s">
        <v>8708</v>
      </c>
      <c r="E1196" t="s">
        <v>8709</v>
      </c>
      <c r="F1196" t="s">
        <v>4313</v>
      </c>
      <c r="G1196" t="s">
        <v>8710</v>
      </c>
      <c r="H1196" t="s">
        <v>8711</v>
      </c>
      <c r="I1196">
        <f t="shared" ca="1" si="72"/>
        <v>26</v>
      </c>
      <c r="J1196" t="str">
        <f t="shared" ca="1" si="73"/>
        <v>18-29</v>
      </c>
      <c r="K1196">
        <v>116911.1</v>
      </c>
      <c r="L1196" t="str">
        <f>IF(Workforce[[#This Row],[Salary]]&lt;50000,"30k-49k",IF(Workforce[[#This Row],[Salary]]&lt;70000,"50k-69k",IF(Workforce[[#This Row],[Salary]]&lt;90000,"70k-89k","90k+")))</f>
        <v>90k+</v>
      </c>
      <c r="M1196" t="s">
        <v>8712</v>
      </c>
      <c r="N1196">
        <f t="shared" ca="1" si="74"/>
        <v>1</v>
      </c>
      <c r="O1196" t="str">
        <f t="shared" ca="1" si="75"/>
        <v>Beginner</v>
      </c>
    </row>
    <row r="1197" spans="1:15" x14ac:dyDescent="0.3">
      <c r="A1197" t="s">
        <v>8713</v>
      </c>
      <c r="B1197" t="s">
        <v>8714</v>
      </c>
      <c r="C1197" t="s">
        <v>284</v>
      </c>
      <c r="D1197" t="s">
        <v>8715</v>
      </c>
      <c r="E1197" t="s">
        <v>8716</v>
      </c>
      <c r="F1197" t="s">
        <v>3337</v>
      </c>
      <c r="G1197" t="s">
        <v>8717</v>
      </c>
      <c r="H1197" t="s">
        <v>8718</v>
      </c>
      <c r="I1197">
        <f t="shared" ca="1" si="72"/>
        <v>35</v>
      </c>
      <c r="J1197" t="str">
        <f t="shared" ca="1" si="73"/>
        <v>30-39</v>
      </c>
      <c r="K1197">
        <v>73476.460000000006</v>
      </c>
      <c r="L1197" t="str">
        <f>IF(Workforce[[#This Row],[Salary]]&lt;50000,"30k-49k",IF(Workforce[[#This Row],[Salary]]&lt;70000,"50k-69k",IF(Workforce[[#This Row],[Salary]]&lt;90000,"70k-89k","90k+")))</f>
        <v>70k-89k</v>
      </c>
      <c r="M1197" t="s">
        <v>2404</v>
      </c>
      <c r="N1197">
        <f t="shared" ca="1" si="74"/>
        <v>7</v>
      </c>
      <c r="O1197" t="str">
        <f t="shared" ca="1" si="75"/>
        <v>Senior level</v>
      </c>
    </row>
    <row r="1198" spans="1:15" x14ac:dyDescent="0.3">
      <c r="A1198" t="s">
        <v>8719</v>
      </c>
      <c r="B1198" t="s">
        <v>8720</v>
      </c>
      <c r="C1198" t="s">
        <v>1223</v>
      </c>
      <c r="D1198" t="s">
        <v>8721</v>
      </c>
      <c r="E1198" t="s">
        <v>8722</v>
      </c>
      <c r="F1198" t="s">
        <v>2731</v>
      </c>
      <c r="G1198" t="s">
        <v>8723</v>
      </c>
      <c r="H1198" t="s">
        <v>8724</v>
      </c>
      <c r="I1198">
        <f t="shared" ca="1" si="72"/>
        <v>55</v>
      </c>
      <c r="J1198" t="str">
        <f t="shared" ca="1" si="73"/>
        <v>50-59</v>
      </c>
      <c r="K1198">
        <v>93649.41</v>
      </c>
      <c r="L1198" t="str">
        <f>IF(Workforce[[#This Row],[Salary]]&lt;50000,"30k-49k",IF(Workforce[[#This Row],[Salary]]&lt;70000,"50k-69k",IF(Workforce[[#This Row],[Salary]]&lt;90000,"70k-89k","90k+")))</f>
        <v>90k+</v>
      </c>
      <c r="M1198" t="s">
        <v>8725</v>
      </c>
      <c r="N1198">
        <f t="shared" ca="1" si="74"/>
        <v>9</v>
      </c>
      <c r="O1198" t="str">
        <f t="shared" ca="1" si="75"/>
        <v>Senior level</v>
      </c>
    </row>
    <row r="1199" spans="1:15" x14ac:dyDescent="0.3">
      <c r="A1199" t="s">
        <v>8726</v>
      </c>
      <c r="B1199" t="s">
        <v>8727</v>
      </c>
      <c r="C1199" t="s">
        <v>133</v>
      </c>
      <c r="D1199" t="s">
        <v>8728</v>
      </c>
      <c r="E1199" t="s">
        <v>8729</v>
      </c>
      <c r="F1199" t="s">
        <v>5477</v>
      </c>
      <c r="G1199" t="s">
        <v>8730</v>
      </c>
      <c r="H1199" t="s">
        <v>8731</v>
      </c>
      <c r="I1199">
        <f t="shared" ca="1" si="72"/>
        <v>50</v>
      </c>
      <c r="J1199" t="str">
        <f t="shared" ca="1" si="73"/>
        <v>50-59</v>
      </c>
      <c r="K1199">
        <v>87047.16</v>
      </c>
      <c r="L1199" t="str">
        <f>IF(Workforce[[#This Row],[Salary]]&lt;50000,"30k-49k",IF(Workforce[[#This Row],[Salary]]&lt;70000,"50k-69k",IF(Workforce[[#This Row],[Salary]]&lt;90000,"70k-89k","90k+")))</f>
        <v>70k-89k</v>
      </c>
      <c r="M1199" t="s">
        <v>8732</v>
      </c>
      <c r="N1199">
        <f t="shared" ca="1" si="74"/>
        <v>1</v>
      </c>
      <c r="O1199" t="str">
        <f t="shared" ca="1" si="75"/>
        <v>Beginner</v>
      </c>
    </row>
    <row r="1200" spans="1:15" x14ac:dyDescent="0.3">
      <c r="A1200" t="s">
        <v>8733</v>
      </c>
      <c r="B1200" t="s">
        <v>8734</v>
      </c>
      <c r="C1200" t="s">
        <v>326</v>
      </c>
      <c r="D1200" t="s">
        <v>8735</v>
      </c>
      <c r="E1200" t="s">
        <v>8736</v>
      </c>
      <c r="F1200" t="s">
        <v>234</v>
      </c>
      <c r="G1200" t="s">
        <v>8737</v>
      </c>
      <c r="H1200" t="s">
        <v>8738</v>
      </c>
      <c r="I1200">
        <f t="shared" ca="1" si="72"/>
        <v>34</v>
      </c>
      <c r="J1200" t="str">
        <f t="shared" ca="1" si="73"/>
        <v>30-39</v>
      </c>
      <c r="K1200">
        <v>93410.53</v>
      </c>
      <c r="L1200" t="str">
        <f>IF(Workforce[[#This Row],[Salary]]&lt;50000,"30k-49k",IF(Workforce[[#This Row],[Salary]]&lt;70000,"50k-69k",IF(Workforce[[#This Row],[Salary]]&lt;90000,"70k-89k","90k+")))</f>
        <v>90k+</v>
      </c>
      <c r="M1200" t="s">
        <v>8739</v>
      </c>
      <c r="N1200">
        <f t="shared" ca="1" si="74"/>
        <v>4</v>
      </c>
      <c r="O1200" t="str">
        <f t="shared" ca="1" si="75"/>
        <v>Intermediate level</v>
      </c>
    </row>
    <row r="1201" spans="1:15" x14ac:dyDescent="0.3">
      <c r="A1201" t="s">
        <v>8740</v>
      </c>
      <c r="B1201" t="s">
        <v>8741</v>
      </c>
      <c r="C1201" t="s">
        <v>284</v>
      </c>
      <c r="D1201" t="s">
        <v>8742</v>
      </c>
      <c r="E1201" t="s">
        <v>8743</v>
      </c>
      <c r="F1201" t="s">
        <v>2623</v>
      </c>
      <c r="G1201" t="s">
        <v>8744</v>
      </c>
      <c r="H1201" t="s">
        <v>8745</v>
      </c>
      <c r="I1201">
        <f t="shared" ca="1" si="72"/>
        <v>66</v>
      </c>
      <c r="J1201" t="str">
        <f t="shared" ca="1" si="73"/>
        <v>60+</v>
      </c>
      <c r="K1201">
        <v>51370.62</v>
      </c>
      <c r="L1201" t="str">
        <f>IF(Workforce[[#This Row],[Salary]]&lt;50000,"30k-49k",IF(Workforce[[#This Row],[Salary]]&lt;70000,"50k-69k",IF(Workforce[[#This Row],[Salary]]&lt;90000,"70k-89k","90k+")))</f>
        <v>50k-69k</v>
      </c>
      <c r="M1201" t="s">
        <v>166</v>
      </c>
      <c r="N1201">
        <f t="shared" ca="1" si="74"/>
        <v>4</v>
      </c>
      <c r="O1201" t="str">
        <f t="shared" ca="1" si="75"/>
        <v>Intermediate level</v>
      </c>
    </row>
    <row r="1202" spans="1:15" x14ac:dyDescent="0.3">
      <c r="A1202" t="s">
        <v>8746</v>
      </c>
      <c r="B1202" t="s">
        <v>8747</v>
      </c>
      <c r="C1202" t="s">
        <v>97</v>
      </c>
      <c r="D1202" t="s">
        <v>8748</v>
      </c>
      <c r="E1202" t="s">
        <v>8749</v>
      </c>
      <c r="F1202" t="s">
        <v>1872</v>
      </c>
      <c r="G1202" t="s">
        <v>8750</v>
      </c>
      <c r="H1202" t="s">
        <v>8751</v>
      </c>
      <c r="I1202">
        <f t="shared" ca="1" si="72"/>
        <v>63</v>
      </c>
      <c r="J1202" t="str">
        <f t="shared" ca="1" si="73"/>
        <v>60+</v>
      </c>
      <c r="K1202">
        <v>85210.2</v>
      </c>
      <c r="L1202" t="str">
        <f>IF(Workforce[[#This Row],[Salary]]&lt;50000,"30k-49k",IF(Workforce[[#This Row],[Salary]]&lt;70000,"50k-69k",IF(Workforce[[#This Row],[Salary]]&lt;90000,"70k-89k","90k+")))</f>
        <v>70k-89k</v>
      </c>
      <c r="M1202" t="s">
        <v>8752</v>
      </c>
      <c r="N1202">
        <f t="shared" ca="1" si="74"/>
        <v>3</v>
      </c>
      <c r="O1202" t="str">
        <f t="shared" ca="1" si="75"/>
        <v>Intermediate level</v>
      </c>
    </row>
    <row r="1203" spans="1:15" x14ac:dyDescent="0.3">
      <c r="A1203" t="s">
        <v>8753</v>
      </c>
      <c r="B1203" t="s">
        <v>8754</v>
      </c>
      <c r="C1203" t="s">
        <v>44</v>
      </c>
      <c r="D1203" t="s">
        <v>8755</v>
      </c>
      <c r="E1203" t="s">
        <v>8756</v>
      </c>
      <c r="F1203" t="s">
        <v>6094</v>
      </c>
      <c r="G1203" t="s">
        <v>8757</v>
      </c>
      <c r="H1203" t="s">
        <v>8758</v>
      </c>
      <c r="I1203">
        <f t="shared" ca="1" si="72"/>
        <v>28</v>
      </c>
      <c r="J1203" t="str">
        <f t="shared" ca="1" si="73"/>
        <v>18-29</v>
      </c>
      <c r="K1203">
        <v>38293.769999999997</v>
      </c>
      <c r="L1203" t="str">
        <f>IF(Workforce[[#This Row],[Salary]]&lt;50000,"30k-49k",IF(Workforce[[#This Row],[Salary]]&lt;70000,"50k-69k",IF(Workforce[[#This Row],[Salary]]&lt;90000,"70k-89k","90k+")))</f>
        <v>30k-49k</v>
      </c>
      <c r="M1203" t="s">
        <v>8759</v>
      </c>
      <c r="N1203">
        <f t="shared" ca="1" si="74"/>
        <v>1</v>
      </c>
      <c r="O1203" t="str">
        <f t="shared" ca="1" si="75"/>
        <v>Beginner</v>
      </c>
    </row>
    <row r="1204" spans="1:15" x14ac:dyDescent="0.3">
      <c r="A1204" t="s">
        <v>8760</v>
      </c>
      <c r="B1204" t="s">
        <v>8761</v>
      </c>
      <c r="C1204" t="s">
        <v>142</v>
      </c>
      <c r="D1204" t="s">
        <v>8762</v>
      </c>
      <c r="E1204" t="s">
        <v>8763</v>
      </c>
      <c r="F1204" t="s">
        <v>8764</v>
      </c>
      <c r="G1204" t="s">
        <v>8765</v>
      </c>
      <c r="H1204" t="s">
        <v>8766</v>
      </c>
      <c r="I1204">
        <f t="shared" ca="1" si="72"/>
        <v>23</v>
      </c>
      <c r="J1204" t="str">
        <f t="shared" ca="1" si="73"/>
        <v>18-29</v>
      </c>
      <c r="K1204">
        <v>93220.9</v>
      </c>
      <c r="L1204" t="str">
        <f>IF(Workforce[[#This Row],[Salary]]&lt;50000,"30k-49k",IF(Workforce[[#This Row],[Salary]]&lt;70000,"50k-69k",IF(Workforce[[#This Row],[Salary]]&lt;90000,"70k-89k","90k+")))</f>
        <v>90k+</v>
      </c>
      <c r="M1204" t="s">
        <v>8767</v>
      </c>
      <c r="N1204">
        <f t="shared" ca="1" si="74"/>
        <v>7</v>
      </c>
      <c r="O1204" t="str">
        <f t="shared" ca="1" si="75"/>
        <v>Senior level</v>
      </c>
    </row>
    <row r="1205" spans="1:15" x14ac:dyDescent="0.3">
      <c r="A1205" t="s">
        <v>8768</v>
      </c>
      <c r="B1205" t="s">
        <v>8769</v>
      </c>
      <c r="C1205" t="s">
        <v>26</v>
      </c>
      <c r="D1205" t="s">
        <v>8770</v>
      </c>
      <c r="E1205" t="s">
        <v>8771</v>
      </c>
      <c r="F1205" t="s">
        <v>1803</v>
      </c>
      <c r="G1205" t="s">
        <v>8772</v>
      </c>
      <c r="H1205" t="s">
        <v>8773</v>
      </c>
      <c r="I1205">
        <f t="shared" ca="1" si="72"/>
        <v>42</v>
      </c>
      <c r="J1205" t="str">
        <f t="shared" ca="1" si="73"/>
        <v>40-49</v>
      </c>
      <c r="K1205">
        <v>54016.77</v>
      </c>
      <c r="L1205" t="str">
        <f>IF(Workforce[[#This Row],[Salary]]&lt;50000,"30k-49k",IF(Workforce[[#This Row],[Salary]]&lt;70000,"50k-69k",IF(Workforce[[#This Row],[Salary]]&lt;90000,"70k-89k","90k+")))</f>
        <v>50k-69k</v>
      </c>
      <c r="M1205" t="s">
        <v>8774</v>
      </c>
      <c r="N1205">
        <f t="shared" ca="1" si="74"/>
        <v>5</v>
      </c>
      <c r="O1205" t="str">
        <f t="shared" ca="1" si="75"/>
        <v>Intermediate level</v>
      </c>
    </row>
    <row r="1206" spans="1:15" x14ac:dyDescent="0.3">
      <c r="A1206" t="s">
        <v>8775</v>
      </c>
      <c r="B1206" t="s">
        <v>8776</v>
      </c>
      <c r="C1206" t="s">
        <v>335</v>
      </c>
      <c r="D1206" t="s">
        <v>8777</v>
      </c>
      <c r="E1206" t="s">
        <v>8778</v>
      </c>
      <c r="F1206" t="s">
        <v>4821</v>
      </c>
      <c r="G1206" t="s">
        <v>8779</v>
      </c>
      <c r="H1206" t="s">
        <v>8780</v>
      </c>
      <c r="I1206">
        <f t="shared" ca="1" si="72"/>
        <v>44</v>
      </c>
      <c r="J1206" t="str">
        <f t="shared" ca="1" si="73"/>
        <v>40-49</v>
      </c>
      <c r="K1206">
        <v>38024.28</v>
      </c>
      <c r="L1206" t="str">
        <f>IF(Workforce[[#This Row],[Salary]]&lt;50000,"30k-49k",IF(Workforce[[#This Row],[Salary]]&lt;70000,"50k-69k",IF(Workforce[[#This Row],[Salary]]&lt;90000,"70k-89k","90k+")))</f>
        <v>30k-49k</v>
      </c>
      <c r="M1206" t="s">
        <v>5238</v>
      </c>
      <c r="N1206">
        <f t="shared" ca="1" si="74"/>
        <v>8</v>
      </c>
      <c r="O1206" t="str">
        <f t="shared" ca="1" si="75"/>
        <v>Senior level</v>
      </c>
    </row>
    <row r="1207" spans="1:15" x14ac:dyDescent="0.3">
      <c r="A1207" t="s">
        <v>8781</v>
      </c>
      <c r="B1207" t="s">
        <v>8782</v>
      </c>
      <c r="C1207" t="s">
        <v>757</v>
      </c>
      <c r="D1207" t="s">
        <v>8783</v>
      </c>
      <c r="E1207" t="s">
        <v>8784</v>
      </c>
      <c r="F1207" t="s">
        <v>4126</v>
      </c>
      <c r="G1207" t="s">
        <v>8785</v>
      </c>
      <c r="H1207" t="s">
        <v>8786</v>
      </c>
      <c r="I1207">
        <f t="shared" ca="1" si="72"/>
        <v>40</v>
      </c>
      <c r="J1207" t="str">
        <f t="shared" ca="1" si="73"/>
        <v>40-49</v>
      </c>
      <c r="K1207">
        <v>116209.1</v>
      </c>
      <c r="L1207" t="str">
        <f>IF(Workforce[[#This Row],[Salary]]&lt;50000,"30k-49k",IF(Workforce[[#This Row],[Salary]]&lt;70000,"50k-69k",IF(Workforce[[#This Row],[Salary]]&lt;90000,"70k-89k","90k+")))</f>
        <v>90k+</v>
      </c>
      <c r="M1207" t="s">
        <v>348</v>
      </c>
      <c r="N1207">
        <f t="shared" ca="1" si="74"/>
        <v>9</v>
      </c>
      <c r="O1207" t="str">
        <f t="shared" ca="1" si="75"/>
        <v>Senior level</v>
      </c>
    </row>
    <row r="1208" spans="1:15" x14ac:dyDescent="0.3">
      <c r="A1208" t="s">
        <v>8787</v>
      </c>
      <c r="B1208" t="s">
        <v>8788</v>
      </c>
      <c r="C1208" t="s">
        <v>653</v>
      </c>
      <c r="D1208" t="s">
        <v>8789</v>
      </c>
      <c r="E1208" t="s">
        <v>8790</v>
      </c>
      <c r="F1208" t="s">
        <v>145</v>
      </c>
      <c r="G1208" t="s">
        <v>8791</v>
      </c>
      <c r="H1208" t="s">
        <v>8792</v>
      </c>
      <c r="I1208">
        <f t="shared" ca="1" si="72"/>
        <v>41</v>
      </c>
      <c r="J1208" t="str">
        <f t="shared" ca="1" si="73"/>
        <v>40-49</v>
      </c>
      <c r="K1208">
        <v>86517.4</v>
      </c>
      <c r="L1208" t="str">
        <f>IF(Workforce[[#This Row],[Salary]]&lt;50000,"30k-49k",IF(Workforce[[#This Row],[Salary]]&lt;70000,"50k-69k",IF(Workforce[[#This Row],[Salary]]&lt;90000,"70k-89k","90k+")))</f>
        <v>70k-89k</v>
      </c>
      <c r="M1208" t="s">
        <v>8793</v>
      </c>
      <c r="N1208">
        <f t="shared" ca="1" si="74"/>
        <v>3</v>
      </c>
      <c r="O1208" t="str">
        <f t="shared" ca="1" si="75"/>
        <v>Intermediate level</v>
      </c>
    </row>
    <row r="1209" spans="1:15" x14ac:dyDescent="0.3">
      <c r="A1209" t="s">
        <v>8794</v>
      </c>
      <c r="B1209" t="s">
        <v>8795</v>
      </c>
      <c r="C1209" t="s">
        <v>335</v>
      </c>
      <c r="D1209" t="s">
        <v>8796</v>
      </c>
      <c r="E1209" t="s">
        <v>8797</v>
      </c>
      <c r="F1209" t="s">
        <v>5214</v>
      </c>
      <c r="G1209" t="s">
        <v>8798</v>
      </c>
      <c r="H1209" t="s">
        <v>8799</v>
      </c>
      <c r="I1209">
        <f t="shared" ca="1" si="72"/>
        <v>30</v>
      </c>
      <c r="J1209" t="str">
        <f t="shared" ca="1" si="73"/>
        <v>30-39</v>
      </c>
      <c r="K1209">
        <v>37325</v>
      </c>
      <c r="L1209" t="str">
        <f>IF(Workforce[[#This Row],[Salary]]&lt;50000,"30k-49k",IF(Workforce[[#This Row],[Salary]]&lt;70000,"50k-69k",IF(Workforce[[#This Row],[Salary]]&lt;90000,"70k-89k","90k+")))</f>
        <v>30k-49k</v>
      </c>
      <c r="M1209" t="s">
        <v>8800</v>
      </c>
      <c r="N1209">
        <f t="shared" ca="1" si="74"/>
        <v>2</v>
      </c>
      <c r="O1209" t="str">
        <f t="shared" ca="1" si="75"/>
        <v>Beginner</v>
      </c>
    </row>
    <row r="1210" spans="1:15" x14ac:dyDescent="0.3">
      <c r="A1210" t="s">
        <v>8801</v>
      </c>
      <c r="B1210" t="s">
        <v>8802</v>
      </c>
      <c r="C1210" t="s">
        <v>17</v>
      </c>
      <c r="D1210" t="s">
        <v>8803</v>
      </c>
      <c r="E1210" t="s">
        <v>8804</v>
      </c>
      <c r="F1210" t="s">
        <v>8805</v>
      </c>
      <c r="G1210" t="s">
        <v>8806</v>
      </c>
      <c r="H1210" t="s">
        <v>8807</v>
      </c>
      <c r="I1210">
        <f t="shared" ca="1" si="72"/>
        <v>25</v>
      </c>
      <c r="J1210" t="str">
        <f t="shared" ca="1" si="73"/>
        <v>18-29</v>
      </c>
      <c r="K1210">
        <v>42254.15</v>
      </c>
      <c r="L1210" t="str">
        <f>IF(Workforce[[#This Row],[Salary]]&lt;50000,"30k-49k",IF(Workforce[[#This Row],[Salary]]&lt;70000,"50k-69k",IF(Workforce[[#This Row],[Salary]]&lt;90000,"70k-89k","90k+")))</f>
        <v>30k-49k</v>
      </c>
      <c r="M1210" t="s">
        <v>8808</v>
      </c>
      <c r="N1210">
        <f t="shared" ca="1" si="74"/>
        <v>4</v>
      </c>
      <c r="O1210" t="str">
        <f t="shared" ca="1" si="75"/>
        <v>Intermediate level</v>
      </c>
    </row>
    <row r="1211" spans="1:15" x14ac:dyDescent="0.3">
      <c r="A1211" t="s">
        <v>8809</v>
      </c>
      <c r="B1211" t="s">
        <v>8810</v>
      </c>
      <c r="C1211" t="s">
        <v>88</v>
      </c>
      <c r="D1211" t="s">
        <v>8811</v>
      </c>
      <c r="E1211" t="s">
        <v>8812</v>
      </c>
      <c r="F1211" t="s">
        <v>5010</v>
      </c>
      <c r="G1211" t="s">
        <v>8813</v>
      </c>
      <c r="H1211" t="s">
        <v>8814</v>
      </c>
      <c r="I1211">
        <f t="shared" ca="1" si="72"/>
        <v>29</v>
      </c>
      <c r="J1211" t="str">
        <f t="shared" ca="1" si="73"/>
        <v>18-29</v>
      </c>
      <c r="K1211">
        <v>114472.76</v>
      </c>
      <c r="L1211" t="str">
        <f>IF(Workforce[[#This Row],[Salary]]&lt;50000,"30k-49k",IF(Workforce[[#This Row],[Salary]]&lt;70000,"50k-69k",IF(Workforce[[#This Row],[Salary]]&lt;90000,"70k-89k","90k+")))</f>
        <v>90k+</v>
      </c>
      <c r="M1211" t="s">
        <v>8815</v>
      </c>
      <c r="N1211">
        <f t="shared" ca="1" si="74"/>
        <v>5</v>
      </c>
      <c r="O1211" t="str">
        <f t="shared" ca="1" si="75"/>
        <v>Intermediate level</v>
      </c>
    </row>
    <row r="1212" spans="1:15" x14ac:dyDescent="0.3">
      <c r="A1212" t="s">
        <v>8816</v>
      </c>
      <c r="B1212" t="s">
        <v>8817</v>
      </c>
      <c r="C1212" t="s">
        <v>231</v>
      </c>
      <c r="D1212" t="s">
        <v>8818</v>
      </c>
      <c r="E1212" t="s">
        <v>8819</v>
      </c>
      <c r="F1212" t="s">
        <v>6456</v>
      </c>
      <c r="G1212" t="s">
        <v>8820</v>
      </c>
      <c r="H1212" t="s">
        <v>8821</v>
      </c>
      <c r="I1212">
        <f t="shared" ca="1" si="72"/>
        <v>43</v>
      </c>
      <c r="J1212" t="str">
        <f t="shared" ca="1" si="73"/>
        <v>40-49</v>
      </c>
      <c r="K1212">
        <v>54617.3</v>
      </c>
      <c r="L1212" t="str">
        <f>IF(Workforce[[#This Row],[Salary]]&lt;50000,"30k-49k",IF(Workforce[[#This Row],[Salary]]&lt;70000,"50k-69k",IF(Workforce[[#This Row],[Salary]]&lt;90000,"70k-89k","90k+")))</f>
        <v>50k-69k</v>
      </c>
      <c r="M1212" t="s">
        <v>8822</v>
      </c>
      <c r="N1212">
        <f t="shared" ca="1" si="74"/>
        <v>2</v>
      </c>
      <c r="O1212" t="str">
        <f t="shared" ca="1" si="75"/>
        <v>Beginner</v>
      </c>
    </row>
    <row r="1213" spans="1:15" x14ac:dyDescent="0.3">
      <c r="A1213" t="s">
        <v>8823</v>
      </c>
      <c r="B1213" t="s">
        <v>8824</v>
      </c>
      <c r="C1213" t="s">
        <v>653</v>
      </c>
      <c r="D1213" t="s">
        <v>8825</v>
      </c>
      <c r="E1213" t="s">
        <v>8826</v>
      </c>
      <c r="F1213" t="s">
        <v>8827</v>
      </c>
      <c r="G1213" t="s">
        <v>8828</v>
      </c>
      <c r="H1213" t="s">
        <v>8829</v>
      </c>
      <c r="I1213">
        <f t="shared" ca="1" si="72"/>
        <v>63</v>
      </c>
      <c r="J1213" t="str">
        <f t="shared" ca="1" si="73"/>
        <v>60+</v>
      </c>
      <c r="K1213">
        <v>76601.820000000007</v>
      </c>
      <c r="L1213" t="str">
        <f>IF(Workforce[[#This Row],[Salary]]&lt;50000,"30k-49k",IF(Workforce[[#This Row],[Salary]]&lt;70000,"50k-69k",IF(Workforce[[#This Row],[Salary]]&lt;90000,"70k-89k","90k+")))</f>
        <v>70k-89k</v>
      </c>
      <c r="M1213" t="s">
        <v>8830</v>
      </c>
      <c r="N1213">
        <f t="shared" ca="1" si="74"/>
        <v>8</v>
      </c>
      <c r="O1213" t="str">
        <f t="shared" ca="1" si="75"/>
        <v>Senior level</v>
      </c>
    </row>
    <row r="1214" spans="1:15" x14ac:dyDescent="0.3">
      <c r="A1214" t="s">
        <v>8831</v>
      </c>
      <c r="B1214" t="s">
        <v>8832</v>
      </c>
      <c r="C1214" t="s">
        <v>124</v>
      </c>
      <c r="D1214" t="s">
        <v>8833</v>
      </c>
      <c r="E1214" t="s">
        <v>8834</v>
      </c>
      <c r="F1214" t="s">
        <v>8835</v>
      </c>
      <c r="G1214" t="s">
        <v>8836</v>
      </c>
      <c r="H1214" t="s">
        <v>8837</v>
      </c>
      <c r="I1214">
        <f t="shared" ca="1" si="72"/>
        <v>47</v>
      </c>
      <c r="J1214" t="str">
        <f t="shared" ca="1" si="73"/>
        <v>40-49</v>
      </c>
      <c r="K1214">
        <v>64236.94</v>
      </c>
      <c r="L1214" t="str">
        <f>IF(Workforce[[#This Row],[Salary]]&lt;50000,"30k-49k",IF(Workforce[[#This Row],[Salary]]&lt;70000,"50k-69k",IF(Workforce[[#This Row],[Salary]]&lt;90000,"70k-89k","90k+")))</f>
        <v>50k-69k</v>
      </c>
      <c r="M1214" t="s">
        <v>7287</v>
      </c>
      <c r="N1214">
        <f t="shared" ca="1" si="74"/>
        <v>9</v>
      </c>
      <c r="O1214" t="str">
        <f t="shared" ca="1" si="75"/>
        <v>Senior level</v>
      </c>
    </row>
    <row r="1215" spans="1:15" x14ac:dyDescent="0.3">
      <c r="A1215" t="s">
        <v>8838</v>
      </c>
      <c r="B1215" t="s">
        <v>8839</v>
      </c>
      <c r="C1215" t="s">
        <v>97</v>
      </c>
      <c r="D1215" t="s">
        <v>8840</v>
      </c>
      <c r="E1215" t="s">
        <v>8841</v>
      </c>
      <c r="F1215" t="s">
        <v>784</v>
      </c>
      <c r="G1215" t="s">
        <v>8842</v>
      </c>
      <c r="H1215" t="s">
        <v>8843</v>
      </c>
      <c r="I1215">
        <f t="shared" ca="1" si="72"/>
        <v>46</v>
      </c>
      <c r="J1215" t="str">
        <f t="shared" ca="1" si="73"/>
        <v>40-49</v>
      </c>
      <c r="K1215">
        <v>119166.83</v>
      </c>
      <c r="L1215" t="str">
        <f>IF(Workforce[[#This Row],[Salary]]&lt;50000,"30k-49k",IF(Workforce[[#This Row],[Salary]]&lt;70000,"50k-69k",IF(Workforce[[#This Row],[Salary]]&lt;90000,"70k-89k","90k+")))</f>
        <v>90k+</v>
      </c>
      <c r="M1215" t="s">
        <v>8844</v>
      </c>
      <c r="N1215">
        <f t="shared" ca="1" si="74"/>
        <v>8</v>
      </c>
      <c r="O1215" t="str">
        <f t="shared" ca="1" si="75"/>
        <v>Senior level</v>
      </c>
    </row>
    <row r="1216" spans="1:15" x14ac:dyDescent="0.3">
      <c r="A1216" t="s">
        <v>8845</v>
      </c>
      <c r="B1216" t="s">
        <v>8846</v>
      </c>
      <c r="C1216" t="s">
        <v>757</v>
      </c>
      <c r="D1216" t="s">
        <v>8847</v>
      </c>
      <c r="E1216" t="s">
        <v>8848</v>
      </c>
      <c r="F1216" t="s">
        <v>3191</v>
      </c>
      <c r="G1216" t="s">
        <v>8849</v>
      </c>
      <c r="H1216" t="s">
        <v>8850</v>
      </c>
      <c r="I1216">
        <f t="shared" ca="1" si="72"/>
        <v>65</v>
      </c>
      <c r="J1216" t="str">
        <f t="shared" ca="1" si="73"/>
        <v>60+</v>
      </c>
      <c r="K1216">
        <v>100213.35</v>
      </c>
      <c r="L1216" t="str">
        <f>IF(Workforce[[#This Row],[Salary]]&lt;50000,"30k-49k",IF(Workforce[[#This Row],[Salary]]&lt;70000,"50k-69k",IF(Workforce[[#This Row],[Salary]]&lt;90000,"70k-89k","90k+")))</f>
        <v>90k+</v>
      </c>
      <c r="M1216" t="s">
        <v>7613</v>
      </c>
      <c r="N1216">
        <f t="shared" ca="1" si="74"/>
        <v>3</v>
      </c>
      <c r="O1216" t="str">
        <f t="shared" ca="1" si="75"/>
        <v>Intermediate level</v>
      </c>
    </row>
    <row r="1217" spans="1:15" x14ac:dyDescent="0.3">
      <c r="A1217" t="s">
        <v>8851</v>
      </c>
      <c r="B1217" t="s">
        <v>8852</v>
      </c>
      <c r="C1217" t="s">
        <v>604</v>
      </c>
      <c r="D1217" t="s">
        <v>8853</v>
      </c>
      <c r="E1217" t="s">
        <v>8854</v>
      </c>
      <c r="F1217" t="s">
        <v>2416</v>
      </c>
      <c r="G1217" t="s">
        <v>8855</v>
      </c>
      <c r="H1217" t="s">
        <v>8856</v>
      </c>
      <c r="I1217">
        <f t="shared" ca="1" si="72"/>
        <v>36</v>
      </c>
      <c r="J1217" t="str">
        <f t="shared" ca="1" si="73"/>
        <v>30-39</v>
      </c>
      <c r="K1217">
        <v>113475.31</v>
      </c>
      <c r="L1217" t="str">
        <f>IF(Workforce[[#This Row],[Salary]]&lt;50000,"30k-49k",IF(Workforce[[#This Row],[Salary]]&lt;70000,"50k-69k",IF(Workforce[[#This Row],[Salary]]&lt;90000,"70k-89k","90k+")))</f>
        <v>90k+</v>
      </c>
      <c r="M1217" t="s">
        <v>8857</v>
      </c>
      <c r="N1217">
        <f t="shared" ca="1" si="74"/>
        <v>2</v>
      </c>
      <c r="O1217" t="str">
        <f t="shared" ca="1" si="75"/>
        <v>Beginner</v>
      </c>
    </row>
    <row r="1218" spans="1:15" x14ac:dyDescent="0.3">
      <c r="A1218" t="s">
        <v>8858</v>
      </c>
      <c r="B1218" t="s">
        <v>8859</v>
      </c>
      <c r="C1218" t="s">
        <v>88</v>
      </c>
      <c r="D1218" t="s">
        <v>8860</v>
      </c>
      <c r="E1218" t="s">
        <v>8861</v>
      </c>
      <c r="F1218" t="s">
        <v>8862</v>
      </c>
      <c r="G1218" t="s">
        <v>8863</v>
      </c>
      <c r="H1218" t="s">
        <v>8864</v>
      </c>
      <c r="I1218">
        <f t="shared" ref="I1218:I1281" ca="1" si="76">DATEDIF(H1218,TODAY(),"y")</f>
        <v>27</v>
      </c>
      <c r="J1218" t="str">
        <f t="shared" ref="J1218:J1281" ca="1" si="77">IF(I1218&lt;30,"18-29",IF(I1218&lt;40,"30-39",IF(I1218&lt;50,"40-49",IF(I1218&lt;60,"50-59","60+"))))</f>
        <v>18-29</v>
      </c>
      <c r="K1218">
        <v>83445.19</v>
      </c>
      <c r="L1218" t="str">
        <f>IF(Workforce[[#This Row],[Salary]]&lt;50000,"30k-49k",IF(Workforce[[#This Row],[Salary]]&lt;70000,"50k-69k",IF(Workforce[[#This Row],[Salary]]&lt;90000,"70k-89k","90k+")))</f>
        <v>70k-89k</v>
      </c>
      <c r="M1218" t="s">
        <v>8865</v>
      </c>
      <c r="N1218">
        <f t="shared" ref="N1218:N1281" ca="1" si="78">DATEDIF(M1218,TODAY(),"y")</f>
        <v>6</v>
      </c>
      <c r="O1218" t="str">
        <f t="shared" ref="O1218:O1281" ca="1" si="79">IF(N1218&lt;=2,"Beginner",IF(N1218&lt;=6,"Intermediate level","Senior level"))</f>
        <v>Intermediate level</v>
      </c>
    </row>
    <row r="1219" spans="1:15" x14ac:dyDescent="0.3">
      <c r="A1219" t="s">
        <v>8866</v>
      </c>
      <c r="B1219" t="s">
        <v>8867</v>
      </c>
      <c r="C1219" t="s">
        <v>2086</v>
      </c>
      <c r="D1219" t="s">
        <v>8868</v>
      </c>
      <c r="E1219" t="s">
        <v>8869</v>
      </c>
      <c r="F1219" t="s">
        <v>742</v>
      </c>
      <c r="G1219" t="s">
        <v>8870</v>
      </c>
      <c r="H1219" t="s">
        <v>8871</v>
      </c>
      <c r="I1219">
        <f t="shared" ca="1" si="76"/>
        <v>57</v>
      </c>
      <c r="J1219" t="str">
        <f t="shared" ca="1" si="77"/>
        <v>50-59</v>
      </c>
      <c r="K1219">
        <v>35582.57</v>
      </c>
      <c r="L1219" t="str">
        <f>IF(Workforce[[#This Row],[Salary]]&lt;50000,"30k-49k",IF(Workforce[[#This Row],[Salary]]&lt;70000,"50k-69k",IF(Workforce[[#This Row],[Salary]]&lt;90000,"70k-89k","90k+")))</f>
        <v>30k-49k</v>
      </c>
      <c r="M1219" t="s">
        <v>8872</v>
      </c>
      <c r="N1219">
        <f t="shared" ca="1" si="78"/>
        <v>6</v>
      </c>
      <c r="O1219" t="str">
        <f t="shared" ca="1" si="79"/>
        <v>Intermediate level</v>
      </c>
    </row>
    <row r="1220" spans="1:15" x14ac:dyDescent="0.3">
      <c r="A1220" t="s">
        <v>8873</v>
      </c>
      <c r="B1220" t="s">
        <v>8874</v>
      </c>
      <c r="C1220" t="s">
        <v>142</v>
      </c>
      <c r="D1220" t="s">
        <v>8875</v>
      </c>
      <c r="E1220" t="s">
        <v>8876</v>
      </c>
      <c r="F1220" t="s">
        <v>3971</v>
      </c>
      <c r="G1220" t="s">
        <v>8877</v>
      </c>
      <c r="H1220" t="s">
        <v>8878</v>
      </c>
      <c r="I1220">
        <f t="shared" ca="1" si="76"/>
        <v>28</v>
      </c>
      <c r="J1220" t="str">
        <f t="shared" ca="1" si="77"/>
        <v>18-29</v>
      </c>
      <c r="K1220">
        <v>53345.25</v>
      </c>
      <c r="L1220" t="str">
        <f>IF(Workforce[[#This Row],[Salary]]&lt;50000,"30k-49k",IF(Workforce[[#This Row],[Salary]]&lt;70000,"50k-69k",IF(Workforce[[#This Row],[Salary]]&lt;90000,"70k-89k","90k+")))</f>
        <v>50k-69k</v>
      </c>
      <c r="M1220" t="s">
        <v>8879</v>
      </c>
      <c r="N1220">
        <f t="shared" ca="1" si="78"/>
        <v>7</v>
      </c>
      <c r="O1220" t="str">
        <f t="shared" ca="1" si="79"/>
        <v>Senior level</v>
      </c>
    </row>
    <row r="1221" spans="1:15" x14ac:dyDescent="0.3">
      <c r="A1221" t="s">
        <v>8880</v>
      </c>
      <c r="B1221" t="s">
        <v>8881</v>
      </c>
      <c r="C1221" t="s">
        <v>995</v>
      </c>
      <c r="D1221" t="s">
        <v>8882</v>
      </c>
      <c r="E1221" t="s">
        <v>8883</v>
      </c>
      <c r="F1221" t="s">
        <v>4344</v>
      </c>
      <c r="G1221" t="s">
        <v>8884</v>
      </c>
      <c r="H1221" t="s">
        <v>8885</v>
      </c>
      <c r="I1221">
        <f t="shared" ca="1" si="76"/>
        <v>58</v>
      </c>
      <c r="J1221" t="str">
        <f t="shared" ca="1" si="77"/>
        <v>50-59</v>
      </c>
      <c r="K1221">
        <v>49807.48</v>
      </c>
      <c r="L1221" t="str">
        <f>IF(Workforce[[#This Row],[Salary]]&lt;50000,"30k-49k",IF(Workforce[[#This Row],[Salary]]&lt;70000,"50k-69k",IF(Workforce[[#This Row],[Salary]]&lt;90000,"70k-89k","90k+")))</f>
        <v>30k-49k</v>
      </c>
      <c r="M1221" t="s">
        <v>8886</v>
      </c>
      <c r="N1221">
        <f t="shared" ca="1" si="78"/>
        <v>3</v>
      </c>
      <c r="O1221" t="str">
        <f t="shared" ca="1" si="79"/>
        <v>Intermediate level</v>
      </c>
    </row>
    <row r="1222" spans="1:15" x14ac:dyDescent="0.3">
      <c r="A1222" t="s">
        <v>8887</v>
      </c>
      <c r="B1222" t="s">
        <v>8888</v>
      </c>
      <c r="C1222" t="s">
        <v>178</v>
      </c>
      <c r="D1222" t="s">
        <v>8889</v>
      </c>
      <c r="E1222" t="s">
        <v>8890</v>
      </c>
      <c r="F1222" t="s">
        <v>8891</v>
      </c>
      <c r="G1222" t="s">
        <v>8892</v>
      </c>
      <c r="H1222" t="s">
        <v>8893</v>
      </c>
      <c r="I1222">
        <f t="shared" ca="1" si="76"/>
        <v>55</v>
      </c>
      <c r="J1222" t="str">
        <f t="shared" ca="1" si="77"/>
        <v>50-59</v>
      </c>
      <c r="K1222">
        <v>115055.49</v>
      </c>
      <c r="L1222" t="str">
        <f>IF(Workforce[[#This Row],[Salary]]&lt;50000,"30k-49k",IF(Workforce[[#This Row],[Salary]]&lt;70000,"50k-69k",IF(Workforce[[#This Row],[Salary]]&lt;90000,"70k-89k","90k+")))</f>
        <v>90k+</v>
      </c>
      <c r="M1222" t="s">
        <v>5646</v>
      </c>
      <c r="N1222">
        <f t="shared" ca="1" si="78"/>
        <v>7</v>
      </c>
      <c r="O1222" t="str">
        <f t="shared" ca="1" si="79"/>
        <v>Senior level</v>
      </c>
    </row>
    <row r="1223" spans="1:15" x14ac:dyDescent="0.3">
      <c r="A1223" t="s">
        <v>8894</v>
      </c>
      <c r="B1223" t="s">
        <v>8895</v>
      </c>
      <c r="C1223" t="s">
        <v>169</v>
      </c>
      <c r="D1223" t="s">
        <v>8896</v>
      </c>
      <c r="E1223" t="s">
        <v>8897</v>
      </c>
      <c r="F1223" t="s">
        <v>8898</v>
      </c>
      <c r="G1223" t="s">
        <v>8899</v>
      </c>
      <c r="H1223" t="s">
        <v>8900</v>
      </c>
      <c r="I1223">
        <f t="shared" ca="1" si="76"/>
        <v>23</v>
      </c>
      <c r="J1223" t="str">
        <f t="shared" ca="1" si="77"/>
        <v>18-29</v>
      </c>
      <c r="K1223">
        <v>59924.09</v>
      </c>
      <c r="L1223" t="str">
        <f>IF(Workforce[[#This Row],[Salary]]&lt;50000,"30k-49k",IF(Workforce[[#This Row],[Salary]]&lt;70000,"50k-69k",IF(Workforce[[#This Row],[Salary]]&lt;90000,"70k-89k","90k+")))</f>
        <v>50k-69k</v>
      </c>
      <c r="M1223" t="s">
        <v>8901</v>
      </c>
      <c r="N1223">
        <f t="shared" ca="1" si="78"/>
        <v>9</v>
      </c>
      <c r="O1223" t="str">
        <f t="shared" ca="1" si="79"/>
        <v>Senior level</v>
      </c>
    </row>
    <row r="1224" spans="1:15" x14ac:dyDescent="0.3">
      <c r="A1224" t="s">
        <v>8902</v>
      </c>
      <c r="B1224" t="s">
        <v>8903</v>
      </c>
      <c r="C1224" t="s">
        <v>196</v>
      </c>
      <c r="D1224" t="s">
        <v>8904</v>
      </c>
      <c r="E1224" t="s">
        <v>8905</v>
      </c>
      <c r="F1224" t="s">
        <v>2997</v>
      </c>
      <c r="G1224" t="s">
        <v>8906</v>
      </c>
      <c r="H1224" t="s">
        <v>8907</v>
      </c>
      <c r="I1224">
        <f t="shared" ca="1" si="76"/>
        <v>60</v>
      </c>
      <c r="J1224" t="str">
        <f t="shared" ca="1" si="77"/>
        <v>60+</v>
      </c>
      <c r="K1224">
        <v>65531.92</v>
      </c>
      <c r="L1224" t="str">
        <f>IF(Workforce[[#This Row],[Salary]]&lt;50000,"30k-49k",IF(Workforce[[#This Row],[Salary]]&lt;70000,"50k-69k",IF(Workforce[[#This Row],[Salary]]&lt;90000,"70k-89k","90k+")))</f>
        <v>50k-69k</v>
      </c>
      <c r="M1224" t="s">
        <v>8908</v>
      </c>
      <c r="N1224">
        <f t="shared" ca="1" si="78"/>
        <v>7</v>
      </c>
      <c r="O1224" t="str">
        <f t="shared" ca="1" si="79"/>
        <v>Senior level</v>
      </c>
    </row>
    <row r="1225" spans="1:15" x14ac:dyDescent="0.3">
      <c r="A1225" t="s">
        <v>8909</v>
      </c>
      <c r="B1225" t="s">
        <v>8910</v>
      </c>
      <c r="C1225" t="s">
        <v>106</v>
      </c>
      <c r="D1225" t="s">
        <v>8911</v>
      </c>
      <c r="E1225" t="s">
        <v>8912</v>
      </c>
      <c r="F1225" t="s">
        <v>3464</v>
      </c>
      <c r="G1225" t="s">
        <v>8913</v>
      </c>
      <c r="H1225" t="s">
        <v>8914</v>
      </c>
      <c r="I1225">
        <f t="shared" ca="1" si="76"/>
        <v>19</v>
      </c>
      <c r="J1225" t="str">
        <f t="shared" ca="1" si="77"/>
        <v>18-29</v>
      </c>
      <c r="K1225">
        <v>113632.95</v>
      </c>
      <c r="L1225" t="str">
        <f>IF(Workforce[[#This Row],[Salary]]&lt;50000,"30k-49k",IF(Workforce[[#This Row],[Salary]]&lt;70000,"50k-69k",IF(Workforce[[#This Row],[Salary]]&lt;90000,"70k-89k","90k+")))</f>
        <v>90k+</v>
      </c>
      <c r="M1225" t="s">
        <v>1637</v>
      </c>
      <c r="N1225">
        <f t="shared" ca="1" si="78"/>
        <v>8</v>
      </c>
      <c r="O1225" t="str">
        <f t="shared" ca="1" si="79"/>
        <v>Senior level</v>
      </c>
    </row>
    <row r="1226" spans="1:15" x14ac:dyDescent="0.3">
      <c r="A1226" t="s">
        <v>8915</v>
      </c>
      <c r="B1226" t="s">
        <v>8916</v>
      </c>
      <c r="C1226" t="s">
        <v>187</v>
      </c>
      <c r="D1226" t="s">
        <v>8917</v>
      </c>
      <c r="E1226" t="s">
        <v>8918</v>
      </c>
      <c r="F1226" t="s">
        <v>1950</v>
      </c>
      <c r="G1226" t="s">
        <v>8919</v>
      </c>
      <c r="H1226" t="s">
        <v>8920</v>
      </c>
      <c r="I1226">
        <f t="shared" ca="1" si="76"/>
        <v>58</v>
      </c>
      <c r="J1226" t="str">
        <f t="shared" ca="1" si="77"/>
        <v>50-59</v>
      </c>
      <c r="K1226">
        <v>82358.94</v>
      </c>
      <c r="L1226" t="str">
        <f>IF(Workforce[[#This Row],[Salary]]&lt;50000,"30k-49k",IF(Workforce[[#This Row],[Salary]]&lt;70000,"50k-69k",IF(Workforce[[#This Row],[Salary]]&lt;90000,"70k-89k","90k+")))</f>
        <v>70k-89k</v>
      </c>
      <c r="M1226" t="s">
        <v>8921</v>
      </c>
      <c r="N1226">
        <f t="shared" ca="1" si="78"/>
        <v>8</v>
      </c>
      <c r="O1226" t="str">
        <f t="shared" ca="1" si="79"/>
        <v>Senior level</v>
      </c>
    </row>
    <row r="1227" spans="1:15" x14ac:dyDescent="0.3">
      <c r="A1227" t="s">
        <v>8922</v>
      </c>
      <c r="B1227" t="s">
        <v>8923</v>
      </c>
      <c r="C1227" t="s">
        <v>88</v>
      </c>
      <c r="D1227" t="s">
        <v>8924</v>
      </c>
      <c r="E1227" t="s">
        <v>8925</v>
      </c>
      <c r="F1227" t="s">
        <v>8926</v>
      </c>
      <c r="G1227" t="s">
        <v>8927</v>
      </c>
      <c r="H1227" t="s">
        <v>8928</v>
      </c>
      <c r="I1227">
        <f t="shared" ca="1" si="76"/>
        <v>37</v>
      </c>
      <c r="J1227" t="str">
        <f t="shared" ca="1" si="77"/>
        <v>30-39</v>
      </c>
      <c r="K1227">
        <v>113295.72</v>
      </c>
      <c r="L1227" t="str">
        <f>IF(Workforce[[#This Row],[Salary]]&lt;50000,"30k-49k",IF(Workforce[[#This Row],[Salary]]&lt;70000,"50k-69k",IF(Workforce[[#This Row],[Salary]]&lt;90000,"70k-89k","90k+")))</f>
        <v>90k+</v>
      </c>
      <c r="M1227" t="s">
        <v>8929</v>
      </c>
      <c r="N1227">
        <f t="shared" ca="1" si="78"/>
        <v>8</v>
      </c>
      <c r="O1227" t="str">
        <f t="shared" ca="1" si="79"/>
        <v>Senior level</v>
      </c>
    </row>
    <row r="1228" spans="1:15" x14ac:dyDescent="0.3">
      <c r="A1228" t="s">
        <v>8930</v>
      </c>
      <c r="B1228" t="s">
        <v>8931</v>
      </c>
      <c r="C1228" t="s">
        <v>317</v>
      </c>
      <c r="D1228" t="s">
        <v>8932</v>
      </c>
      <c r="E1228" t="s">
        <v>8933</v>
      </c>
      <c r="F1228" t="s">
        <v>8934</v>
      </c>
      <c r="G1228" t="s">
        <v>8935</v>
      </c>
      <c r="H1228" t="s">
        <v>8936</v>
      </c>
      <c r="I1228">
        <f t="shared" ca="1" si="76"/>
        <v>48</v>
      </c>
      <c r="J1228" t="str">
        <f t="shared" ca="1" si="77"/>
        <v>40-49</v>
      </c>
      <c r="K1228">
        <v>100115.46</v>
      </c>
      <c r="L1228" t="str">
        <f>IF(Workforce[[#This Row],[Salary]]&lt;50000,"30k-49k",IF(Workforce[[#This Row],[Salary]]&lt;70000,"50k-69k",IF(Workforce[[#This Row],[Salary]]&lt;90000,"70k-89k","90k+")))</f>
        <v>90k+</v>
      </c>
      <c r="M1228" t="s">
        <v>8937</v>
      </c>
      <c r="N1228">
        <f t="shared" ca="1" si="78"/>
        <v>4</v>
      </c>
      <c r="O1228" t="str">
        <f t="shared" ca="1" si="79"/>
        <v>Intermediate level</v>
      </c>
    </row>
    <row r="1229" spans="1:15" x14ac:dyDescent="0.3">
      <c r="A1229" t="s">
        <v>8938</v>
      </c>
      <c r="B1229" t="s">
        <v>8939</v>
      </c>
      <c r="C1229" t="s">
        <v>17</v>
      </c>
      <c r="D1229" t="s">
        <v>8940</v>
      </c>
      <c r="E1229" t="s">
        <v>8941</v>
      </c>
      <c r="F1229" t="s">
        <v>303</v>
      </c>
      <c r="G1229" t="s">
        <v>8942</v>
      </c>
      <c r="H1229" t="s">
        <v>8943</v>
      </c>
      <c r="I1229">
        <f t="shared" ca="1" si="76"/>
        <v>41</v>
      </c>
      <c r="J1229" t="str">
        <f t="shared" ca="1" si="77"/>
        <v>40-49</v>
      </c>
      <c r="K1229">
        <v>113933.9</v>
      </c>
      <c r="L1229" t="str">
        <f>IF(Workforce[[#This Row],[Salary]]&lt;50000,"30k-49k",IF(Workforce[[#This Row],[Salary]]&lt;70000,"50k-69k",IF(Workforce[[#This Row],[Salary]]&lt;90000,"70k-89k","90k+")))</f>
        <v>90k+</v>
      </c>
      <c r="M1229" t="s">
        <v>4129</v>
      </c>
      <c r="N1229">
        <f t="shared" ca="1" si="78"/>
        <v>6</v>
      </c>
      <c r="O1229" t="str">
        <f t="shared" ca="1" si="79"/>
        <v>Intermediate level</v>
      </c>
    </row>
    <row r="1230" spans="1:15" x14ac:dyDescent="0.3">
      <c r="A1230" t="s">
        <v>8944</v>
      </c>
      <c r="B1230" t="s">
        <v>8945</v>
      </c>
      <c r="C1230" t="s">
        <v>88</v>
      </c>
      <c r="D1230" t="s">
        <v>8946</v>
      </c>
      <c r="E1230" t="s">
        <v>8947</v>
      </c>
      <c r="F1230" t="s">
        <v>5365</v>
      </c>
      <c r="G1230" t="s">
        <v>8948</v>
      </c>
      <c r="H1230" t="s">
        <v>8949</v>
      </c>
      <c r="I1230">
        <f t="shared" ca="1" si="76"/>
        <v>41</v>
      </c>
      <c r="J1230" t="str">
        <f t="shared" ca="1" si="77"/>
        <v>40-49</v>
      </c>
      <c r="K1230">
        <v>42896.72</v>
      </c>
      <c r="L1230" t="str">
        <f>IF(Workforce[[#This Row],[Salary]]&lt;50000,"30k-49k",IF(Workforce[[#This Row],[Salary]]&lt;70000,"50k-69k",IF(Workforce[[#This Row],[Salary]]&lt;90000,"70k-89k","90k+")))</f>
        <v>30k-49k</v>
      </c>
      <c r="M1230" t="s">
        <v>4295</v>
      </c>
      <c r="N1230">
        <f t="shared" ca="1" si="78"/>
        <v>9</v>
      </c>
      <c r="O1230" t="str">
        <f t="shared" ca="1" si="79"/>
        <v>Senior level</v>
      </c>
    </row>
    <row r="1231" spans="1:15" x14ac:dyDescent="0.3">
      <c r="A1231" t="s">
        <v>8950</v>
      </c>
      <c r="B1231" t="s">
        <v>8951</v>
      </c>
      <c r="C1231" t="s">
        <v>266</v>
      </c>
      <c r="D1231" t="s">
        <v>8952</v>
      </c>
      <c r="E1231" t="s">
        <v>8953</v>
      </c>
      <c r="F1231" t="s">
        <v>2012</v>
      </c>
      <c r="G1231" t="s">
        <v>8954</v>
      </c>
      <c r="H1231" t="s">
        <v>8955</v>
      </c>
      <c r="I1231">
        <f t="shared" ca="1" si="76"/>
        <v>61</v>
      </c>
      <c r="J1231" t="str">
        <f t="shared" ca="1" si="77"/>
        <v>60+</v>
      </c>
      <c r="K1231">
        <v>93381.62</v>
      </c>
      <c r="L1231" t="str">
        <f>IF(Workforce[[#This Row],[Salary]]&lt;50000,"30k-49k",IF(Workforce[[#This Row],[Salary]]&lt;70000,"50k-69k",IF(Workforce[[#This Row],[Salary]]&lt;90000,"70k-89k","90k+")))</f>
        <v>90k+</v>
      </c>
      <c r="M1231" t="s">
        <v>7082</v>
      </c>
      <c r="N1231">
        <f t="shared" ca="1" si="78"/>
        <v>10</v>
      </c>
      <c r="O1231" t="str">
        <f t="shared" ca="1" si="79"/>
        <v>Senior level</v>
      </c>
    </row>
    <row r="1232" spans="1:15" x14ac:dyDescent="0.3">
      <c r="A1232" t="s">
        <v>8956</v>
      </c>
      <c r="B1232" t="s">
        <v>8957</v>
      </c>
      <c r="C1232" t="s">
        <v>748</v>
      </c>
      <c r="D1232" t="s">
        <v>8958</v>
      </c>
      <c r="E1232" t="s">
        <v>8959</v>
      </c>
      <c r="F1232" t="s">
        <v>2431</v>
      </c>
      <c r="G1232" t="s">
        <v>8960</v>
      </c>
      <c r="H1232" t="s">
        <v>8961</v>
      </c>
      <c r="I1232">
        <f t="shared" ca="1" si="76"/>
        <v>51</v>
      </c>
      <c r="J1232" t="str">
        <f t="shared" ca="1" si="77"/>
        <v>50-59</v>
      </c>
      <c r="K1232">
        <v>49153.84</v>
      </c>
      <c r="L1232" t="str">
        <f>IF(Workforce[[#This Row],[Salary]]&lt;50000,"30k-49k",IF(Workforce[[#This Row],[Salary]]&lt;70000,"50k-69k",IF(Workforce[[#This Row],[Salary]]&lt;90000,"70k-89k","90k+")))</f>
        <v>30k-49k</v>
      </c>
      <c r="M1232" t="s">
        <v>8962</v>
      </c>
      <c r="N1232">
        <f t="shared" ca="1" si="78"/>
        <v>10</v>
      </c>
      <c r="O1232" t="str">
        <f t="shared" ca="1" si="79"/>
        <v>Senior level</v>
      </c>
    </row>
    <row r="1233" spans="1:15" x14ac:dyDescent="0.3">
      <c r="A1233" t="s">
        <v>8963</v>
      </c>
      <c r="B1233" t="s">
        <v>8964</v>
      </c>
      <c r="C1233" t="s">
        <v>17</v>
      </c>
      <c r="D1233" t="s">
        <v>8965</v>
      </c>
      <c r="E1233" t="s">
        <v>8966</v>
      </c>
      <c r="F1233" t="s">
        <v>4096</v>
      </c>
      <c r="G1233" t="s">
        <v>8967</v>
      </c>
      <c r="H1233" t="s">
        <v>6587</v>
      </c>
      <c r="I1233">
        <f t="shared" ca="1" si="76"/>
        <v>34</v>
      </c>
      <c r="J1233" t="str">
        <f t="shared" ca="1" si="77"/>
        <v>30-39</v>
      </c>
      <c r="K1233">
        <v>41704.660000000003</v>
      </c>
      <c r="L1233" t="str">
        <f>IF(Workforce[[#This Row],[Salary]]&lt;50000,"30k-49k",IF(Workforce[[#This Row],[Salary]]&lt;70000,"50k-69k",IF(Workforce[[#This Row],[Salary]]&lt;90000,"70k-89k","90k+")))</f>
        <v>30k-49k</v>
      </c>
      <c r="M1233" t="s">
        <v>8968</v>
      </c>
      <c r="N1233">
        <f t="shared" ca="1" si="78"/>
        <v>6</v>
      </c>
      <c r="O1233" t="str">
        <f t="shared" ca="1" si="79"/>
        <v>Intermediate level</v>
      </c>
    </row>
    <row r="1234" spans="1:15" x14ac:dyDescent="0.3">
      <c r="A1234" t="s">
        <v>8969</v>
      </c>
      <c r="B1234" t="s">
        <v>8970</v>
      </c>
      <c r="C1234" t="s">
        <v>1159</v>
      </c>
      <c r="D1234" t="s">
        <v>8971</v>
      </c>
      <c r="E1234" t="s">
        <v>8972</v>
      </c>
      <c r="F1234" t="s">
        <v>8973</v>
      </c>
      <c r="G1234" t="s">
        <v>8974</v>
      </c>
      <c r="H1234" t="s">
        <v>8975</v>
      </c>
      <c r="I1234">
        <f t="shared" ca="1" si="76"/>
        <v>37</v>
      </c>
      <c r="J1234" t="str">
        <f t="shared" ca="1" si="77"/>
        <v>30-39</v>
      </c>
      <c r="K1234">
        <v>89865.97</v>
      </c>
      <c r="L1234" t="str">
        <f>IF(Workforce[[#This Row],[Salary]]&lt;50000,"30k-49k",IF(Workforce[[#This Row],[Salary]]&lt;70000,"50k-69k",IF(Workforce[[#This Row],[Salary]]&lt;90000,"70k-89k","90k+")))</f>
        <v>70k-89k</v>
      </c>
      <c r="M1234" t="s">
        <v>729</v>
      </c>
      <c r="N1234">
        <f t="shared" ca="1" si="78"/>
        <v>1</v>
      </c>
      <c r="O1234" t="str">
        <f t="shared" ca="1" si="79"/>
        <v>Beginner</v>
      </c>
    </row>
    <row r="1235" spans="1:15" x14ac:dyDescent="0.3">
      <c r="A1235" t="s">
        <v>8976</v>
      </c>
      <c r="B1235" t="s">
        <v>8977</v>
      </c>
      <c r="C1235" t="s">
        <v>169</v>
      </c>
      <c r="D1235" t="s">
        <v>8978</v>
      </c>
      <c r="E1235" t="s">
        <v>8979</v>
      </c>
      <c r="F1235" t="s">
        <v>5833</v>
      </c>
      <c r="G1235" t="s">
        <v>8980</v>
      </c>
      <c r="H1235" t="s">
        <v>8981</v>
      </c>
      <c r="I1235">
        <f t="shared" ca="1" si="76"/>
        <v>43</v>
      </c>
      <c r="J1235" t="str">
        <f t="shared" ca="1" si="77"/>
        <v>40-49</v>
      </c>
      <c r="K1235">
        <v>85090.36</v>
      </c>
      <c r="L1235" t="str">
        <f>IF(Workforce[[#This Row],[Salary]]&lt;50000,"30k-49k",IF(Workforce[[#This Row],[Salary]]&lt;70000,"50k-69k",IF(Workforce[[#This Row],[Salary]]&lt;90000,"70k-89k","90k+")))</f>
        <v>70k-89k</v>
      </c>
      <c r="M1235" t="s">
        <v>8982</v>
      </c>
      <c r="N1235">
        <f t="shared" ca="1" si="78"/>
        <v>1</v>
      </c>
      <c r="O1235" t="str">
        <f t="shared" ca="1" si="79"/>
        <v>Beginner</v>
      </c>
    </row>
    <row r="1236" spans="1:15" x14ac:dyDescent="0.3">
      <c r="A1236" t="s">
        <v>8983</v>
      </c>
      <c r="B1236" t="s">
        <v>8984</v>
      </c>
      <c r="C1236" t="s">
        <v>79</v>
      </c>
      <c r="D1236" t="s">
        <v>8985</v>
      </c>
      <c r="E1236" t="s">
        <v>8986</v>
      </c>
      <c r="F1236" t="s">
        <v>7320</v>
      </c>
      <c r="G1236" t="s">
        <v>8987</v>
      </c>
      <c r="H1236" t="s">
        <v>8988</v>
      </c>
      <c r="I1236">
        <f t="shared" ca="1" si="76"/>
        <v>19</v>
      </c>
      <c r="J1236" t="str">
        <f t="shared" ca="1" si="77"/>
        <v>18-29</v>
      </c>
      <c r="K1236">
        <v>86093.13</v>
      </c>
      <c r="L1236" t="str">
        <f>IF(Workforce[[#This Row],[Salary]]&lt;50000,"30k-49k",IF(Workforce[[#This Row],[Salary]]&lt;70000,"50k-69k",IF(Workforce[[#This Row],[Salary]]&lt;90000,"70k-89k","90k+")))</f>
        <v>70k-89k</v>
      </c>
      <c r="M1236" t="s">
        <v>3771</v>
      </c>
      <c r="N1236">
        <f t="shared" ca="1" si="78"/>
        <v>1</v>
      </c>
      <c r="O1236" t="str">
        <f t="shared" ca="1" si="79"/>
        <v>Beginner</v>
      </c>
    </row>
    <row r="1237" spans="1:15" x14ac:dyDescent="0.3">
      <c r="A1237" t="s">
        <v>8989</v>
      </c>
      <c r="B1237" t="s">
        <v>8990</v>
      </c>
      <c r="C1237" t="s">
        <v>35</v>
      </c>
      <c r="D1237" t="s">
        <v>8991</v>
      </c>
      <c r="E1237" t="s">
        <v>8992</v>
      </c>
      <c r="F1237" t="s">
        <v>476</v>
      </c>
      <c r="G1237" t="s">
        <v>8993</v>
      </c>
      <c r="H1237" t="s">
        <v>8994</v>
      </c>
      <c r="I1237">
        <f t="shared" ca="1" si="76"/>
        <v>24</v>
      </c>
      <c r="J1237" t="str">
        <f t="shared" ca="1" si="77"/>
        <v>18-29</v>
      </c>
      <c r="K1237">
        <v>64318.71</v>
      </c>
      <c r="L1237" t="str">
        <f>IF(Workforce[[#This Row],[Salary]]&lt;50000,"30k-49k",IF(Workforce[[#This Row],[Salary]]&lt;70000,"50k-69k",IF(Workforce[[#This Row],[Salary]]&lt;90000,"70k-89k","90k+")))</f>
        <v>50k-69k</v>
      </c>
      <c r="M1237" t="s">
        <v>4106</v>
      </c>
      <c r="N1237">
        <f t="shared" ca="1" si="78"/>
        <v>9</v>
      </c>
      <c r="O1237" t="str">
        <f t="shared" ca="1" si="79"/>
        <v>Senior level</v>
      </c>
    </row>
    <row r="1238" spans="1:15" x14ac:dyDescent="0.3">
      <c r="A1238" t="s">
        <v>8995</v>
      </c>
      <c r="B1238" t="s">
        <v>8996</v>
      </c>
      <c r="C1238" t="s">
        <v>2086</v>
      </c>
      <c r="D1238" t="s">
        <v>8997</v>
      </c>
      <c r="E1238" t="s">
        <v>8998</v>
      </c>
      <c r="F1238" t="s">
        <v>7210</v>
      </c>
      <c r="G1238" t="s">
        <v>8999</v>
      </c>
      <c r="H1238" t="s">
        <v>9000</v>
      </c>
      <c r="I1238">
        <f t="shared" ca="1" si="76"/>
        <v>55</v>
      </c>
      <c r="J1238" t="str">
        <f t="shared" ca="1" si="77"/>
        <v>50-59</v>
      </c>
      <c r="K1238">
        <v>47396.65</v>
      </c>
      <c r="L1238" t="str">
        <f>IF(Workforce[[#This Row],[Salary]]&lt;50000,"30k-49k",IF(Workforce[[#This Row],[Salary]]&lt;70000,"50k-69k",IF(Workforce[[#This Row],[Salary]]&lt;90000,"70k-89k","90k+")))</f>
        <v>30k-49k</v>
      </c>
      <c r="M1238" t="s">
        <v>9001</v>
      </c>
      <c r="N1238">
        <f t="shared" ca="1" si="78"/>
        <v>8</v>
      </c>
      <c r="O1238" t="str">
        <f t="shared" ca="1" si="79"/>
        <v>Senior level</v>
      </c>
    </row>
    <row r="1239" spans="1:15" x14ac:dyDescent="0.3">
      <c r="A1239" t="s">
        <v>9002</v>
      </c>
      <c r="B1239" t="s">
        <v>9003</v>
      </c>
      <c r="C1239" t="s">
        <v>213</v>
      </c>
      <c r="D1239" t="s">
        <v>9004</v>
      </c>
      <c r="E1239" t="s">
        <v>9005</v>
      </c>
      <c r="F1239" t="s">
        <v>3308</v>
      </c>
      <c r="G1239" t="s">
        <v>9006</v>
      </c>
      <c r="H1239" t="s">
        <v>9007</v>
      </c>
      <c r="I1239">
        <f t="shared" ca="1" si="76"/>
        <v>23</v>
      </c>
      <c r="J1239" t="str">
        <f t="shared" ca="1" si="77"/>
        <v>18-29</v>
      </c>
      <c r="K1239">
        <v>108397.65</v>
      </c>
      <c r="L1239" t="str">
        <f>IF(Workforce[[#This Row],[Salary]]&lt;50000,"30k-49k",IF(Workforce[[#This Row],[Salary]]&lt;70000,"50k-69k",IF(Workforce[[#This Row],[Salary]]&lt;90000,"70k-89k","90k+")))</f>
        <v>90k+</v>
      </c>
      <c r="M1239" t="s">
        <v>9008</v>
      </c>
      <c r="N1239">
        <f t="shared" ca="1" si="78"/>
        <v>6</v>
      </c>
      <c r="O1239" t="str">
        <f t="shared" ca="1" si="79"/>
        <v>Intermediate level</v>
      </c>
    </row>
    <row r="1240" spans="1:15" x14ac:dyDescent="0.3">
      <c r="A1240" t="s">
        <v>9009</v>
      </c>
      <c r="B1240" t="s">
        <v>9010</v>
      </c>
      <c r="C1240" t="s">
        <v>151</v>
      </c>
      <c r="D1240" t="s">
        <v>9011</v>
      </c>
      <c r="E1240" t="s">
        <v>9012</v>
      </c>
      <c r="F1240" t="s">
        <v>9013</v>
      </c>
      <c r="G1240" t="s">
        <v>9014</v>
      </c>
      <c r="H1240" t="s">
        <v>9015</v>
      </c>
      <c r="I1240">
        <f t="shared" ca="1" si="76"/>
        <v>38</v>
      </c>
      <c r="J1240" t="str">
        <f t="shared" ca="1" si="77"/>
        <v>30-39</v>
      </c>
      <c r="K1240">
        <v>84989.37</v>
      </c>
      <c r="L1240" t="str">
        <f>IF(Workforce[[#This Row],[Salary]]&lt;50000,"30k-49k",IF(Workforce[[#This Row],[Salary]]&lt;70000,"50k-69k",IF(Workforce[[#This Row],[Salary]]&lt;90000,"70k-89k","90k+")))</f>
        <v>70k-89k</v>
      </c>
      <c r="M1240" t="s">
        <v>9016</v>
      </c>
      <c r="N1240">
        <f t="shared" ca="1" si="78"/>
        <v>8</v>
      </c>
      <c r="O1240" t="str">
        <f t="shared" ca="1" si="79"/>
        <v>Senior level</v>
      </c>
    </row>
    <row r="1241" spans="1:15" x14ac:dyDescent="0.3">
      <c r="A1241" t="s">
        <v>9017</v>
      </c>
      <c r="B1241" t="s">
        <v>9018</v>
      </c>
      <c r="C1241" t="s">
        <v>266</v>
      </c>
      <c r="D1241" t="s">
        <v>9019</v>
      </c>
      <c r="E1241" t="s">
        <v>9020</v>
      </c>
      <c r="F1241" t="s">
        <v>1194</v>
      </c>
      <c r="G1241" t="s">
        <v>9021</v>
      </c>
      <c r="H1241" t="s">
        <v>9022</v>
      </c>
      <c r="I1241">
        <f t="shared" ca="1" si="76"/>
        <v>29</v>
      </c>
      <c r="J1241" t="str">
        <f t="shared" ca="1" si="77"/>
        <v>18-29</v>
      </c>
      <c r="K1241">
        <v>39420.61</v>
      </c>
      <c r="L1241" t="str">
        <f>IF(Workforce[[#This Row],[Salary]]&lt;50000,"30k-49k",IF(Workforce[[#This Row],[Salary]]&lt;70000,"50k-69k",IF(Workforce[[#This Row],[Salary]]&lt;90000,"70k-89k","90k+")))</f>
        <v>30k-49k</v>
      </c>
      <c r="M1241" t="s">
        <v>9023</v>
      </c>
      <c r="N1241">
        <f t="shared" ca="1" si="78"/>
        <v>3</v>
      </c>
      <c r="O1241" t="str">
        <f t="shared" ca="1" si="79"/>
        <v>Intermediate level</v>
      </c>
    </row>
    <row r="1242" spans="1:15" x14ac:dyDescent="0.3">
      <c r="A1242" t="s">
        <v>9024</v>
      </c>
      <c r="B1242" t="s">
        <v>9025</v>
      </c>
      <c r="C1242" t="s">
        <v>17</v>
      </c>
      <c r="D1242" t="s">
        <v>9026</v>
      </c>
      <c r="E1242" t="s">
        <v>9027</v>
      </c>
      <c r="F1242" t="s">
        <v>9028</v>
      </c>
      <c r="G1242" t="s">
        <v>9029</v>
      </c>
      <c r="H1242" t="s">
        <v>9030</v>
      </c>
      <c r="I1242">
        <f t="shared" ca="1" si="76"/>
        <v>57</v>
      </c>
      <c r="J1242" t="str">
        <f t="shared" ca="1" si="77"/>
        <v>50-59</v>
      </c>
      <c r="K1242">
        <v>39224.14</v>
      </c>
      <c r="L1242" t="str">
        <f>IF(Workforce[[#This Row],[Salary]]&lt;50000,"30k-49k",IF(Workforce[[#This Row],[Salary]]&lt;70000,"50k-69k",IF(Workforce[[#This Row],[Salary]]&lt;90000,"70k-89k","90k+")))</f>
        <v>30k-49k</v>
      </c>
      <c r="M1242" t="s">
        <v>9031</v>
      </c>
      <c r="N1242">
        <f t="shared" ca="1" si="78"/>
        <v>3</v>
      </c>
      <c r="O1242" t="str">
        <f t="shared" ca="1" si="79"/>
        <v>Intermediate level</v>
      </c>
    </row>
    <row r="1243" spans="1:15" x14ac:dyDescent="0.3">
      <c r="A1243" t="s">
        <v>9032</v>
      </c>
      <c r="B1243" t="s">
        <v>9033</v>
      </c>
      <c r="C1243" t="s">
        <v>97</v>
      </c>
      <c r="D1243" t="s">
        <v>9034</v>
      </c>
      <c r="E1243" t="s">
        <v>9035</v>
      </c>
      <c r="F1243" t="s">
        <v>3404</v>
      </c>
      <c r="G1243" t="s">
        <v>9036</v>
      </c>
      <c r="H1243" t="s">
        <v>9037</v>
      </c>
      <c r="I1243">
        <f t="shared" ca="1" si="76"/>
        <v>38</v>
      </c>
      <c r="J1243" t="str">
        <f t="shared" ca="1" si="77"/>
        <v>30-39</v>
      </c>
      <c r="K1243">
        <v>115191.52</v>
      </c>
      <c r="L1243" t="str">
        <f>IF(Workforce[[#This Row],[Salary]]&lt;50000,"30k-49k",IF(Workforce[[#This Row],[Salary]]&lt;70000,"50k-69k",IF(Workforce[[#This Row],[Salary]]&lt;90000,"70k-89k","90k+")))</f>
        <v>90k+</v>
      </c>
      <c r="M1243" t="s">
        <v>9038</v>
      </c>
      <c r="N1243">
        <f t="shared" ca="1" si="78"/>
        <v>9</v>
      </c>
      <c r="O1243" t="str">
        <f t="shared" ca="1" si="79"/>
        <v>Senior level</v>
      </c>
    </row>
    <row r="1244" spans="1:15" x14ac:dyDescent="0.3">
      <c r="A1244" t="s">
        <v>9039</v>
      </c>
      <c r="B1244" t="s">
        <v>9040</v>
      </c>
      <c r="C1244" t="s">
        <v>653</v>
      </c>
      <c r="D1244" t="s">
        <v>9041</v>
      </c>
      <c r="E1244" t="s">
        <v>9042</v>
      </c>
      <c r="F1244" t="s">
        <v>3598</v>
      </c>
      <c r="G1244" t="s">
        <v>9043</v>
      </c>
      <c r="H1244" t="s">
        <v>9044</v>
      </c>
      <c r="I1244">
        <f t="shared" ca="1" si="76"/>
        <v>42</v>
      </c>
      <c r="J1244" t="str">
        <f t="shared" ca="1" si="77"/>
        <v>40-49</v>
      </c>
      <c r="K1244">
        <v>111951.7</v>
      </c>
      <c r="L1244" t="str">
        <f>IF(Workforce[[#This Row],[Salary]]&lt;50000,"30k-49k",IF(Workforce[[#This Row],[Salary]]&lt;70000,"50k-69k",IF(Workforce[[#This Row],[Salary]]&lt;90000,"70k-89k","90k+")))</f>
        <v>90k+</v>
      </c>
      <c r="M1244" t="s">
        <v>9045</v>
      </c>
      <c r="N1244">
        <f t="shared" ca="1" si="78"/>
        <v>7</v>
      </c>
      <c r="O1244" t="str">
        <f t="shared" ca="1" si="79"/>
        <v>Senior level</v>
      </c>
    </row>
    <row r="1245" spans="1:15" x14ac:dyDescent="0.3">
      <c r="A1245" t="s">
        <v>9046</v>
      </c>
      <c r="B1245" t="s">
        <v>9047</v>
      </c>
      <c r="C1245" t="s">
        <v>844</v>
      </c>
      <c r="D1245" t="s">
        <v>9048</v>
      </c>
      <c r="E1245" t="s">
        <v>9049</v>
      </c>
      <c r="F1245" t="s">
        <v>768</v>
      </c>
      <c r="G1245" t="s">
        <v>9050</v>
      </c>
      <c r="H1245" t="s">
        <v>9051</v>
      </c>
      <c r="I1245">
        <f t="shared" ca="1" si="76"/>
        <v>37</v>
      </c>
      <c r="J1245" t="str">
        <f t="shared" ca="1" si="77"/>
        <v>30-39</v>
      </c>
      <c r="K1245">
        <v>45708.46</v>
      </c>
      <c r="L1245" t="str">
        <f>IF(Workforce[[#This Row],[Salary]]&lt;50000,"30k-49k",IF(Workforce[[#This Row],[Salary]]&lt;70000,"50k-69k",IF(Workforce[[#This Row],[Salary]]&lt;90000,"70k-89k","90k+")))</f>
        <v>30k-49k</v>
      </c>
      <c r="M1245" t="s">
        <v>9052</v>
      </c>
      <c r="N1245">
        <f t="shared" ca="1" si="78"/>
        <v>5</v>
      </c>
      <c r="O1245" t="str">
        <f t="shared" ca="1" si="79"/>
        <v>Intermediate level</v>
      </c>
    </row>
    <row r="1246" spans="1:15" x14ac:dyDescent="0.3">
      <c r="A1246" t="s">
        <v>9053</v>
      </c>
      <c r="B1246" t="s">
        <v>9054</v>
      </c>
      <c r="C1246" t="s">
        <v>1159</v>
      </c>
      <c r="D1246" t="s">
        <v>9055</v>
      </c>
      <c r="E1246" t="s">
        <v>9056</v>
      </c>
      <c r="F1246" t="s">
        <v>639</v>
      </c>
      <c r="G1246" t="s">
        <v>9057</v>
      </c>
      <c r="H1246" t="s">
        <v>9058</v>
      </c>
      <c r="I1246">
        <f t="shared" ca="1" si="76"/>
        <v>43</v>
      </c>
      <c r="J1246" t="str">
        <f t="shared" ca="1" si="77"/>
        <v>40-49</v>
      </c>
      <c r="K1246">
        <v>112142.87</v>
      </c>
      <c r="L1246" t="str">
        <f>IF(Workforce[[#This Row],[Salary]]&lt;50000,"30k-49k",IF(Workforce[[#This Row],[Salary]]&lt;70000,"50k-69k",IF(Workforce[[#This Row],[Salary]]&lt;90000,"70k-89k","90k+")))</f>
        <v>90k+</v>
      </c>
      <c r="M1246" t="s">
        <v>4301</v>
      </c>
      <c r="N1246">
        <f t="shared" ca="1" si="78"/>
        <v>9</v>
      </c>
      <c r="O1246" t="str">
        <f t="shared" ca="1" si="79"/>
        <v>Senior level</v>
      </c>
    </row>
    <row r="1247" spans="1:15" x14ac:dyDescent="0.3">
      <c r="A1247" t="s">
        <v>9059</v>
      </c>
      <c r="B1247" t="s">
        <v>9060</v>
      </c>
      <c r="C1247" t="s">
        <v>266</v>
      </c>
      <c r="D1247" t="s">
        <v>9061</v>
      </c>
      <c r="E1247" t="s">
        <v>9062</v>
      </c>
      <c r="F1247" t="s">
        <v>942</v>
      </c>
      <c r="G1247" t="s">
        <v>9063</v>
      </c>
      <c r="H1247" t="s">
        <v>9064</v>
      </c>
      <c r="I1247">
        <f t="shared" ca="1" si="76"/>
        <v>60</v>
      </c>
      <c r="J1247" t="str">
        <f t="shared" ca="1" si="77"/>
        <v>60+</v>
      </c>
      <c r="K1247">
        <v>70761.31</v>
      </c>
      <c r="L1247" t="str">
        <f>IF(Workforce[[#This Row],[Salary]]&lt;50000,"30k-49k",IF(Workforce[[#This Row],[Salary]]&lt;70000,"50k-69k",IF(Workforce[[#This Row],[Salary]]&lt;90000,"70k-89k","90k+")))</f>
        <v>70k-89k</v>
      </c>
      <c r="M1247" t="s">
        <v>9065</v>
      </c>
      <c r="N1247">
        <f t="shared" ca="1" si="78"/>
        <v>6</v>
      </c>
      <c r="O1247" t="str">
        <f t="shared" ca="1" si="79"/>
        <v>Intermediate level</v>
      </c>
    </row>
    <row r="1248" spans="1:15" x14ac:dyDescent="0.3">
      <c r="A1248" t="s">
        <v>9066</v>
      </c>
      <c r="B1248" t="s">
        <v>9067</v>
      </c>
      <c r="C1248" t="s">
        <v>142</v>
      </c>
      <c r="D1248" t="s">
        <v>9068</v>
      </c>
      <c r="E1248" t="s">
        <v>9069</v>
      </c>
      <c r="F1248" t="s">
        <v>9070</v>
      </c>
      <c r="G1248" t="s">
        <v>9071</v>
      </c>
      <c r="H1248" t="s">
        <v>9072</v>
      </c>
      <c r="I1248">
        <f t="shared" ca="1" si="76"/>
        <v>61</v>
      </c>
      <c r="J1248" t="str">
        <f t="shared" ca="1" si="77"/>
        <v>60+</v>
      </c>
      <c r="K1248">
        <v>68914.73</v>
      </c>
      <c r="L1248" t="str">
        <f>IF(Workforce[[#This Row],[Salary]]&lt;50000,"30k-49k",IF(Workforce[[#This Row],[Salary]]&lt;70000,"50k-69k",IF(Workforce[[#This Row],[Salary]]&lt;90000,"70k-89k","90k+")))</f>
        <v>50k-69k</v>
      </c>
      <c r="M1248" t="s">
        <v>9073</v>
      </c>
      <c r="N1248">
        <f t="shared" ca="1" si="78"/>
        <v>1</v>
      </c>
      <c r="O1248" t="str">
        <f t="shared" ca="1" si="79"/>
        <v>Beginner</v>
      </c>
    </row>
    <row r="1249" spans="1:15" x14ac:dyDescent="0.3">
      <c r="A1249" t="s">
        <v>9074</v>
      </c>
      <c r="B1249" t="s">
        <v>9075</v>
      </c>
      <c r="C1249" t="s">
        <v>61</v>
      </c>
      <c r="D1249" t="s">
        <v>9076</v>
      </c>
      <c r="E1249" t="s">
        <v>9077</v>
      </c>
      <c r="F1249" t="s">
        <v>5432</v>
      </c>
      <c r="G1249" t="s">
        <v>9078</v>
      </c>
      <c r="H1249" t="s">
        <v>9079</v>
      </c>
      <c r="I1249">
        <f t="shared" ca="1" si="76"/>
        <v>37</v>
      </c>
      <c r="J1249" t="str">
        <f t="shared" ca="1" si="77"/>
        <v>30-39</v>
      </c>
      <c r="K1249">
        <v>85018.26</v>
      </c>
      <c r="L1249" t="str">
        <f>IF(Workforce[[#This Row],[Salary]]&lt;50000,"30k-49k",IF(Workforce[[#This Row],[Salary]]&lt;70000,"50k-69k",IF(Workforce[[#This Row],[Salary]]&lt;90000,"70k-89k","90k+")))</f>
        <v>70k-89k</v>
      </c>
      <c r="M1249" t="s">
        <v>9080</v>
      </c>
      <c r="N1249">
        <f t="shared" ca="1" si="78"/>
        <v>9</v>
      </c>
      <c r="O1249" t="str">
        <f t="shared" ca="1" si="79"/>
        <v>Senior level</v>
      </c>
    </row>
    <row r="1250" spans="1:15" x14ac:dyDescent="0.3">
      <c r="A1250" t="s">
        <v>9081</v>
      </c>
      <c r="B1250" t="s">
        <v>9082</v>
      </c>
      <c r="C1250" t="s">
        <v>240</v>
      </c>
      <c r="D1250" t="s">
        <v>9083</v>
      </c>
      <c r="E1250" t="s">
        <v>9084</v>
      </c>
      <c r="F1250" t="s">
        <v>9085</v>
      </c>
      <c r="G1250" t="s">
        <v>9086</v>
      </c>
      <c r="H1250" t="s">
        <v>9087</v>
      </c>
      <c r="I1250">
        <f t="shared" ca="1" si="76"/>
        <v>55</v>
      </c>
      <c r="J1250" t="str">
        <f t="shared" ca="1" si="77"/>
        <v>50-59</v>
      </c>
      <c r="K1250">
        <v>44495.11</v>
      </c>
      <c r="L1250" t="str">
        <f>IF(Workforce[[#This Row],[Salary]]&lt;50000,"30k-49k",IF(Workforce[[#This Row],[Salary]]&lt;70000,"50k-69k",IF(Workforce[[#This Row],[Salary]]&lt;90000,"70k-89k","90k+")))</f>
        <v>30k-49k</v>
      </c>
      <c r="M1250" t="s">
        <v>1844</v>
      </c>
      <c r="N1250">
        <f t="shared" ca="1" si="78"/>
        <v>5</v>
      </c>
      <c r="O1250" t="str">
        <f t="shared" ca="1" si="79"/>
        <v>Intermediate level</v>
      </c>
    </row>
    <row r="1251" spans="1:15" x14ac:dyDescent="0.3">
      <c r="A1251" t="s">
        <v>9088</v>
      </c>
      <c r="B1251" t="s">
        <v>9089</v>
      </c>
      <c r="C1251" t="s">
        <v>1004</v>
      </c>
      <c r="D1251" t="s">
        <v>9090</v>
      </c>
      <c r="E1251" t="s">
        <v>9091</v>
      </c>
      <c r="F1251" t="s">
        <v>533</v>
      </c>
      <c r="G1251" t="s">
        <v>9092</v>
      </c>
      <c r="H1251" t="s">
        <v>9093</v>
      </c>
      <c r="I1251">
        <f t="shared" ca="1" si="76"/>
        <v>43</v>
      </c>
      <c r="J1251" t="str">
        <f t="shared" ca="1" si="77"/>
        <v>40-49</v>
      </c>
      <c r="K1251">
        <v>96039.87</v>
      </c>
      <c r="L1251" t="str">
        <f>IF(Workforce[[#This Row],[Salary]]&lt;50000,"30k-49k",IF(Workforce[[#This Row],[Salary]]&lt;70000,"50k-69k",IF(Workforce[[#This Row],[Salary]]&lt;90000,"70k-89k","90k+")))</f>
        <v>90k+</v>
      </c>
      <c r="M1251" t="s">
        <v>9094</v>
      </c>
      <c r="N1251">
        <f t="shared" ca="1" si="78"/>
        <v>3</v>
      </c>
      <c r="O1251" t="str">
        <f t="shared" ca="1" si="79"/>
        <v>Intermediate level</v>
      </c>
    </row>
    <row r="1252" spans="1:15" x14ac:dyDescent="0.3">
      <c r="A1252" t="s">
        <v>9095</v>
      </c>
      <c r="B1252" t="s">
        <v>9096</v>
      </c>
      <c r="C1252" t="s">
        <v>106</v>
      </c>
      <c r="D1252" t="s">
        <v>9097</v>
      </c>
      <c r="E1252" t="s">
        <v>9098</v>
      </c>
      <c r="F1252" t="s">
        <v>9099</v>
      </c>
      <c r="G1252" t="s">
        <v>9100</v>
      </c>
      <c r="H1252" t="s">
        <v>9101</v>
      </c>
      <c r="I1252">
        <f t="shared" ca="1" si="76"/>
        <v>23</v>
      </c>
      <c r="J1252" t="str">
        <f t="shared" ca="1" si="77"/>
        <v>18-29</v>
      </c>
      <c r="K1252">
        <v>106671.22</v>
      </c>
      <c r="L1252" t="str">
        <f>IF(Workforce[[#This Row],[Salary]]&lt;50000,"30k-49k",IF(Workforce[[#This Row],[Salary]]&lt;70000,"50k-69k",IF(Workforce[[#This Row],[Salary]]&lt;90000,"70k-89k","90k+")))</f>
        <v>90k+</v>
      </c>
      <c r="M1252" t="s">
        <v>5020</v>
      </c>
      <c r="N1252">
        <f t="shared" ca="1" si="78"/>
        <v>6</v>
      </c>
      <c r="O1252" t="str">
        <f t="shared" ca="1" si="79"/>
        <v>Intermediate level</v>
      </c>
    </row>
    <row r="1253" spans="1:15" x14ac:dyDescent="0.3">
      <c r="A1253" t="s">
        <v>9102</v>
      </c>
      <c r="B1253" t="s">
        <v>9103</v>
      </c>
      <c r="C1253" t="s">
        <v>151</v>
      </c>
      <c r="D1253" t="s">
        <v>9104</v>
      </c>
      <c r="E1253" t="s">
        <v>9105</v>
      </c>
      <c r="F1253" t="s">
        <v>639</v>
      </c>
      <c r="G1253" t="s">
        <v>9106</v>
      </c>
      <c r="H1253" t="s">
        <v>9107</v>
      </c>
      <c r="I1253">
        <f t="shared" ca="1" si="76"/>
        <v>46</v>
      </c>
      <c r="J1253" t="str">
        <f t="shared" ca="1" si="77"/>
        <v>40-49</v>
      </c>
      <c r="K1253">
        <v>107751.73</v>
      </c>
      <c r="L1253" t="str">
        <f>IF(Workforce[[#This Row],[Salary]]&lt;50000,"30k-49k",IF(Workforce[[#This Row],[Salary]]&lt;70000,"50k-69k",IF(Workforce[[#This Row],[Salary]]&lt;90000,"70k-89k","90k+")))</f>
        <v>90k+</v>
      </c>
      <c r="M1253" t="s">
        <v>9108</v>
      </c>
      <c r="N1253">
        <f t="shared" ca="1" si="78"/>
        <v>4</v>
      </c>
      <c r="O1253" t="str">
        <f t="shared" ca="1" si="79"/>
        <v>Intermediate level</v>
      </c>
    </row>
    <row r="1254" spans="1:15" x14ac:dyDescent="0.3">
      <c r="A1254" t="s">
        <v>9109</v>
      </c>
      <c r="B1254" t="s">
        <v>9110</v>
      </c>
      <c r="C1254" t="s">
        <v>79</v>
      </c>
      <c r="D1254" t="s">
        <v>9111</v>
      </c>
      <c r="E1254" t="s">
        <v>9112</v>
      </c>
      <c r="F1254" t="s">
        <v>3653</v>
      </c>
      <c r="G1254" t="s">
        <v>9113</v>
      </c>
      <c r="H1254" t="s">
        <v>9114</v>
      </c>
      <c r="I1254">
        <f t="shared" ca="1" si="76"/>
        <v>25</v>
      </c>
      <c r="J1254" t="str">
        <f t="shared" ca="1" si="77"/>
        <v>18-29</v>
      </c>
      <c r="K1254">
        <v>52752.51</v>
      </c>
      <c r="L1254" t="str">
        <f>IF(Workforce[[#This Row],[Salary]]&lt;50000,"30k-49k",IF(Workforce[[#This Row],[Salary]]&lt;70000,"50k-69k",IF(Workforce[[#This Row],[Salary]]&lt;90000,"70k-89k","90k+")))</f>
        <v>50k-69k</v>
      </c>
      <c r="M1254" t="s">
        <v>4236</v>
      </c>
      <c r="N1254">
        <f t="shared" ca="1" si="78"/>
        <v>3</v>
      </c>
      <c r="O1254" t="str">
        <f t="shared" ca="1" si="79"/>
        <v>Intermediate level</v>
      </c>
    </row>
    <row r="1255" spans="1:15" x14ac:dyDescent="0.3">
      <c r="A1255" t="s">
        <v>9115</v>
      </c>
      <c r="B1255" t="s">
        <v>9116</v>
      </c>
      <c r="C1255" t="s">
        <v>2086</v>
      </c>
      <c r="D1255" t="s">
        <v>9117</v>
      </c>
      <c r="E1255" t="s">
        <v>9118</v>
      </c>
      <c r="F1255" t="s">
        <v>2768</v>
      </c>
      <c r="G1255" t="s">
        <v>9119</v>
      </c>
      <c r="H1255" t="s">
        <v>9120</v>
      </c>
      <c r="I1255">
        <f t="shared" ca="1" si="76"/>
        <v>27</v>
      </c>
      <c r="J1255" t="str">
        <f t="shared" ca="1" si="77"/>
        <v>18-29</v>
      </c>
      <c r="K1255">
        <v>64943.06</v>
      </c>
      <c r="L1255" t="str">
        <f>IF(Workforce[[#This Row],[Salary]]&lt;50000,"30k-49k",IF(Workforce[[#This Row],[Salary]]&lt;70000,"50k-69k",IF(Workforce[[#This Row],[Salary]]&lt;90000,"70k-89k","90k+")))</f>
        <v>50k-69k</v>
      </c>
      <c r="M1255" t="s">
        <v>9121</v>
      </c>
      <c r="N1255">
        <f t="shared" ca="1" si="78"/>
        <v>8</v>
      </c>
      <c r="O1255" t="str">
        <f t="shared" ca="1" si="79"/>
        <v>Senior level</v>
      </c>
    </row>
    <row r="1256" spans="1:15" x14ac:dyDescent="0.3">
      <c r="A1256" t="s">
        <v>9122</v>
      </c>
      <c r="B1256" t="s">
        <v>9123</v>
      </c>
      <c r="C1256" t="s">
        <v>400</v>
      </c>
      <c r="D1256" t="s">
        <v>9124</v>
      </c>
      <c r="E1256" t="s">
        <v>9125</v>
      </c>
      <c r="F1256" t="s">
        <v>295</v>
      </c>
      <c r="G1256" t="s">
        <v>9126</v>
      </c>
      <c r="H1256" t="s">
        <v>9127</v>
      </c>
      <c r="I1256">
        <f t="shared" ca="1" si="76"/>
        <v>49</v>
      </c>
      <c r="J1256" t="str">
        <f t="shared" ca="1" si="77"/>
        <v>40-49</v>
      </c>
      <c r="K1256">
        <v>63052.02</v>
      </c>
      <c r="L1256" t="str">
        <f>IF(Workforce[[#This Row],[Salary]]&lt;50000,"30k-49k",IF(Workforce[[#This Row],[Salary]]&lt;70000,"50k-69k",IF(Workforce[[#This Row],[Salary]]&lt;90000,"70k-89k","90k+")))</f>
        <v>50k-69k</v>
      </c>
      <c r="M1256" t="s">
        <v>9128</v>
      </c>
      <c r="N1256">
        <f t="shared" ca="1" si="78"/>
        <v>10</v>
      </c>
      <c r="O1256" t="str">
        <f t="shared" ca="1" si="79"/>
        <v>Senior level</v>
      </c>
    </row>
    <row r="1257" spans="1:15" x14ac:dyDescent="0.3">
      <c r="A1257" t="s">
        <v>9129</v>
      </c>
      <c r="B1257" t="s">
        <v>9130</v>
      </c>
      <c r="C1257" t="s">
        <v>97</v>
      </c>
      <c r="D1257" t="s">
        <v>9131</v>
      </c>
      <c r="E1257" t="s">
        <v>9132</v>
      </c>
      <c r="F1257" t="s">
        <v>1099</v>
      </c>
      <c r="G1257" t="s">
        <v>9133</v>
      </c>
      <c r="H1257" t="s">
        <v>9134</v>
      </c>
      <c r="I1257">
        <f t="shared" ca="1" si="76"/>
        <v>24</v>
      </c>
      <c r="J1257" t="str">
        <f t="shared" ca="1" si="77"/>
        <v>18-29</v>
      </c>
      <c r="K1257">
        <v>98409.02</v>
      </c>
      <c r="L1257" t="str">
        <f>IF(Workforce[[#This Row],[Salary]]&lt;50000,"30k-49k",IF(Workforce[[#This Row],[Salary]]&lt;70000,"50k-69k",IF(Workforce[[#This Row],[Salary]]&lt;90000,"70k-89k","90k+")))</f>
        <v>90k+</v>
      </c>
      <c r="M1257" t="s">
        <v>9135</v>
      </c>
      <c r="N1257">
        <f t="shared" ca="1" si="78"/>
        <v>4</v>
      </c>
      <c r="O1257" t="str">
        <f t="shared" ca="1" si="79"/>
        <v>Intermediate level</v>
      </c>
    </row>
    <row r="1258" spans="1:15" x14ac:dyDescent="0.3">
      <c r="A1258" t="s">
        <v>9136</v>
      </c>
      <c r="B1258" t="s">
        <v>9137</v>
      </c>
      <c r="C1258" t="s">
        <v>240</v>
      </c>
      <c r="D1258" t="s">
        <v>9138</v>
      </c>
      <c r="E1258" t="s">
        <v>9139</v>
      </c>
      <c r="F1258" t="s">
        <v>6428</v>
      </c>
      <c r="G1258" t="s">
        <v>9140</v>
      </c>
      <c r="H1258" t="s">
        <v>9141</v>
      </c>
      <c r="I1258">
        <f t="shared" ca="1" si="76"/>
        <v>56</v>
      </c>
      <c r="J1258" t="str">
        <f t="shared" ca="1" si="77"/>
        <v>50-59</v>
      </c>
      <c r="K1258">
        <v>39165.56</v>
      </c>
      <c r="L1258" t="str">
        <f>IF(Workforce[[#This Row],[Salary]]&lt;50000,"30k-49k",IF(Workforce[[#This Row],[Salary]]&lt;70000,"50k-69k",IF(Workforce[[#This Row],[Salary]]&lt;90000,"70k-89k","90k+")))</f>
        <v>30k-49k</v>
      </c>
      <c r="M1258" t="s">
        <v>9142</v>
      </c>
      <c r="N1258">
        <f t="shared" ca="1" si="78"/>
        <v>10</v>
      </c>
      <c r="O1258" t="str">
        <f t="shared" ca="1" si="79"/>
        <v>Senior level</v>
      </c>
    </row>
    <row r="1259" spans="1:15" x14ac:dyDescent="0.3">
      <c r="A1259" t="s">
        <v>9143</v>
      </c>
      <c r="B1259" t="s">
        <v>9144</v>
      </c>
      <c r="C1259" t="s">
        <v>1004</v>
      </c>
      <c r="D1259" t="s">
        <v>9145</v>
      </c>
      <c r="E1259" t="s">
        <v>9146</v>
      </c>
      <c r="F1259" t="s">
        <v>2840</v>
      </c>
      <c r="G1259" t="s">
        <v>9147</v>
      </c>
      <c r="H1259" t="s">
        <v>9148</v>
      </c>
      <c r="I1259">
        <f t="shared" ca="1" si="76"/>
        <v>41</v>
      </c>
      <c r="J1259" t="str">
        <f t="shared" ca="1" si="77"/>
        <v>40-49</v>
      </c>
      <c r="K1259">
        <v>117673.31</v>
      </c>
      <c r="L1259" t="str">
        <f>IF(Workforce[[#This Row],[Salary]]&lt;50000,"30k-49k",IF(Workforce[[#This Row],[Salary]]&lt;70000,"50k-69k",IF(Workforce[[#This Row],[Salary]]&lt;90000,"70k-89k","90k+")))</f>
        <v>90k+</v>
      </c>
      <c r="M1259" t="s">
        <v>2449</v>
      </c>
      <c r="N1259">
        <f t="shared" ca="1" si="78"/>
        <v>10</v>
      </c>
      <c r="O1259" t="str">
        <f t="shared" ca="1" si="79"/>
        <v>Senior level</v>
      </c>
    </row>
    <row r="1260" spans="1:15" x14ac:dyDescent="0.3">
      <c r="A1260" t="s">
        <v>9149</v>
      </c>
      <c r="B1260" t="s">
        <v>9150</v>
      </c>
      <c r="C1260" t="s">
        <v>231</v>
      </c>
      <c r="D1260" t="s">
        <v>9151</v>
      </c>
      <c r="E1260" t="s">
        <v>9152</v>
      </c>
      <c r="F1260" t="s">
        <v>4329</v>
      </c>
      <c r="G1260" t="s">
        <v>9153</v>
      </c>
      <c r="H1260" t="s">
        <v>9154</v>
      </c>
      <c r="I1260">
        <f t="shared" ca="1" si="76"/>
        <v>34</v>
      </c>
      <c r="J1260" t="str">
        <f t="shared" ca="1" si="77"/>
        <v>30-39</v>
      </c>
      <c r="K1260">
        <v>60930.36</v>
      </c>
      <c r="L1260" t="str">
        <f>IF(Workforce[[#This Row],[Salary]]&lt;50000,"30k-49k",IF(Workforce[[#This Row],[Salary]]&lt;70000,"50k-69k",IF(Workforce[[#This Row],[Salary]]&lt;90000,"70k-89k","90k+")))</f>
        <v>50k-69k</v>
      </c>
      <c r="M1260" t="s">
        <v>8665</v>
      </c>
      <c r="N1260">
        <f t="shared" ca="1" si="78"/>
        <v>10</v>
      </c>
      <c r="O1260" t="str">
        <f t="shared" ca="1" si="79"/>
        <v>Senior level</v>
      </c>
    </row>
    <row r="1261" spans="1:15" x14ac:dyDescent="0.3">
      <c r="A1261" t="s">
        <v>9155</v>
      </c>
      <c r="B1261" t="s">
        <v>9156</v>
      </c>
      <c r="C1261" t="s">
        <v>26</v>
      </c>
      <c r="D1261" t="s">
        <v>9157</v>
      </c>
      <c r="E1261" t="s">
        <v>9158</v>
      </c>
      <c r="F1261" t="s">
        <v>1488</v>
      </c>
      <c r="G1261" t="s">
        <v>9159</v>
      </c>
      <c r="H1261" t="s">
        <v>9160</v>
      </c>
      <c r="I1261">
        <f t="shared" ca="1" si="76"/>
        <v>53</v>
      </c>
      <c r="J1261" t="str">
        <f t="shared" ca="1" si="77"/>
        <v>50-59</v>
      </c>
      <c r="K1261">
        <v>89917.19</v>
      </c>
      <c r="L1261" t="str">
        <f>IF(Workforce[[#This Row],[Salary]]&lt;50000,"30k-49k",IF(Workforce[[#This Row],[Salary]]&lt;70000,"50k-69k",IF(Workforce[[#This Row],[Salary]]&lt;90000,"70k-89k","90k+")))</f>
        <v>70k-89k</v>
      </c>
      <c r="M1261" t="s">
        <v>9161</v>
      </c>
      <c r="N1261">
        <f t="shared" ca="1" si="78"/>
        <v>10</v>
      </c>
      <c r="O1261" t="str">
        <f t="shared" ca="1" si="79"/>
        <v>Senior level</v>
      </c>
    </row>
    <row r="1262" spans="1:15" x14ac:dyDescent="0.3">
      <c r="A1262" t="s">
        <v>9162</v>
      </c>
      <c r="B1262" t="s">
        <v>9163</v>
      </c>
      <c r="C1262" t="s">
        <v>604</v>
      </c>
      <c r="D1262" t="s">
        <v>9164</v>
      </c>
      <c r="E1262" t="s">
        <v>9165</v>
      </c>
      <c r="F1262" t="s">
        <v>9085</v>
      </c>
      <c r="G1262" t="s">
        <v>9166</v>
      </c>
      <c r="H1262" t="s">
        <v>9167</v>
      </c>
      <c r="I1262">
        <f t="shared" ca="1" si="76"/>
        <v>41</v>
      </c>
      <c r="J1262" t="str">
        <f t="shared" ca="1" si="77"/>
        <v>40-49</v>
      </c>
      <c r="K1262">
        <v>57103.92</v>
      </c>
      <c r="L1262" t="str">
        <f>IF(Workforce[[#This Row],[Salary]]&lt;50000,"30k-49k",IF(Workforce[[#This Row],[Salary]]&lt;70000,"50k-69k",IF(Workforce[[#This Row],[Salary]]&lt;90000,"70k-89k","90k+")))</f>
        <v>50k-69k</v>
      </c>
      <c r="M1262" t="s">
        <v>3399</v>
      </c>
      <c r="N1262">
        <f t="shared" ca="1" si="78"/>
        <v>5</v>
      </c>
      <c r="O1262" t="str">
        <f t="shared" ca="1" si="79"/>
        <v>Intermediate level</v>
      </c>
    </row>
    <row r="1263" spans="1:15" x14ac:dyDescent="0.3">
      <c r="A1263" t="s">
        <v>9168</v>
      </c>
      <c r="B1263" t="s">
        <v>9169</v>
      </c>
      <c r="C1263" t="s">
        <v>35</v>
      </c>
      <c r="D1263" t="s">
        <v>9170</v>
      </c>
      <c r="E1263" t="s">
        <v>9171</v>
      </c>
      <c r="F1263" t="s">
        <v>4278</v>
      </c>
      <c r="G1263" t="s">
        <v>9050</v>
      </c>
      <c r="H1263" t="s">
        <v>9172</v>
      </c>
      <c r="I1263">
        <f t="shared" ca="1" si="76"/>
        <v>40</v>
      </c>
      <c r="J1263" t="str">
        <f t="shared" ca="1" si="77"/>
        <v>40-49</v>
      </c>
      <c r="K1263">
        <v>105139.7</v>
      </c>
      <c r="L1263" t="str">
        <f>IF(Workforce[[#This Row],[Salary]]&lt;50000,"30k-49k",IF(Workforce[[#This Row],[Salary]]&lt;70000,"50k-69k",IF(Workforce[[#This Row],[Salary]]&lt;90000,"70k-89k","90k+")))</f>
        <v>90k+</v>
      </c>
      <c r="M1263" t="s">
        <v>9173</v>
      </c>
      <c r="N1263">
        <f t="shared" ca="1" si="78"/>
        <v>5</v>
      </c>
      <c r="O1263" t="str">
        <f t="shared" ca="1" si="79"/>
        <v>Intermediate level</v>
      </c>
    </row>
    <row r="1264" spans="1:15" x14ac:dyDescent="0.3">
      <c r="A1264" t="s">
        <v>9174</v>
      </c>
      <c r="B1264" t="s">
        <v>9175</v>
      </c>
      <c r="C1264" t="s">
        <v>151</v>
      </c>
      <c r="D1264" t="s">
        <v>9176</v>
      </c>
      <c r="E1264" t="s">
        <v>9177</v>
      </c>
      <c r="F1264" t="s">
        <v>9178</v>
      </c>
      <c r="G1264" t="s">
        <v>9179</v>
      </c>
      <c r="H1264" t="s">
        <v>9180</v>
      </c>
      <c r="I1264">
        <f t="shared" ca="1" si="76"/>
        <v>61</v>
      </c>
      <c r="J1264" t="str">
        <f t="shared" ca="1" si="77"/>
        <v>60+</v>
      </c>
      <c r="K1264">
        <v>68839.58</v>
      </c>
      <c r="L1264" t="str">
        <f>IF(Workforce[[#This Row],[Salary]]&lt;50000,"30k-49k",IF(Workforce[[#This Row],[Salary]]&lt;70000,"50k-69k",IF(Workforce[[#This Row],[Salary]]&lt;90000,"70k-89k","90k+")))</f>
        <v>50k-69k</v>
      </c>
      <c r="M1264" t="s">
        <v>2595</v>
      </c>
      <c r="N1264">
        <f t="shared" ca="1" si="78"/>
        <v>0</v>
      </c>
      <c r="O1264" t="str">
        <f t="shared" ca="1" si="79"/>
        <v>Beginner</v>
      </c>
    </row>
    <row r="1265" spans="1:15" x14ac:dyDescent="0.3">
      <c r="A1265" t="s">
        <v>9181</v>
      </c>
      <c r="B1265" t="s">
        <v>9182</v>
      </c>
      <c r="C1265" t="s">
        <v>115</v>
      </c>
      <c r="D1265" t="s">
        <v>9183</v>
      </c>
      <c r="E1265" t="s">
        <v>9184</v>
      </c>
      <c r="F1265" t="s">
        <v>1503</v>
      </c>
      <c r="G1265" t="s">
        <v>9185</v>
      </c>
      <c r="H1265" t="s">
        <v>9186</v>
      </c>
      <c r="I1265">
        <f t="shared" ca="1" si="76"/>
        <v>35</v>
      </c>
      <c r="J1265" t="str">
        <f t="shared" ca="1" si="77"/>
        <v>30-39</v>
      </c>
      <c r="K1265">
        <v>117860.22</v>
      </c>
      <c r="L1265" t="str">
        <f>IF(Workforce[[#This Row],[Salary]]&lt;50000,"30k-49k",IF(Workforce[[#This Row],[Salary]]&lt;70000,"50k-69k",IF(Workforce[[#This Row],[Salary]]&lt;90000,"70k-89k","90k+")))</f>
        <v>90k+</v>
      </c>
      <c r="M1265" t="s">
        <v>3719</v>
      </c>
      <c r="N1265">
        <f t="shared" ca="1" si="78"/>
        <v>9</v>
      </c>
      <c r="O1265" t="str">
        <f t="shared" ca="1" si="79"/>
        <v>Senior level</v>
      </c>
    </row>
    <row r="1266" spans="1:15" x14ac:dyDescent="0.3">
      <c r="A1266" t="s">
        <v>9187</v>
      </c>
      <c r="B1266" t="s">
        <v>9188</v>
      </c>
      <c r="C1266" t="s">
        <v>124</v>
      </c>
      <c r="D1266" t="s">
        <v>9189</v>
      </c>
      <c r="E1266" t="s">
        <v>9190</v>
      </c>
      <c r="F1266" t="s">
        <v>260</v>
      </c>
      <c r="G1266" t="s">
        <v>9191</v>
      </c>
      <c r="H1266" t="s">
        <v>9192</v>
      </c>
      <c r="I1266">
        <f t="shared" ca="1" si="76"/>
        <v>66</v>
      </c>
      <c r="J1266" t="str">
        <f t="shared" ca="1" si="77"/>
        <v>60+</v>
      </c>
      <c r="K1266">
        <v>37427.800000000003</v>
      </c>
      <c r="L1266" t="str">
        <f>IF(Workforce[[#This Row],[Salary]]&lt;50000,"30k-49k",IF(Workforce[[#This Row],[Salary]]&lt;70000,"50k-69k",IF(Workforce[[#This Row],[Salary]]&lt;90000,"70k-89k","90k+")))</f>
        <v>30k-49k</v>
      </c>
      <c r="M1266" t="s">
        <v>9193</v>
      </c>
      <c r="N1266">
        <f t="shared" ca="1" si="78"/>
        <v>8</v>
      </c>
      <c r="O1266" t="str">
        <f t="shared" ca="1" si="79"/>
        <v>Senior level</v>
      </c>
    </row>
    <row r="1267" spans="1:15" x14ac:dyDescent="0.3">
      <c r="A1267" t="s">
        <v>9194</v>
      </c>
      <c r="B1267" t="s">
        <v>9195</v>
      </c>
      <c r="C1267" t="s">
        <v>317</v>
      </c>
      <c r="D1267" t="s">
        <v>9196</v>
      </c>
      <c r="E1267" t="s">
        <v>9197</v>
      </c>
      <c r="F1267" t="s">
        <v>4895</v>
      </c>
      <c r="G1267" t="s">
        <v>1336</v>
      </c>
      <c r="H1267" t="s">
        <v>9198</v>
      </c>
      <c r="I1267">
        <f t="shared" ca="1" si="76"/>
        <v>61</v>
      </c>
      <c r="J1267" t="str">
        <f t="shared" ca="1" si="77"/>
        <v>60+</v>
      </c>
      <c r="K1267">
        <v>96605.27</v>
      </c>
      <c r="L1267" t="str">
        <f>IF(Workforce[[#This Row],[Salary]]&lt;50000,"30k-49k",IF(Workforce[[#This Row],[Salary]]&lt;70000,"50k-69k",IF(Workforce[[#This Row],[Salary]]&lt;90000,"70k-89k","90k+")))</f>
        <v>90k+</v>
      </c>
      <c r="M1267" t="s">
        <v>9199</v>
      </c>
      <c r="N1267">
        <f t="shared" ca="1" si="78"/>
        <v>9</v>
      </c>
      <c r="O1267" t="str">
        <f t="shared" ca="1" si="79"/>
        <v>Senior level</v>
      </c>
    </row>
    <row r="1268" spans="1:15" x14ac:dyDescent="0.3">
      <c r="A1268" t="s">
        <v>9200</v>
      </c>
      <c r="B1268" t="s">
        <v>9201</v>
      </c>
      <c r="C1268" t="s">
        <v>400</v>
      </c>
      <c r="D1268" t="s">
        <v>9202</v>
      </c>
      <c r="E1268" t="s">
        <v>9203</v>
      </c>
      <c r="F1268" t="s">
        <v>1351</v>
      </c>
      <c r="G1268" t="s">
        <v>9204</v>
      </c>
      <c r="H1268" t="s">
        <v>9205</v>
      </c>
      <c r="I1268">
        <f t="shared" ca="1" si="76"/>
        <v>46</v>
      </c>
      <c r="J1268" t="str">
        <f t="shared" ca="1" si="77"/>
        <v>40-49</v>
      </c>
      <c r="K1268">
        <v>108192.22</v>
      </c>
      <c r="L1268" t="str">
        <f>IF(Workforce[[#This Row],[Salary]]&lt;50000,"30k-49k",IF(Workforce[[#This Row],[Salary]]&lt;70000,"50k-69k",IF(Workforce[[#This Row],[Salary]]&lt;90000,"70k-89k","90k+")))</f>
        <v>90k+</v>
      </c>
      <c r="M1268" t="s">
        <v>5246</v>
      </c>
      <c r="N1268">
        <f t="shared" ca="1" si="78"/>
        <v>6</v>
      </c>
      <c r="O1268" t="str">
        <f t="shared" ca="1" si="79"/>
        <v>Intermediate level</v>
      </c>
    </row>
    <row r="1269" spans="1:15" x14ac:dyDescent="0.3">
      <c r="A1269" t="s">
        <v>9206</v>
      </c>
      <c r="B1269" t="s">
        <v>9207</v>
      </c>
      <c r="C1269" t="s">
        <v>178</v>
      </c>
      <c r="D1269" t="s">
        <v>9208</v>
      </c>
      <c r="E1269" t="s">
        <v>9209</v>
      </c>
      <c r="F1269" t="s">
        <v>4170</v>
      </c>
      <c r="G1269" t="s">
        <v>9210</v>
      </c>
      <c r="H1269" t="s">
        <v>9211</v>
      </c>
      <c r="I1269">
        <f t="shared" ca="1" si="76"/>
        <v>48</v>
      </c>
      <c r="J1269" t="str">
        <f t="shared" ca="1" si="77"/>
        <v>40-49</v>
      </c>
      <c r="K1269">
        <v>85839.06</v>
      </c>
      <c r="L1269" t="str">
        <f>IF(Workforce[[#This Row],[Salary]]&lt;50000,"30k-49k",IF(Workforce[[#This Row],[Salary]]&lt;70000,"50k-69k",IF(Workforce[[#This Row],[Salary]]&lt;90000,"70k-89k","90k+")))</f>
        <v>70k-89k</v>
      </c>
      <c r="M1269" t="s">
        <v>9212</v>
      </c>
      <c r="N1269">
        <f t="shared" ca="1" si="78"/>
        <v>3</v>
      </c>
      <c r="O1269" t="str">
        <f t="shared" ca="1" si="79"/>
        <v>Intermediate level</v>
      </c>
    </row>
    <row r="1270" spans="1:15" x14ac:dyDescent="0.3">
      <c r="A1270" t="s">
        <v>9213</v>
      </c>
      <c r="B1270" t="s">
        <v>9214</v>
      </c>
      <c r="C1270" t="s">
        <v>774</v>
      </c>
      <c r="D1270" t="s">
        <v>9215</v>
      </c>
      <c r="E1270" t="s">
        <v>9216</v>
      </c>
      <c r="F1270" t="s">
        <v>1320</v>
      </c>
      <c r="G1270" t="s">
        <v>9217</v>
      </c>
      <c r="H1270" t="s">
        <v>9218</v>
      </c>
      <c r="I1270">
        <f t="shared" ca="1" si="76"/>
        <v>42</v>
      </c>
      <c r="J1270" t="str">
        <f t="shared" ca="1" si="77"/>
        <v>40-49</v>
      </c>
      <c r="K1270">
        <v>111044.03</v>
      </c>
      <c r="L1270" t="str">
        <f>IF(Workforce[[#This Row],[Salary]]&lt;50000,"30k-49k",IF(Workforce[[#This Row],[Salary]]&lt;70000,"50k-69k",IF(Workforce[[#This Row],[Salary]]&lt;90000,"70k-89k","90k+")))</f>
        <v>90k+</v>
      </c>
      <c r="M1270" t="s">
        <v>9219</v>
      </c>
      <c r="N1270">
        <f t="shared" ca="1" si="78"/>
        <v>0</v>
      </c>
      <c r="O1270" t="str">
        <f t="shared" ca="1" si="79"/>
        <v>Beginner</v>
      </c>
    </row>
    <row r="1271" spans="1:15" x14ac:dyDescent="0.3">
      <c r="A1271" t="s">
        <v>9220</v>
      </c>
      <c r="B1271" t="s">
        <v>9221</v>
      </c>
      <c r="C1271" t="s">
        <v>266</v>
      </c>
      <c r="D1271" t="s">
        <v>9222</v>
      </c>
      <c r="E1271" t="s">
        <v>9223</v>
      </c>
      <c r="F1271" t="s">
        <v>1973</v>
      </c>
      <c r="G1271" t="s">
        <v>7900</v>
      </c>
      <c r="H1271" t="s">
        <v>9224</v>
      </c>
      <c r="I1271">
        <f t="shared" ca="1" si="76"/>
        <v>43</v>
      </c>
      <c r="J1271" t="str">
        <f t="shared" ca="1" si="77"/>
        <v>40-49</v>
      </c>
      <c r="K1271">
        <v>48542.73</v>
      </c>
      <c r="L1271" t="str">
        <f>IF(Workforce[[#This Row],[Salary]]&lt;50000,"30k-49k",IF(Workforce[[#This Row],[Salary]]&lt;70000,"50k-69k",IF(Workforce[[#This Row],[Salary]]&lt;90000,"70k-89k","90k+")))</f>
        <v>30k-49k</v>
      </c>
      <c r="M1271" t="s">
        <v>9225</v>
      </c>
      <c r="N1271">
        <f t="shared" ca="1" si="78"/>
        <v>6</v>
      </c>
      <c r="O1271" t="str">
        <f t="shared" ca="1" si="79"/>
        <v>Intermediate level</v>
      </c>
    </row>
    <row r="1272" spans="1:15" x14ac:dyDescent="0.3">
      <c r="A1272" t="s">
        <v>9226</v>
      </c>
      <c r="B1272" t="s">
        <v>9227</v>
      </c>
      <c r="C1272" t="s">
        <v>79</v>
      </c>
      <c r="D1272" t="s">
        <v>9228</v>
      </c>
      <c r="E1272" t="s">
        <v>9229</v>
      </c>
      <c r="F1272" t="s">
        <v>3731</v>
      </c>
      <c r="G1272" t="s">
        <v>9230</v>
      </c>
      <c r="H1272" t="s">
        <v>9231</v>
      </c>
      <c r="I1272">
        <f t="shared" ca="1" si="76"/>
        <v>41</v>
      </c>
      <c r="J1272" t="str">
        <f t="shared" ca="1" si="77"/>
        <v>40-49</v>
      </c>
      <c r="K1272">
        <v>113596.86</v>
      </c>
      <c r="L1272" t="str">
        <f>IF(Workforce[[#This Row],[Salary]]&lt;50000,"30k-49k",IF(Workforce[[#This Row],[Salary]]&lt;70000,"50k-69k",IF(Workforce[[#This Row],[Salary]]&lt;90000,"70k-89k","90k+")))</f>
        <v>90k+</v>
      </c>
      <c r="M1272" t="s">
        <v>9232</v>
      </c>
      <c r="N1272">
        <f t="shared" ca="1" si="78"/>
        <v>3</v>
      </c>
      <c r="O1272" t="str">
        <f t="shared" ca="1" si="79"/>
        <v>Intermediate level</v>
      </c>
    </row>
    <row r="1273" spans="1:15" x14ac:dyDescent="0.3">
      <c r="A1273" t="s">
        <v>9233</v>
      </c>
      <c r="B1273" t="s">
        <v>9234</v>
      </c>
      <c r="C1273" t="s">
        <v>124</v>
      </c>
      <c r="D1273" t="s">
        <v>9235</v>
      </c>
      <c r="E1273" t="s">
        <v>9236</v>
      </c>
      <c r="F1273" t="s">
        <v>426</v>
      </c>
      <c r="G1273" t="s">
        <v>9237</v>
      </c>
      <c r="H1273" t="s">
        <v>9238</v>
      </c>
      <c r="I1273">
        <f t="shared" ca="1" si="76"/>
        <v>25</v>
      </c>
      <c r="J1273" t="str">
        <f t="shared" ca="1" si="77"/>
        <v>18-29</v>
      </c>
      <c r="K1273">
        <v>41258.21</v>
      </c>
      <c r="L1273" t="str">
        <f>IF(Workforce[[#This Row],[Salary]]&lt;50000,"30k-49k",IF(Workforce[[#This Row],[Salary]]&lt;70000,"50k-69k",IF(Workforce[[#This Row],[Salary]]&lt;90000,"70k-89k","90k+")))</f>
        <v>30k-49k</v>
      </c>
      <c r="M1273" t="s">
        <v>9239</v>
      </c>
      <c r="N1273">
        <f t="shared" ca="1" si="78"/>
        <v>3</v>
      </c>
      <c r="O1273" t="str">
        <f t="shared" ca="1" si="79"/>
        <v>Intermediate level</v>
      </c>
    </row>
    <row r="1274" spans="1:15" x14ac:dyDescent="0.3">
      <c r="A1274" t="s">
        <v>9240</v>
      </c>
      <c r="B1274" t="s">
        <v>9241</v>
      </c>
      <c r="C1274" t="s">
        <v>317</v>
      </c>
      <c r="D1274" t="s">
        <v>9242</v>
      </c>
      <c r="E1274" t="s">
        <v>9243</v>
      </c>
      <c r="F1274" t="s">
        <v>3804</v>
      </c>
      <c r="G1274" t="s">
        <v>9244</v>
      </c>
      <c r="H1274" t="s">
        <v>9245</v>
      </c>
      <c r="I1274">
        <f t="shared" ca="1" si="76"/>
        <v>46</v>
      </c>
      <c r="J1274" t="str">
        <f t="shared" ca="1" si="77"/>
        <v>40-49</v>
      </c>
      <c r="K1274">
        <v>46336.68</v>
      </c>
      <c r="L1274" t="str">
        <f>IF(Workforce[[#This Row],[Salary]]&lt;50000,"30k-49k",IF(Workforce[[#This Row],[Salary]]&lt;70000,"50k-69k",IF(Workforce[[#This Row],[Salary]]&lt;90000,"70k-89k","90k+")))</f>
        <v>30k-49k</v>
      </c>
      <c r="M1274" t="s">
        <v>9246</v>
      </c>
      <c r="N1274">
        <f t="shared" ca="1" si="78"/>
        <v>6</v>
      </c>
      <c r="O1274" t="str">
        <f t="shared" ca="1" si="79"/>
        <v>Intermediate level</v>
      </c>
    </row>
    <row r="1275" spans="1:15" x14ac:dyDescent="0.3">
      <c r="A1275" t="s">
        <v>9247</v>
      </c>
      <c r="B1275" t="s">
        <v>9248</v>
      </c>
      <c r="C1275" t="s">
        <v>653</v>
      </c>
      <c r="D1275" t="s">
        <v>9249</v>
      </c>
      <c r="E1275" t="s">
        <v>9250</v>
      </c>
      <c r="F1275" t="s">
        <v>3433</v>
      </c>
      <c r="G1275" t="s">
        <v>9251</v>
      </c>
      <c r="H1275" t="s">
        <v>9252</v>
      </c>
      <c r="I1275">
        <f t="shared" ca="1" si="76"/>
        <v>32</v>
      </c>
      <c r="J1275" t="str">
        <f t="shared" ca="1" si="77"/>
        <v>30-39</v>
      </c>
      <c r="K1275">
        <v>40371.040000000001</v>
      </c>
      <c r="L1275" t="str">
        <f>IF(Workforce[[#This Row],[Salary]]&lt;50000,"30k-49k",IF(Workforce[[#This Row],[Salary]]&lt;70000,"50k-69k",IF(Workforce[[#This Row],[Salary]]&lt;90000,"70k-89k","90k+")))</f>
        <v>30k-49k</v>
      </c>
      <c r="M1275" t="s">
        <v>9253</v>
      </c>
      <c r="N1275">
        <f t="shared" ca="1" si="78"/>
        <v>6</v>
      </c>
      <c r="O1275" t="str">
        <f t="shared" ca="1" si="79"/>
        <v>Intermediate level</v>
      </c>
    </row>
    <row r="1276" spans="1:15" x14ac:dyDescent="0.3">
      <c r="A1276" t="s">
        <v>9254</v>
      </c>
      <c r="B1276" t="s">
        <v>9255</v>
      </c>
      <c r="C1276" t="s">
        <v>196</v>
      </c>
      <c r="D1276" t="s">
        <v>9256</v>
      </c>
      <c r="E1276" t="s">
        <v>9257</v>
      </c>
      <c r="F1276" t="s">
        <v>1872</v>
      </c>
      <c r="G1276" t="s">
        <v>9258</v>
      </c>
      <c r="H1276" t="s">
        <v>9259</v>
      </c>
      <c r="I1276">
        <f t="shared" ca="1" si="76"/>
        <v>59</v>
      </c>
      <c r="J1276" t="str">
        <f t="shared" ca="1" si="77"/>
        <v>50-59</v>
      </c>
      <c r="K1276">
        <v>117498.66</v>
      </c>
      <c r="L1276" t="str">
        <f>IF(Workforce[[#This Row],[Salary]]&lt;50000,"30k-49k",IF(Workforce[[#This Row],[Salary]]&lt;70000,"50k-69k",IF(Workforce[[#This Row],[Salary]]&lt;90000,"70k-89k","90k+")))</f>
        <v>90k+</v>
      </c>
      <c r="M1276" t="s">
        <v>4760</v>
      </c>
      <c r="N1276">
        <f t="shared" ca="1" si="78"/>
        <v>2</v>
      </c>
      <c r="O1276" t="str">
        <f t="shared" ca="1" si="79"/>
        <v>Beginner</v>
      </c>
    </row>
    <row r="1277" spans="1:15" x14ac:dyDescent="0.3">
      <c r="A1277" t="s">
        <v>9260</v>
      </c>
      <c r="B1277" t="s">
        <v>9261</v>
      </c>
      <c r="C1277" t="s">
        <v>257</v>
      </c>
      <c r="D1277" t="s">
        <v>9262</v>
      </c>
      <c r="E1277" t="s">
        <v>9263</v>
      </c>
      <c r="F1277" t="s">
        <v>2117</v>
      </c>
      <c r="G1277" t="s">
        <v>1697</v>
      </c>
      <c r="H1277" t="s">
        <v>9264</v>
      </c>
      <c r="I1277">
        <f t="shared" ca="1" si="76"/>
        <v>56</v>
      </c>
      <c r="J1277" t="str">
        <f t="shared" ca="1" si="77"/>
        <v>50-59</v>
      </c>
      <c r="K1277">
        <v>79618</v>
      </c>
      <c r="L1277" t="str">
        <f>IF(Workforce[[#This Row],[Salary]]&lt;50000,"30k-49k",IF(Workforce[[#This Row],[Salary]]&lt;70000,"50k-69k",IF(Workforce[[#This Row],[Salary]]&lt;90000,"70k-89k","90k+")))</f>
        <v>70k-89k</v>
      </c>
      <c r="M1277" t="s">
        <v>9265</v>
      </c>
      <c r="N1277">
        <f t="shared" ca="1" si="78"/>
        <v>6</v>
      </c>
      <c r="O1277" t="str">
        <f t="shared" ca="1" si="79"/>
        <v>Intermediate level</v>
      </c>
    </row>
    <row r="1278" spans="1:15" x14ac:dyDescent="0.3">
      <c r="A1278" t="s">
        <v>9266</v>
      </c>
      <c r="B1278" t="s">
        <v>9267</v>
      </c>
      <c r="C1278" t="s">
        <v>17</v>
      </c>
      <c r="D1278" t="s">
        <v>9268</v>
      </c>
      <c r="E1278" t="s">
        <v>9269</v>
      </c>
      <c r="F1278" t="s">
        <v>9270</v>
      </c>
      <c r="G1278" t="s">
        <v>9271</v>
      </c>
      <c r="H1278" t="s">
        <v>9272</v>
      </c>
      <c r="I1278">
        <f t="shared" ca="1" si="76"/>
        <v>20</v>
      </c>
      <c r="J1278" t="str">
        <f t="shared" ca="1" si="77"/>
        <v>18-29</v>
      </c>
      <c r="K1278">
        <v>30236.45</v>
      </c>
      <c r="L1278" t="str">
        <f>IF(Workforce[[#This Row],[Salary]]&lt;50000,"30k-49k",IF(Workforce[[#This Row],[Salary]]&lt;70000,"50k-69k",IF(Workforce[[#This Row],[Salary]]&lt;90000,"70k-89k","90k+")))</f>
        <v>30k-49k</v>
      </c>
      <c r="M1278" t="s">
        <v>9273</v>
      </c>
      <c r="N1278">
        <f t="shared" ca="1" si="78"/>
        <v>9</v>
      </c>
      <c r="O1278" t="str">
        <f t="shared" ca="1" si="79"/>
        <v>Senior level</v>
      </c>
    </row>
    <row r="1279" spans="1:15" x14ac:dyDescent="0.3">
      <c r="A1279" t="s">
        <v>9274</v>
      </c>
      <c r="B1279" t="s">
        <v>9275</v>
      </c>
      <c r="C1279" t="s">
        <v>1159</v>
      </c>
      <c r="D1279" t="s">
        <v>9276</v>
      </c>
      <c r="E1279" t="s">
        <v>9277</v>
      </c>
      <c r="F1279" t="s">
        <v>9070</v>
      </c>
      <c r="G1279" t="s">
        <v>9278</v>
      </c>
      <c r="H1279" t="s">
        <v>9279</v>
      </c>
      <c r="I1279">
        <f t="shared" ca="1" si="76"/>
        <v>35</v>
      </c>
      <c r="J1279" t="str">
        <f t="shared" ca="1" si="77"/>
        <v>30-39</v>
      </c>
      <c r="K1279">
        <v>37890.29</v>
      </c>
      <c r="L1279" t="str">
        <f>IF(Workforce[[#This Row],[Salary]]&lt;50000,"30k-49k",IF(Workforce[[#This Row],[Salary]]&lt;70000,"50k-69k",IF(Workforce[[#This Row],[Salary]]&lt;90000,"70k-89k","90k+")))</f>
        <v>30k-49k</v>
      </c>
      <c r="M1279" t="s">
        <v>8451</v>
      </c>
      <c r="N1279">
        <f t="shared" ca="1" si="78"/>
        <v>8</v>
      </c>
      <c r="O1279" t="str">
        <f t="shared" ca="1" si="79"/>
        <v>Senior level</v>
      </c>
    </row>
    <row r="1280" spans="1:15" x14ac:dyDescent="0.3">
      <c r="A1280" t="s">
        <v>9280</v>
      </c>
      <c r="B1280" t="s">
        <v>9281</v>
      </c>
      <c r="C1280" t="s">
        <v>106</v>
      </c>
      <c r="D1280" t="s">
        <v>9282</v>
      </c>
      <c r="E1280" t="s">
        <v>9283</v>
      </c>
      <c r="F1280" t="s">
        <v>5439</v>
      </c>
      <c r="G1280" t="s">
        <v>9284</v>
      </c>
      <c r="H1280" t="s">
        <v>9285</v>
      </c>
      <c r="I1280">
        <f t="shared" ca="1" si="76"/>
        <v>39</v>
      </c>
      <c r="J1280" t="str">
        <f t="shared" ca="1" si="77"/>
        <v>30-39</v>
      </c>
      <c r="K1280">
        <v>31854.400000000001</v>
      </c>
      <c r="L1280" t="str">
        <f>IF(Workforce[[#This Row],[Salary]]&lt;50000,"30k-49k",IF(Workforce[[#This Row],[Salary]]&lt;70000,"50k-69k",IF(Workforce[[#This Row],[Salary]]&lt;90000,"70k-89k","90k+")))</f>
        <v>30k-49k</v>
      </c>
      <c r="M1280" t="s">
        <v>9286</v>
      </c>
      <c r="N1280">
        <f t="shared" ca="1" si="78"/>
        <v>4</v>
      </c>
      <c r="O1280" t="str">
        <f t="shared" ca="1" si="79"/>
        <v>Intermediate level</v>
      </c>
    </row>
    <row r="1281" spans="1:15" x14ac:dyDescent="0.3">
      <c r="A1281" t="s">
        <v>9287</v>
      </c>
      <c r="B1281" t="s">
        <v>9288</v>
      </c>
      <c r="C1281" t="s">
        <v>1159</v>
      </c>
      <c r="D1281" t="s">
        <v>9289</v>
      </c>
      <c r="E1281" t="s">
        <v>9290</v>
      </c>
      <c r="F1281" t="s">
        <v>855</v>
      </c>
      <c r="G1281" t="s">
        <v>9291</v>
      </c>
      <c r="H1281" t="s">
        <v>9292</v>
      </c>
      <c r="I1281">
        <f t="shared" ca="1" si="76"/>
        <v>53</v>
      </c>
      <c r="J1281" t="str">
        <f t="shared" ca="1" si="77"/>
        <v>50-59</v>
      </c>
      <c r="K1281">
        <v>44398.45</v>
      </c>
      <c r="L1281" t="str">
        <f>IF(Workforce[[#This Row],[Salary]]&lt;50000,"30k-49k",IF(Workforce[[#This Row],[Salary]]&lt;70000,"50k-69k",IF(Workforce[[#This Row],[Salary]]&lt;90000,"70k-89k","90k+")))</f>
        <v>30k-49k</v>
      </c>
      <c r="M1281" t="s">
        <v>9293</v>
      </c>
      <c r="N1281">
        <f t="shared" ca="1" si="78"/>
        <v>10</v>
      </c>
      <c r="O1281" t="str">
        <f t="shared" ca="1" si="79"/>
        <v>Senior level</v>
      </c>
    </row>
    <row r="1282" spans="1:15" x14ac:dyDescent="0.3">
      <c r="A1282" t="s">
        <v>9294</v>
      </c>
      <c r="B1282" t="s">
        <v>9295</v>
      </c>
      <c r="C1282" t="s">
        <v>44</v>
      </c>
      <c r="D1282" t="s">
        <v>9296</v>
      </c>
      <c r="E1282" t="s">
        <v>9297</v>
      </c>
      <c r="F1282" t="s">
        <v>9298</v>
      </c>
      <c r="G1282" t="s">
        <v>9299</v>
      </c>
      <c r="H1282" t="s">
        <v>9300</v>
      </c>
      <c r="I1282">
        <f t="shared" ref="I1282:I1345" ca="1" si="80">DATEDIF(H1282,TODAY(),"y")</f>
        <v>40</v>
      </c>
      <c r="J1282" t="str">
        <f t="shared" ref="J1282:J1345" ca="1" si="81">IF(I1282&lt;30,"18-29",IF(I1282&lt;40,"30-39",IF(I1282&lt;50,"40-49",IF(I1282&lt;60,"50-59","60+"))))</f>
        <v>40-49</v>
      </c>
      <c r="K1282">
        <v>38560.01</v>
      </c>
      <c r="L1282" t="str">
        <f>IF(Workforce[[#This Row],[Salary]]&lt;50000,"30k-49k",IF(Workforce[[#This Row],[Salary]]&lt;70000,"50k-69k",IF(Workforce[[#This Row],[Salary]]&lt;90000,"70k-89k","90k+")))</f>
        <v>30k-49k</v>
      </c>
      <c r="M1282" t="s">
        <v>1025</v>
      </c>
      <c r="N1282">
        <f t="shared" ref="N1282:N1345" ca="1" si="82">DATEDIF(M1282,TODAY(),"y")</f>
        <v>3</v>
      </c>
      <c r="O1282" t="str">
        <f t="shared" ref="O1282:O1345" ca="1" si="83">IF(N1282&lt;=2,"Beginner",IF(N1282&lt;=6,"Intermediate level","Senior level"))</f>
        <v>Intermediate level</v>
      </c>
    </row>
    <row r="1283" spans="1:15" x14ac:dyDescent="0.3">
      <c r="A1283" t="s">
        <v>9301</v>
      </c>
      <c r="B1283" t="s">
        <v>9302</v>
      </c>
      <c r="C1283" t="s">
        <v>160</v>
      </c>
      <c r="D1283" t="s">
        <v>9303</v>
      </c>
      <c r="E1283" t="s">
        <v>9304</v>
      </c>
      <c r="F1283" t="s">
        <v>4836</v>
      </c>
      <c r="G1283" t="s">
        <v>9305</v>
      </c>
      <c r="H1283" t="s">
        <v>9306</v>
      </c>
      <c r="I1283">
        <f t="shared" ca="1" si="80"/>
        <v>63</v>
      </c>
      <c r="J1283" t="str">
        <f t="shared" ca="1" si="81"/>
        <v>60+</v>
      </c>
      <c r="K1283">
        <v>107514.07</v>
      </c>
      <c r="L1283" t="str">
        <f>IF(Workforce[[#This Row],[Salary]]&lt;50000,"30k-49k",IF(Workforce[[#This Row],[Salary]]&lt;70000,"50k-69k",IF(Workforce[[#This Row],[Salary]]&lt;90000,"70k-89k","90k+")))</f>
        <v>90k+</v>
      </c>
      <c r="M1283" t="s">
        <v>381</v>
      </c>
      <c r="N1283">
        <f t="shared" ca="1" si="82"/>
        <v>7</v>
      </c>
      <c r="O1283" t="str">
        <f t="shared" ca="1" si="83"/>
        <v>Senior level</v>
      </c>
    </row>
    <row r="1284" spans="1:15" x14ac:dyDescent="0.3">
      <c r="A1284" t="s">
        <v>9307</v>
      </c>
      <c r="B1284" t="s">
        <v>9308</v>
      </c>
      <c r="C1284" t="s">
        <v>266</v>
      </c>
      <c r="D1284" t="s">
        <v>9309</v>
      </c>
      <c r="E1284" t="s">
        <v>9310</v>
      </c>
      <c r="F1284" t="s">
        <v>136</v>
      </c>
      <c r="G1284" t="s">
        <v>9311</v>
      </c>
      <c r="H1284" t="s">
        <v>9312</v>
      </c>
      <c r="I1284">
        <f t="shared" ca="1" si="80"/>
        <v>24</v>
      </c>
      <c r="J1284" t="str">
        <f t="shared" ca="1" si="81"/>
        <v>18-29</v>
      </c>
      <c r="K1284">
        <v>93991.2</v>
      </c>
      <c r="L1284" t="str">
        <f>IF(Workforce[[#This Row],[Salary]]&lt;50000,"30k-49k",IF(Workforce[[#This Row],[Salary]]&lt;70000,"50k-69k",IF(Workforce[[#This Row],[Salary]]&lt;90000,"70k-89k","90k+")))</f>
        <v>90k+</v>
      </c>
      <c r="M1284" t="s">
        <v>9313</v>
      </c>
      <c r="N1284">
        <f t="shared" ca="1" si="82"/>
        <v>3</v>
      </c>
      <c r="O1284" t="str">
        <f t="shared" ca="1" si="83"/>
        <v>Intermediate level</v>
      </c>
    </row>
    <row r="1285" spans="1:15" x14ac:dyDescent="0.3">
      <c r="A1285" t="s">
        <v>9314</v>
      </c>
      <c r="B1285" t="s">
        <v>9315</v>
      </c>
      <c r="C1285" t="s">
        <v>995</v>
      </c>
      <c r="D1285" t="s">
        <v>9316</v>
      </c>
      <c r="E1285" t="s">
        <v>9317</v>
      </c>
      <c r="F1285" t="s">
        <v>9318</v>
      </c>
      <c r="G1285" t="s">
        <v>9319</v>
      </c>
      <c r="H1285" t="s">
        <v>9320</v>
      </c>
      <c r="I1285">
        <f t="shared" ca="1" si="80"/>
        <v>39</v>
      </c>
      <c r="J1285" t="str">
        <f t="shared" ca="1" si="81"/>
        <v>30-39</v>
      </c>
      <c r="K1285">
        <v>109047.7</v>
      </c>
      <c r="L1285" t="str">
        <f>IF(Workforce[[#This Row],[Salary]]&lt;50000,"30k-49k",IF(Workforce[[#This Row],[Salary]]&lt;70000,"50k-69k",IF(Workforce[[#This Row],[Salary]]&lt;90000,"70k-89k","90k+")))</f>
        <v>90k+</v>
      </c>
      <c r="M1285" t="s">
        <v>4243</v>
      </c>
      <c r="N1285">
        <f t="shared" ca="1" si="82"/>
        <v>1</v>
      </c>
      <c r="O1285" t="str">
        <f t="shared" ca="1" si="83"/>
        <v>Beginner</v>
      </c>
    </row>
    <row r="1286" spans="1:15" x14ac:dyDescent="0.3">
      <c r="A1286" t="s">
        <v>9321</v>
      </c>
      <c r="B1286" t="s">
        <v>9322</v>
      </c>
      <c r="C1286" t="s">
        <v>26</v>
      </c>
      <c r="D1286" t="s">
        <v>9323</v>
      </c>
      <c r="E1286" t="s">
        <v>9324</v>
      </c>
      <c r="F1286" t="s">
        <v>5477</v>
      </c>
      <c r="G1286" t="s">
        <v>9325</v>
      </c>
      <c r="H1286" t="s">
        <v>9326</v>
      </c>
      <c r="I1286">
        <f t="shared" ca="1" si="80"/>
        <v>62</v>
      </c>
      <c r="J1286" t="str">
        <f t="shared" ca="1" si="81"/>
        <v>60+</v>
      </c>
      <c r="K1286">
        <v>33295.870000000003</v>
      </c>
      <c r="L1286" t="str">
        <f>IF(Workforce[[#This Row],[Salary]]&lt;50000,"30k-49k",IF(Workforce[[#This Row],[Salary]]&lt;70000,"50k-69k",IF(Workforce[[#This Row],[Salary]]&lt;90000,"70k-89k","90k+")))</f>
        <v>30k-49k</v>
      </c>
      <c r="M1286" t="s">
        <v>9327</v>
      </c>
      <c r="N1286">
        <f t="shared" ca="1" si="82"/>
        <v>7</v>
      </c>
      <c r="O1286" t="str">
        <f t="shared" ca="1" si="83"/>
        <v>Senior level</v>
      </c>
    </row>
    <row r="1287" spans="1:15" x14ac:dyDescent="0.3">
      <c r="A1287" t="s">
        <v>9328</v>
      </c>
      <c r="B1287" t="s">
        <v>9329</v>
      </c>
      <c r="C1287" t="s">
        <v>539</v>
      </c>
      <c r="D1287" t="s">
        <v>9330</v>
      </c>
      <c r="E1287" t="s">
        <v>9331</v>
      </c>
      <c r="F1287" t="s">
        <v>751</v>
      </c>
      <c r="G1287" t="s">
        <v>9332</v>
      </c>
      <c r="H1287" t="s">
        <v>9333</v>
      </c>
      <c r="I1287">
        <f t="shared" ca="1" si="80"/>
        <v>20</v>
      </c>
      <c r="J1287" t="str">
        <f t="shared" ca="1" si="81"/>
        <v>18-29</v>
      </c>
      <c r="K1287">
        <v>35348.75</v>
      </c>
      <c r="L1287" t="str">
        <f>IF(Workforce[[#This Row],[Salary]]&lt;50000,"30k-49k",IF(Workforce[[#This Row],[Salary]]&lt;70000,"50k-69k",IF(Workforce[[#This Row],[Salary]]&lt;90000,"70k-89k","90k+")))</f>
        <v>30k-49k</v>
      </c>
      <c r="M1287" t="s">
        <v>9334</v>
      </c>
      <c r="N1287">
        <f t="shared" ca="1" si="82"/>
        <v>1</v>
      </c>
      <c r="O1287" t="str">
        <f t="shared" ca="1" si="83"/>
        <v>Beginner</v>
      </c>
    </row>
    <row r="1288" spans="1:15" x14ac:dyDescent="0.3">
      <c r="A1288" t="s">
        <v>9335</v>
      </c>
      <c r="B1288" t="s">
        <v>9336</v>
      </c>
      <c r="C1288" t="s">
        <v>257</v>
      </c>
      <c r="D1288" t="s">
        <v>9337</v>
      </c>
      <c r="E1288" t="s">
        <v>9338</v>
      </c>
      <c r="F1288" t="s">
        <v>6399</v>
      </c>
      <c r="G1288" t="s">
        <v>9339</v>
      </c>
      <c r="H1288" t="s">
        <v>9340</v>
      </c>
      <c r="I1288">
        <f t="shared" ca="1" si="80"/>
        <v>55</v>
      </c>
      <c r="J1288" t="str">
        <f t="shared" ca="1" si="81"/>
        <v>50-59</v>
      </c>
      <c r="K1288">
        <v>99604.47</v>
      </c>
      <c r="L1288" t="str">
        <f>IF(Workforce[[#This Row],[Salary]]&lt;50000,"30k-49k",IF(Workforce[[#This Row],[Salary]]&lt;70000,"50k-69k",IF(Workforce[[#This Row],[Salary]]&lt;90000,"70k-89k","90k+")))</f>
        <v>90k+</v>
      </c>
      <c r="M1288" t="s">
        <v>9341</v>
      </c>
      <c r="N1288">
        <f t="shared" ca="1" si="82"/>
        <v>7</v>
      </c>
      <c r="O1288" t="str">
        <f t="shared" ca="1" si="83"/>
        <v>Senior level</v>
      </c>
    </row>
    <row r="1289" spans="1:15" x14ac:dyDescent="0.3">
      <c r="A1289" t="s">
        <v>5906</v>
      </c>
      <c r="B1289" t="s">
        <v>9342</v>
      </c>
      <c r="C1289" t="s">
        <v>17</v>
      </c>
      <c r="D1289" t="s">
        <v>9343</v>
      </c>
      <c r="E1289" t="s">
        <v>9344</v>
      </c>
      <c r="F1289" t="s">
        <v>8319</v>
      </c>
      <c r="G1289" t="s">
        <v>9345</v>
      </c>
      <c r="H1289" t="s">
        <v>9346</v>
      </c>
      <c r="I1289">
        <f t="shared" ca="1" si="80"/>
        <v>33</v>
      </c>
      <c r="J1289" t="str">
        <f t="shared" ca="1" si="81"/>
        <v>30-39</v>
      </c>
      <c r="K1289">
        <v>35334.57</v>
      </c>
      <c r="L1289" t="str">
        <f>IF(Workforce[[#This Row],[Salary]]&lt;50000,"30k-49k",IF(Workforce[[#This Row],[Salary]]&lt;70000,"50k-69k",IF(Workforce[[#This Row],[Salary]]&lt;90000,"70k-89k","90k+")))</f>
        <v>30k-49k</v>
      </c>
      <c r="M1289" t="s">
        <v>9347</v>
      </c>
      <c r="N1289">
        <f t="shared" ca="1" si="82"/>
        <v>2</v>
      </c>
      <c r="O1289" t="str">
        <f t="shared" ca="1" si="83"/>
        <v>Beginner</v>
      </c>
    </row>
    <row r="1290" spans="1:15" x14ac:dyDescent="0.3">
      <c r="A1290" t="s">
        <v>9348</v>
      </c>
      <c r="B1290" t="s">
        <v>9349</v>
      </c>
      <c r="C1290" t="s">
        <v>440</v>
      </c>
      <c r="D1290" t="s">
        <v>9350</v>
      </c>
      <c r="E1290" t="s">
        <v>9351</v>
      </c>
      <c r="F1290" t="s">
        <v>542</v>
      </c>
      <c r="G1290" t="s">
        <v>9352</v>
      </c>
      <c r="H1290" t="s">
        <v>9353</v>
      </c>
      <c r="I1290">
        <f t="shared" ca="1" si="80"/>
        <v>31</v>
      </c>
      <c r="J1290" t="str">
        <f t="shared" ca="1" si="81"/>
        <v>30-39</v>
      </c>
      <c r="K1290">
        <v>55609.15</v>
      </c>
      <c r="L1290" t="str">
        <f>IF(Workforce[[#This Row],[Salary]]&lt;50000,"30k-49k",IF(Workforce[[#This Row],[Salary]]&lt;70000,"50k-69k",IF(Workforce[[#This Row],[Salary]]&lt;90000,"70k-89k","90k+")))</f>
        <v>50k-69k</v>
      </c>
      <c r="M1290" t="s">
        <v>9354</v>
      </c>
      <c r="N1290">
        <f t="shared" ca="1" si="82"/>
        <v>9</v>
      </c>
      <c r="O1290" t="str">
        <f t="shared" ca="1" si="83"/>
        <v>Senior level</v>
      </c>
    </row>
    <row r="1291" spans="1:15" x14ac:dyDescent="0.3">
      <c r="A1291" t="s">
        <v>9355</v>
      </c>
      <c r="B1291" t="s">
        <v>9356</v>
      </c>
      <c r="C1291" t="s">
        <v>457</v>
      </c>
      <c r="D1291" t="s">
        <v>9357</v>
      </c>
      <c r="E1291" t="s">
        <v>9358</v>
      </c>
      <c r="F1291" t="s">
        <v>9359</v>
      </c>
      <c r="G1291" t="s">
        <v>9360</v>
      </c>
      <c r="H1291" t="s">
        <v>6477</v>
      </c>
      <c r="I1291">
        <f t="shared" ca="1" si="80"/>
        <v>49</v>
      </c>
      <c r="J1291" t="str">
        <f t="shared" ca="1" si="81"/>
        <v>40-49</v>
      </c>
      <c r="K1291">
        <v>96454.54</v>
      </c>
      <c r="L1291" t="str">
        <f>IF(Workforce[[#This Row],[Salary]]&lt;50000,"30k-49k",IF(Workforce[[#This Row],[Salary]]&lt;70000,"50k-69k",IF(Workforce[[#This Row],[Salary]]&lt;90000,"70k-89k","90k+")))</f>
        <v>90k+</v>
      </c>
      <c r="M1291" t="s">
        <v>9361</v>
      </c>
      <c r="N1291">
        <f t="shared" ca="1" si="82"/>
        <v>8</v>
      </c>
      <c r="O1291" t="str">
        <f t="shared" ca="1" si="83"/>
        <v>Senior level</v>
      </c>
    </row>
    <row r="1292" spans="1:15" x14ac:dyDescent="0.3">
      <c r="A1292" t="s">
        <v>9362</v>
      </c>
      <c r="B1292" t="s">
        <v>9363</v>
      </c>
      <c r="C1292" t="s">
        <v>580</v>
      </c>
      <c r="D1292" t="s">
        <v>9364</v>
      </c>
      <c r="E1292" t="s">
        <v>9365</v>
      </c>
      <c r="F1292" t="s">
        <v>4387</v>
      </c>
      <c r="G1292" t="s">
        <v>9366</v>
      </c>
      <c r="H1292" t="s">
        <v>9367</v>
      </c>
      <c r="I1292">
        <f t="shared" ca="1" si="80"/>
        <v>20</v>
      </c>
      <c r="J1292" t="str">
        <f t="shared" ca="1" si="81"/>
        <v>18-29</v>
      </c>
      <c r="K1292">
        <v>69156</v>
      </c>
      <c r="L1292" t="str">
        <f>IF(Workforce[[#This Row],[Salary]]&lt;50000,"30k-49k",IF(Workforce[[#This Row],[Salary]]&lt;70000,"50k-69k",IF(Workforce[[#This Row],[Salary]]&lt;90000,"70k-89k","90k+")))</f>
        <v>50k-69k</v>
      </c>
      <c r="M1292" t="s">
        <v>9368</v>
      </c>
      <c r="N1292">
        <f t="shared" ca="1" si="82"/>
        <v>4</v>
      </c>
      <c r="O1292" t="str">
        <f t="shared" ca="1" si="83"/>
        <v>Intermediate level</v>
      </c>
    </row>
    <row r="1293" spans="1:15" x14ac:dyDescent="0.3">
      <c r="A1293" t="s">
        <v>9369</v>
      </c>
      <c r="B1293" t="s">
        <v>9370</v>
      </c>
      <c r="C1293" t="s">
        <v>653</v>
      </c>
      <c r="D1293" t="s">
        <v>9371</v>
      </c>
      <c r="E1293" t="s">
        <v>9372</v>
      </c>
      <c r="F1293" t="s">
        <v>9373</v>
      </c>
      <c r="G1293" t="s">
        <v>1974</v>
      </c>
      <c r="H1293" t="s">
        <v>9374</v>
      </c>
      <c r="I1293">
        <f t="shared" ca="1" si="80"/>
        <v>23</v>
      </c>
      <c r="J1293" t="str">
        <f t="shared" ca="1" si="81"/>
        <v>18-29</v>
      </c>
      <c r="K1293">
        <v>78560.679999999993</v>
      </c>
      <c r="L1293" t="str">
        <f>IF(Workforce[[#This Row],[Salary]]&lt;50000,"30k-49k",IF(Workforce[[#This Row],[Salary]]&lt;70000,"50k-69k",IF(Workforce[[#This Row],[Salary]]&lt;90000,"70k-89k","90k+")))</f>
        <v>70k-89k</v>
      </c>
      <c r="M1293" t="s">
        <v>1331</v>
      </c>
      <c r="N1293">
        <f t="shared" ca="1" si="82"/>
        <v>2</v>
      </c>
      <c r="O1293" t="str">
        <f t="shared" ca="1" si="83"/>
        <v>Beginner</v>
      </c>
    </row>
    <row r="1294" spans="1:15" x14ac:dyDescent="0.3">
      <c r="A1294" t="s">
        <v>9375</v>
      </c>
      <c r="B1294" t="s">
        <v>9376</v>
      </c>
      <c r="C1294" t="s">
        <v>653</v>
      </c>
      <c r="D1294" t="s">
        <v>9377</v>
      </c>
      <c r="E1294" t="s">
        <v>9378</v>
      </c>
      <c r="F1294" t="s">
        <v>8805</v>
      </c>
      <c r="G1294" t="s">
        <v>9379</v>
      </c>
      <c r="H1294" t="s">
        <v>9380</v>
      </c>
      <c r="I1294">
        <f t="shared" ca="1" si="80"/>
        <v>56</v>
      </c>
      <c r="J1294" t="str">
        <f t="shared" ca="1" si="81"/>
        <v>50-59</v>
      </c>
      <c r="K1294">
        <v>53857.84</v>
      </c>
      <c r="L1294" t="str">
        <f>IF(Workforce[[#This Row],[Salary]]&lt;50000,"30k-49k",IF(Workforce[[#This Row],[Salary]]&lt;70000,"50k-69k",IF(Workforce[[#This Row],[Salary]]&lt;90000,"70k-89k","90k+")))</f>
        <v>50k-69k</v>
      </c>
      <c r="M1294" t="s">
        <v>8879</v>
      </c>
      <c r="N1294">
        <f t="shared" ca="1" si="82"/>
        <v>7</v>
      </c>
      <c r="O1294" t="str">
        <f t="shared" ca="1" si="83"/>
        <v>Senior level</v>
      </c>
    </row>
    <row r="1295" spans="1:15" x14ac:dyDescent="0.3">
      <c r="A1295" t="s">
        <v>4672</v>
      </c>
      <c r="B1295" t="s">
        <v>9381</v>
      </c>
      <c r="C1295" t="s">
        <v>169</v>
      </c>
      <c r="D1295" t="s">
        <v>9382</v>
      </c>
      <c r="E1295" t="s">
        <v>9383</v>
      </c>
      <c r="F1295" t="s">
        <v>5053</v>
      </c>
      <c r="G1295" t="s">
        <v>9384</v>
      </c>
      <c r="H1295" t="s">
        <v>9385</v>
      </c>
      <c r="I1295">
        <f t="shared" ca="1" si="80"/>
        <v>55</v>
      </c>
      <c r="J1295" t="str">
        <f t="shared" ca="1" si="81"/>
        <v>50-59</v>
      </c>
      <c r="K1295">
        <v>30119.21</v>
      </c>
      <c r="L1295" t="str">
        <f>IF(Workforce[[#This Row],[Salary]]&lt;50000,"30k-49k",IF(Workforce[[#This Row],[Salary]]&lt;70000,"50k-69k",IF(Workforce[[#This Row],[Salary]]&lt;90000,"70k-89k","90k+")))</f>
        <v>30k-49k</v>
      </c>
      <c r="M1295" t="s">
        <v>9386</v>
      </c>
      <c r="N1295">
        <f t="shared" ca="1" si="82"/>
        <v>8</v>
      </c>
      <c r="O1295" t="str">
        <f t="shared" ca="1" si="83"/>
        <v>Senior level</v>
      </c>
    </row>
    <row r="1296" spans="1:15" x14ac:dyDescent="0.3">
      <c r="A1296" t="s">
        <v>9387</v>
      </c>
      <c r="B1296" t="s">
        <v>9388</v>
      </c>
      <c r="C1296" t="s">
        <v>326</v>
      </c>
      <c r="D1296" t="s">
        <v>9389</v>
      </c>
      <c r="E1296" t="s">
        <v>9390</v>
      </c>
      <c r="F1296" t="s">
        <v>55</v>
      </c>
      <c r="G1296" t="s">
        <v>9391</v>
      </c>
      <c r="H1296" t="s">
        <v>9392</v>
      </c>
      <c r="I1296">
        <f t="shared" ca="1" si="80"/>
        <v>34</v>
      </c>
      <c r="J1296" t="str">
        <f t="shared" ca="1" si="81"/>
        <v>30-39</v>
      </c>
      <c r="K1296">
        <v>56949.279999999999</v>
      </c>
      <c r="L1296" t="str">
        <f>IF(Workforce[[#This Row],[Salary]]&lt;50000,"30k-49k",IF(Workforce[[#This Row],[Salary]]&lt;70000,"50k-69k",IF(Workforce[[#This Row],[Salary]]&lt;90000,"70k-89k","90k+")))</f>
        <v>50k-69k</v>
      </c>
      <c r="M1296" t="s">
        <v>1189</v>
      </c>
      <c r="N1296">
        <f t="shared" ca="1" si="82"/>
        <v>4</v>
      </c>
      <c r="O1296" t="str">
        <f t="shared" ca="1" si="83"/>
        <v>Intermediate level</v>
      </c>
    </row>
    <row r="1297" spans="1:15" x14ac:dyDescent="0.3">
      <c r="A1297" t="s">
        <v>9393</v>
      </c>
      <c r="B1297" t="s">
        <v>9394</v>
      </c>
      <c r="C1297" t="s">
        <v>774</v>
      </c>
      <c r="D1297" t="s">
        <v>9395</v>
      </c>
      <c r="E1297" t="s">
        <v>9396</v>
      </c>
      <c r="F1297" t="s">
        <v>3456</v>
      </c>
      <c r="G1297" t="s">
        <v>9397</v>
      </c>
      <c r="H1297" t="s">
        <v>9398</v>
      </c>
      <c r="I1297">
        <f t="shared" ca="1" si="80"/>
        <v>42</v>
      </c>
      <c r="J1297" t="str">
        <f t="shared" ca="1" si="81"/>
        <v>40-49</v>
      </c>
      <c r="K1297">
        <v>101926.03</v>
      </c>
      <c r="L1297" t="str">
        <f>IF(Workforce[[#This Row],[Salary]]&lt;50000,"30k-49k",IF(Workforce[[#This Row],[Salary]]&lt;70000,"50k-69k",IF(Workforce[[#This Row],[Salary]]&lt;90000,"70k-89k","90k+")))</f>
        <v>90k+</v>
      </c>
      <c r="M1297" t="s">
        <v>7490</v>
      </c>
      <c r="N1297">
        <f t="shared" ca="1" si="82"/>
        <v>5</v>
      </c>
      <c r="O1297" t="str">
        <f t="shared" ca="1" si="83"/>
        <v>Intermediate level</v>
      </c>
    </row>
    <row r="1298" spans="1:15" x14ac:dyDescent="0.3">
      <c r="A1298" t="s">
        <v>9399</v>
      </c>
      <c r="B1298" t="s">
        <v>9400</v>
      </c>
      <c r="C1298" t="s">
        <v>70</v>
      </c>
      <c r="D1298" t="s">
        <v>9401</v>
      </c>
      <c r="E1298" t="s">
        <v>9402</v>
      </c>
      <c r="F1298" t="s">
        <v>3500</v>
      </c>
      <c r="G1298" t="s">
        <v>3704</v>
      </c>
      <c r="H1298" t="s">
        <v>9403</v>
      </c>
      <c r="I1298">
        <f t="shared" ca="1" si="80"/>
        <v>35</v>
      </c>
      <c r="J1298" t="str">
        <f t="shared" ca="1" si="81"/>
        <v>30-39</v>
      </c>
      <c r="K1298">
        <v>30407.94</v>
      </c>
      <c r="L1298" t="str">
        <f>IF(Workforce[[#This Row],[Salary]]&lt;50000,"30k-49k",IF(Workforce[[#This Row],[Salary]]&lt;70000,"50k-69k",IF(Workforce[[#This Row],[Salary]]&lt;90000,"70k-89k","90k+")))</f>
        <v>30k-49k</v>
      </c>
      <c r="M1298" t="s">
        <v>9404</v>
      </c>
      <c r="N1298">
        <f t="shared" ca="1" si="82"/>
        <v>3</v>
      </c>
      <c r="O1298" t="str">
        <f t="shared" ca="1" si="83"/>
        <v>Intermediate level</v>
      </c>
    </row>
    <row r="1299" spans="1:15" x14ac:dyDescent="0.3">
      <c r="A1299" t="s">
        <v>9405</v>
      </c>
      <c r="B1299" t="s">
        <v>9406</v>
      </c>
      <c r="C1299" t="s">
        <v>169</v>
      </c>
      <c r="D1299" t="s">
        <v>9407</v>
      </c>
      <c r="E1299" t="s">
        <v>9408</v>
      </c>
      <c r="F1299" t="s">
        <v>9409</v>
      </c>
      <c r="G1299" t="s">
        <v>9410</v>
      </c>
      <c r="H1299" t="s">
        <v>9411</v>
      </c>
      <c r="I1299">
        <f t="shared" ca="1" si="80"/>
        <v>64</v>
      </c>
      <c r="J1299" t="str">
        <f t="shared" ca="1" si="81"/>
        <v>60+</v>
      </c>
      <c r="K1299">
        <v>119128.83</v>
      </c>
      <c r="L1299" t="str">
        <f>IF(Workforce[[#This Row],[Salary]]&lt;50000,"30k-49k",IF(Workforce[[#This Row],[Salary]]&lt;70000,"50k-69k",IF(Workforce[[#This Row],[Salary]]&lt;90000,"70k-89k","90k+")))</f>
        <v>90k+</v>
      </c>
      <c r="M1299" t="s">
        <v>9412</v>
      </c>
      <c r="N1299">
        <f t="shared" ca="1" si="82"/>
        <v>7</v>
      </c>
      <c r="O1299" t="str">
        <f t="shared" ca="1" si="83"/>
        <v>Senior level</v>
      </c>
    </row>
    <row r="1300" spans="1:15" x14ac:dyDescent="0.3">
      <c r="A1300" t="s">
        <v>9413</v>
      </c>
      <c r="B1300" t="s">
        <v>9414</v>
      </c>
      <c r="C1300" t="s">
        <v>187</v>
      </c>
      <c r="D1300" t="s">
        <v>9415</v>
      </c>
      <c r="E1300" t="s">
        <v>9416</v>
      </c>
      <c r="F1300" t="s">
        <v>5516</v>
      </c>
      <c r="G1300" t="s">
        <v>9417</v>
      </c>
      <c r="H1300" t="s">
        <v>9418</v>
      </c>
      <c r="I1300">
        <f t="shared" ca="1" si="80"/>
        <v>37</v>
      </c>
      <c r="J1300" t="str">
        <f t="shared" ca="1" si="81"/>
        <v>30-39</v>
      </c>
      <c r="K1300">
        <v>31475.93</v>
      </c>
      <c r="L1300" t="str">
        <f>IF(Workforce[[#This Row],[Salary]]&lt;50000,"30k-49k",IF(Workforce[[#This Row],[Salary]]&lt;70000,"50k-69k",IF(Workforce[[#This Row],[Salary]]&lt;90000,"70k-89k","90k+")))</f>
        <v>30k-49k</v>
      </c>
      <c r="M1300" t="s">
        <v>9419</v>
      </c>
      <c r="N1300">
        <f t="shared" ca="1" si="82"/>
        <v>3</v>
      </c>
      <c r="O1300" t="str">
        <f t="shared" ca="1" si="83"/>
        <v>Intermediate level</v>
      </c>
    </row>
    <row r="1301" spans="1:15" x14ac:dyDescent="0.3">
      <c r="A1301" t="s">
        <v>9420</v>
      </c>
      <c r="B1301" t="s">
        <v>9421</v>
      </c>
      <c r="C1301" t="s">
        <v>1159</v>
      </c>
      <c r="D1301" t="s">
        <v>9422</v>
      </c>
      <c r="E1301" t="s">
        <v>9423</v>
      </c>
      <c r="F1301" t="s">
        <v>4023</v>
      </c>
      <c r="G1301" t="s">
        <v>9424</v>
      </c>
      <c r="H1301" t="s">
        <v>9425</v>
      </c>
      <c r="I1301">
        <f t="shared" ca="1" si="80"/>
        <v>31</v>
      </c>
      <c r="J1301" t="str">
        <f t="shared" ca="1" si="81"/>
        <v>30-39</v>
      </c>
      <c r="K1301">
        <v>87775.29</v>
      </c>
      <c r="L1301" t="str">
        <f>IF(Workforce[[#This Row],[Salary]]&lt;50000,"30k-49k",IF(Workforce[[#This Row],[Salary]]&lt;70000,"50k-69k",IF(Workforce[[#This Row],[Salary]]&lt;90000,"70k-89k","90k+")))</f>
        <v>70k-89k</v>
      </c>
      <c r="M1301" t="s">
        <v>9426</v>
      </c>
      <c r="N1301">
        <f t="shared" ca="1" si="82"/>
        <v>8</v>
      </c>
      <c r="O1301" t="str">
        <f t="shared" ca="1" si="83"/>
        <v>Senior level</v>
      </c>
    </row>
    <row r="1302" spans="1:15" x14ac:dyDescent="0.3">
      <c r="A1302" t="s">
        <v>9427</v>
      </c>
      <c r="B1302" t="s">
        <v>9428</v>
      </c>
      <c r="C1302" t="s">
        <v>196</v>
      </c>
      <c r="D1302" t="s">
        <v>9429</v>
      </c>
      <c r="E1302" t="s">
        <v>9430</v>
      </c>
      <c r="F1302" t="s">
        <v>1107</v>
      </c>
      <c r="G1302" t="s">
        <v>9431</v>
      </c>
      <c r="H1302" t="s">
        <v>9432</v>
      </c>
      <c r="I1302">
        <f t="shared" ca="1" si="80"/>
        <v>29</v>
      </c>
      <c r="J1302" t="str">
        <f t="shared" ca="1" si="81"/>
        <v>18-29</v>
      </c>
      <c r="K1302">
        <v>112831.69</v>
      </c>
      <c r="L1302" t="str">
        <f>IF(Workforce[[#This Row],[Salary]]&lt;50000,"30k-49k",IF(Workforce[[#This Row],[Salary]]&lt;70000,"50k-69k",IF(Workforce[[#This Row],[Salary]]&lt;90000,"70k-89k","90k+")))</f>
        <v>90k+</v>
      </c>
      <c r="M1302" t="s">
        <v>7814</v>
      </c>
      <c r="N1302">
        <f t="shared" ca="1" si="82"/>
        <v>2</v>
      </c>
      <c r="O1302" t="str">
        <f t="shared" ca="1" si="83"/>
        <v>Beginner</v>
      </c>
    </row>
    <row r="1303" spans="1:15" x14ac:dyDescent="0.3">
      <c r="A1303" t="s">
        <v>9433</v>
      </c>
      <c r="B1303" t="s">
        <v>9434</v>
      </c>
      <c r="C1303" t="s">
        <v>115</v>
      </c>
      <c r="D1303" t="s">
        <v>9435</v>
      </c>
      <c r="E1303" t="s">
        <v>9436</v>
      </c>
      <c r="F1303" t="s">
        <v>3087</v>
      </c>
      <c r="G1303" t="s">
        <v>9437</v>
      </c>
      <c r="H1303" t="s">
        <v>9438</v>
      </c>
      <c r="I1303">
        <f t="shared" ca="1" si="80"/>
        <v>52</v>
      </c>
      <c r="J1303" t="str">
        <f t="shared" ca="1" si="81"/>
        <v>50-59</v>
      </c>
      <c r="K1303">
        <v>106311.51</v>
      </c>
      <c r="L1303" t="str">
        <f>IF(Workforce[[#This Row],[Salary]]&lt;50000,"30k-49k",IF(Workforce[[#This Row],[Salary]]&lt;70000,"50k-69k",IF(Workforce[[#This Row],[Salary]]&lt;90000,"70k-89k","90k+")))</f>
        <v>90k+</v>
      </c>
      <c r="M1303" t="s">
        <v>6544</v>
      </c>
      <c r="N1303">
        <f t="shared" ca="1" si="82"/>
        <v>6</v>
      </c>
      <c r="O1303" t="str">
        <f t="shared" ca="1" si="83"/>
        <v>Intermediate level</v>
      </c>
    </row>
    <row r="1304" spans="1:15" x14ac:dyDescent="0.3">
      <c r="A1304" t="s">
        <v>9439</v>
      </c>
      <c r="B1304" t="s">
        <v>9440</v>
      </c>
      <c r="C1304" t="s">
        <v>44</v>
      </c>
      <c r="D1304" t="s">
        <v>9441</v>
      </c>
      <c r="E1304" t="s">
        <v>9442</v>
      </c>
      <c r="F1304" t="s">
        <v>4278</v>
      </c>
      <c r="G1304" t="s">
        <v>9443</v>
      </c>
      <c r="H1304" t="s">
        <v>9444</v>
      </c>
      <c r="I1304">
        <f t="shared" ca="1" si="80"/>
        <v>60</v>
      </c>
      <c r="J1304" t="str">
        <f t="shared" ca="1" si="81"/>
        <v>60+</v>
      </c>
      <c r="K1304">
        <v>46489.65</v>
      </c>
      <c r="L1304" t="str">
        <f>IF(Workforce[[#This Row],[Salary]]&lt;50000,"30k-49k",IF(Workforce[[#This Row],[Salary]]&lt;70000,"50k-69k",IF(Workforce[[#This Row],[Salary]]&lt;90000,"70k-89k","90k+")))</f>
        <v>30k-49k</v>
      </c>
      <c r="M1304" t="s">
        <v>2843</v>
      </c>
      <c r="N1304">
        <f t="shared" ca="1" si="82"/>
        <v>2</v>
      </c>
      <c r="O1304" t="str">
        <f t="shared" ca="1" si="83"/>
        <v>Beginner</v>
      </c>
    </row>
    <row r="1305" spans="1:15" x14ac:dyDescent="0.3">
      <c r="A1305" t="s">
        <v>9445</v>
      </c>
      <c r="B1305" t="s">
        <v>6425</v>
      </c>
      <c r="C1305" t="s">
        <v>1223</v>
      </c>
      <c r="D1305" t="s">
        <v>9446</v>
      </c>
      <c r="E1305" t="s">
        <v>9447</v>
      </c>
      <c r="F1305" t="s">
        <v>4625</v>
      </c>
      <c r="G1305" t="s">
        <v>9448</v>
      </c>
      <c r="H1305" t="s">
        <v>9449</v>
      </c>
      <c r="I1305">
        <f t="shared" ca="1" si="80"/>
        <v>26</v>
      </c>
      <c r="J1305" t="str">
        <f t="shared" ca="1" si="81"/>
        <v>18-29</v>
      </c>
      <c r="K1305">
        <v>48148.84</v>
      </c>
      <c r="L1305" t="str">
        <f>IF(Workforce[[#This Row],[Salary]]&lt;50000,"30k-49k",IF(Workforce[[#This Row],[Salary]]&lt;70000,"50k-69k",IF(Workforce[[#This Row],[Salary]]&lt;90000,"70k-89k","90k+")))</f>
        <v>30k-49k</v>
      </c>
      <c r="M1305" t="s">
        <v>9450</v>
      </c>
      <c r="N1305">
        <f t="shared" ca="1" si="82"/>
        <v>1</v>
      </c>
      <c r="O1305" t="str">
        <f t="shared" ca="1" si="83"/>
        <v>Beginner</v>
      </c>
    </row>
    <row r="1306" spans="1:15" x14ac:dyDescent="0.3">
      <c r="A1306" t="s">
        <v>6171</v>
      </c>
      <c r="B1306" t="s">
        <v>9451</v>
      </c>
      <c r="C1306" t="s">
        <v>88</v>
      </c>
      <c r="D1306" t="s">
        <v>9452</v>
      </c>
      <c r="E1306" t="s">
        <v>9453</v>
      </c>
      <c r="F1306" t="s">
        <v>1426</v>
      </c>
      <c r="G1306" t="s">
        <v>9454</v>
      </c>
      <c r="H1306" t="s">
        <v>9455</v>
      </c>
      <c r="I1306">
        <f t="shared" ca="1" si="80"/>
        <v>60</v>
      </c>
      <c r="J1306" t="str">
        <f t="shared" ca="1" si="81"/>
        <v>60+</v>
      </c>
      <c r="K1306">
        <v>32451.32</v>
      </c>
      <c r="L1306" t="str">
        <f>IF(Workforce[[#This Row],[Salary]]&lt;50000,"30k-49k",IF(Workforce[[#This Row],[Salary]]&lt;70000,"50k-69k",IF(Workforce[[#This Row],[Salary]]&lt;90000,"70k-89k","90k+")))</f>
        <v>30k-49k</v>
      </c>
      <c r="M1306" t="s">
        <v>421</v>
      </c>
      <c r="N1306">
        <f t="shared" ca="1" si="82"/>
        <v>3</v>
      </c>
      <c r="O1306" t="str">
        <f t="shared" ca="1" si="83"/>
        <v>Intermediate level</v>
      </c>
    </row>
    <row r="1307" spans="1:15" x14ac:dyDescent="0.3">
      <c r="A1307" t="s">
        <v>9456</v>
      </c>
      <c r="B1307" t="s">
        <v>9457</v>
      </c>
      <c r="C1307" t="s">
        <v>151</v>
      </c>
      <c r="D1307" t="s">
        <v>9458</v>
      </c>
      <c r="E1307" t="s">
        <v>9459</v>
      </c>
      <c r="F1307" t="s">
        <v>9460</v>
      </c>
      <c r="G1307" t="s">
        <v>9461</v>
      </c>
      <c r="H1307" t="s">
        <v>9462</v>
      </c>
      <c r="I1307">
        <f t="shared" ca="1" si="80"/>
        <v>31</v>
      </c>
      <c r="J1307" t="str">
        <f t="shared" ca="1" si="81"/>
        <v>30-39</v>
      </c>
      <c r="K1307">
        <v>102577.22</v>
      </c>
      <c r="L1307" t="str">
        <f>IF(Workforce[[#This Row],[Salary]]&lt;50000,"30k-49k",IF(Workforce[[#This Row],[Salary]]&lt;70000,"50k-69k",IF(Workforce[[#This Row],[Salary]]&lt;90000,"70k-89k","90k+")))</f>
        <v>90k+</v>
      </c>
      <c r="M1307" t="s">
        <v>9463</v>
      </c>
      <c r="N1307">
        <f t="shared" ca="1" si="82"/>
        <v>7</v>
      </c>
      <c r="O1307" t="str">
        <f t="shared" ca="1" si="83"/>
        <v>Senior level</v>
      </c>
    </row>
    <row r="1308" spans="1:15" x14ac:dyDescent="0.3">
      <c r="A1308" t="s">
        <v>9464</v>
      </c>
      <c r="B1308" t="s">
        <v>9465</v>
      </c>
      <c r="C1308" t="s">
        <v>17</v>
      </c>
      <c r="D1308" t="s">
        <v>9466</v>
      </c>
      <c r="E1308" t="s">
        <v>9467</v>
      </c>
      <c r="F1308" t="s">
        <v>4517</v>
      </c>
      <c r="G1308" t="s">
        <v>9468</v>
      </c>
      <c r="H1308" t="s">
        <v>9469</v>
      </c>
      <c r="I1308">
        <f t="shared" ca="1" si="80"/>
        <v>56</v>
      </c>
      <c r="J1308" t="str">
        <f t="shared" ca="1" si="81"/>
        <v>50-59</v>
      </c>
      <c r="K1308">
        <v>68137.119999999995</v>
      </c>
      <c r="L1308" t="str">
        <f>IF(Workforce[[#This Row],[Salary]]&lt;50000,"30k-49k",IF(Workforce[[#This Row],[Salary]]&lt;70000,"50k-69k",IF(Workforce[[#This Row],[Salary]]&lt;90000,"70k-89k","90k+")))</f>
        <v>50k-69k</v>
      </c>
      <c r="M1308" t="s">
        <v>9470</v>
      </c>
      <c r="N1308">
        <f t="shared" ca="1" si="82"/>
        <v>7</v>
      </c>
      <c r="O1308" t="str">
        <f t="shared" ca="1" si="83"/>
        <v>Senior level</v>
      </c>
    </row>
    <row r="1309" spans="1:15" x14ac:dyDescent="0.3">
      <c r="A1309" t="s">
        <v>9471</v>
      </c>
      <c r="B1309" t="s">
        <v>9472</v>
      </c>
      <c r="C1309" t="s">
        <v>17</v>
      </c>
      <c r="D1309" t="s">
        <v>9473</v>
      </c>
      <c r="E1309" t="s">
        <v>9474</v>
      </c>
      <c r="F1309" t="s">
        <v>9475</v>
      </c>
      <c r="G1309" t="s">
        <v>9476</v>
      </c>
      <c r="H1309" t="s">
        <v>9477</v>
      </c>
      <c r="I1309">
        <f t="shared" ca="1" si="80"/>
        <v>46</v>
      </c>
      <c r="J1309" t="str">
        <f t="shared" ca="1" si="81"/>
        <v>40-49</v>
      </c>
      <c r="K1309">
        <v>41129.370000000003</v>
      </c>
      <c r="L1309" t="str">
        <f>IF(Workforce[[#This Row],[Salary]]&lt;50000,"30k-49k",IF(Workforce[[#This Row],[Salary]]&lt;70000,"50k-69k",IF(Workforce[[#This Row],[Salary]]&lt;90000,"70k-89k","90k+")))</f>
        <v>30k-49k</v>
      </c>
      <c r="M1309" t="s">
        <v>9478</v>
      </c>
      <c r="N1309">
        <f t="shared" ca="1" si="82"/>
        <v>8</v>
      </c>
      <c r="O1309" t="str">
        <f t="shared" ca="1" si="83"/>
        <v>Senior level</v>
      </c>
    </row>
    <row r="1310" spans="1:15" x14ac:dyDescent="0.3">
      <c r="A1310" t="s">
        <v>9479</v>
      </c>
      <c r="B1310" t="s">
        <v>9480</v>
      </c>
      <c r="C1310" t="s">
        <v>160</v>
      </c>
      <c r="D1310" t="s">
        <v>9481</v>
      </c>
      <c r="E1310" t="s">
        <v>9482</v>
      </c>
      <c r="F1310" t="s">
        <v>1249</v>
      </c>
      <c r="G1310" t="s">
        <v>9483</v>
      </c>
      <c r="H1310" t="s">
        <v>9484</v>
      </c>
      <c r="I1310">
        <f t="shared" ca="1" si="80"/>
        <v>62</v>
      </c>
      <c r="J1310" t="str">
        <f t="shared" ca="1" si="81"/>
        <v>60+</v>
      </c>
      <c r="K1310">
        <v>35413.370000000003</v>
      </c>
      <c r="L1310" t="str">
        <f>IF(Workforce[[#This Row],[Salary]]&lt;50000,"30k-49k",IF(Workforce[[#This Row],[Salary]]&lt;70000,"50k-69k",IF(Workforce[[#This Row],[Salary]]&lt;90000,"70k-89k","90k+")))</f>
        <v>30k-49k</v>
      </c>
      <c r="M1310" t="s">
        <v>9485</v>
      </c>
      <c r="N1310">
        <f t="shared" ca="1" si="82"/>
        <v>5</v>
      </c>
      <c r="O1310" t="str">
        <f t="shared" ca="1" si="83"/>
        <v>Intermediate level</v>
      </c>
    </row>
    <row r="1311" spans="1:15" x14ac:dyDescent="0.3">
      <c r="A1311" t="s">
        <v>9486</v>
      </c>
      <c r="B1311" t="s">
        <v>9487</v>
      </c>
      <c r="C1311" t="s">
        <v>187</v>
      </c>
      <c r="D1311" t="s">
        <v>9488</v>
      </c>
      <c r="E1311" t="s">
        <v>9489</v>
      </c>
      <c r="F1311" t="s">
        <v>5501</v>
      </c>
      <c r="G1311" t="s">
        <v>9490</v>
      </c>
      <c r="H1311" t="s">
        <v>9491</v>
      </c>
      <c r="I1311">
        <f t="shared" ca="1" si="80"/>
        <v>47</v>
      </c>
      <c r="J1311" t="str">
        <f t="shared" ca="1" si="81"/>
        <v>40-49</v>
      </c>
      <c r="K1311">
        <v>36951.199999999997</v>
      </c>
      <c r="L1311" t="str">
        <f>IF(Workforce[[#This Row],[Salary]]&lt;50000,"30k-49k",IF(Workforce[[#This Row],[Salary]]&lt;70000,"50k-69k",IF(Workforce[[#This Row],[Salary]]&lt;90000,"70k-89k","90k+")))</f>
        <v>30k-49k</v>
      </c>
      <c r="M1311" t="s">
        <v>9492</v>
      </c>
      <c r="N1311">
        <f t="shared" ca="1" si="82"/>
        <v>9</v>
      </c>
      <c r="O1311" t="str">
        <f t="shared" ca="1" si="83"/>
        <v>Senior level</v>
      </c>
    </row>
    <row r="1312" spans="1:15" x14ac:dyDescent="0.3">
      <c r="A1312" t="s">
        <v>9493</v>
      </c>
      <c r="B1312" t="s">
        <v>9494</v>
      </c>
      <c r="C1312" t="s">
        <v>757</v>
      </c>
      <c r="D1312" t="s">
        <v>9495</v>
      </c>
      <c r="E1312" t="s">
        <v>9496</v>
      </c>
      <c r="F1312" t="s">
        <v>9497</v>
      </c>
      <c r="G1312" t="s">
        <v>1023</v>
      </c>
      <c r="H1312" t="s">
        <v>9498</v>
      </c>
      <c r="I1312">
        <f t="shared" ca="1" si="80"/>
        <v>31</v>
      </c>
      <c r="J1312" t="str">
        <f t="shared" ca="1" si="81"/>
        <v>30-39</v>
      </c>
      <c r="K1312">
        <v>32795.35</v>
      </c>
      <c r="L1312" t="str">
        <f>IF(Workforce[[#This Row],[Salary]]&lt;50000,"30k-49k",IF(Workforce[[#This Row],[Salary]]&lt;70000,"50k-69k",IF(Workforce[[#This Row],[Salary]]&lt;90000,"70k-89k","90k+")))</f>
        <v>30k-49k</v>
      </c>
      <c r="M1312" t="s">
        <v>4412</v>
      </c>
      <c r="N1312">
        <f t="shared" ca="1" si="82"/>
        <v>10</v>
      </c>
      <c r="O1312" t="str">
        <f t="shared" ca="1" si="83"/>
        <v>Senior level</v>
      </c>
    </row>
    <row r="1313" spans="1:15" x14ac:dyDescent="0.3">
      <c r="A1313" t="s">
        <v>9499</v>
      </c>
      <c r="B1313" t="s">
        <v>9500</v>
      </c>
      <c r="C1313" t="s">
        <v>440</v>
      </c>
      <c r="D1313" t="s">
        <v>9501</v>
      </c>
      <c r="E1313" t="s">
        <v>9502</v>
      </c>
      <c r="F1313" t="s">
        <v>2217</v>
      </c>
      <c r="G1313" t="s">
        <v>9503</v>
      </c>
      <c r="H1313" t="s">
        <v>9504</v>
      </c>
      <c r="I1313">
        <f t="shared" ca="1" si="80"/>
        <v>51</v>
      </c>
      <c r="J1313" t="str">
        <f t="shared" ca="1" si="81"/>
        <v>50-59</v>
      </c>
      <c r="K1313">
        <v>91688.76</v>
      </c>
      <c r="L1313" t="str">
        <f>IF(Workforce[[#This Row],[Salary]]&lt;50000,"30k-49k",IF(Workforce[[#This Row],[Salary]]&lt;70000,"50k-69k",IF(Workforce[[#This Row],[Salary]]&lt;90000,"70k-89k","90k+")))</f>
        <v>90k+</v>
      </c>
      <c r="M1313" t="s">
        <v>9505</v>
      </c>
      <c r="N1313">
        <f t="shared" ca="1" si="82"/>
        <v>1</v>
      </c>
      <c r="O1313" t="str">
        <f t="shared" ca="1" si="83"/>
        <v>Beginner</v>
      </c>
    </row>
    <row r="1314" spans="1:15" x14ac:dyDescent="0.3">
      <c r="A1314" t="s">
        <v>9506</v>
      </c>
      <c r="B1314" t="s">
        <v>9507</v>
      </c>
      <c r="C1314" t="s">
        <v>79</v>
      </c>
      <c r="D1314" t="s">
        <v>9508</v>
      </c>
      <c r="E1314" t="s">
        <v>9509</v>
      </c>
      <c r="F1314" t="s">
        <v>8264</v>
      </c>
      <c r="G1314" t="s">
        <v>9510</v>
      </c>
      <c r="H1314" t="s">
        <v>9511</v>
      </c>
      <c r="I1314">
        <f t="shared" ca="1" si="80"/>
        <v>28</v>
      </c>
      <c r="J1314" t="str">
        <f t="shared" ca="1" si="81"/>
        <v>18-29</v>
      </c>
      <c r="K1314">
        <v>100605.72</v>
      </c>
      <c r="L1314" t="str">
        <f>IF(Workforce[[#This Row],[Salary]]&lt;50000,"30k-49k",IF(Workforce[[#This Row],[Salary]]&lt;70000,"50k-69k",IF(Workforce[[#This Row],[Salary]]&lt;90000,"70k-89k","90k+")))</f>
        <v>90k+</v>
      </c>
      <c r="M1314" t="s">
        <v>9512</v>
      </c>
      <c r="N1314">
        <f t="shared" ca="1" si="82"/>
        <v>2</v>
      </c>
      <c r="O1314" t="str">
        <f t="shared" ca="1" si="83"/>
        <v>Beginner</v>
      </c>
    </row>
    <row r="1315" spans="1:15" x14ac:dyDescent="0.3">
      <c r="A1315" t="s">
        <v>9513</v>
      </c>
      <c r="B1315" t="s">
        <v>9514</v>
      </c>
      <c r="C1315" t="s">
        <v>580</v>
      </c>
      <c r="D1315" t="s">
        <v>9515</v>
      </c>
      <c r="E1315" t="s">
        <v>9516</v>
      </c>
      <c r="F1315" t="s">
        <v>751</v>
      </c>
      <c r="G1315" t="s">
        <v>9517</v>
      </c>
      <c r="H1315" t="s">
        <v>9518</v>
      </c>
      <c r="I1315">
        <f t="shared" ca="1" si="80"/>
        <v>19</v>
      </c>
      <c r="J1315" t="str">
        <f t="shared" ca="1" si="81"/>
        <v>18-29</v>
      </c>
      <c r="K1315">
        <v>37025.96</v>
      </c>
      <c r="L1315" t="str">
        <f>IF(Workforce[[#This Row],[Salary]]&lt;50000,"30k-49k",IF(Workforce[[#This Row],[Salary]]&lt;70000,"50k-69k",IF(Workforce[[#This Row],[Salary]]&lt;90000,"70k-89k","90k+")))</f>
        <v>30k-49k</v>
      </c>
      <c r="M1315" t="s">
        <v>3415</v>
      </c>
      <c r="N1315">
        <f t="shared" ca="1" si="82"/>
        <v>5</v>
      </c>
      <c r="O1315" t="str">
        <f t="shared" ca="1" si="83"/>
        <v>Intermediate level</v>
      </c>
    </row>
    <row r="1316" spans="1:15" x14ac:dyDescent="0.3">
      <c r="A1316" t="s">
        <v>9519</v>
      </c>
      <c r="B1316" t="s">
        <v>9520</v>
      </c>
      <c r="C1316" t="s">
        <v>106</v>
      </c>
      <c r="D1316" t="s">
        <v>9521</v>
      </c>
      <c r="E1316" t="s">
        <v>9522</v>
      </c>
      <c r="F1316" t="s">
        <v>1712</v>
      </c>
      <c r="G1316" t="s">
        <v>9523</v>
      </c>
      <c r="H1316" t="s">
        <v>9524</v>
      </c>
      <c r="I1316">
        <f t="shared" ca="1" si="80"/>
        <v>39</v>
      </c>
      <c r="J1316" t="str">
        <f t="shared" ca="1" si="81"/>
        <v>30-39</v>
      </c>
      <c r="K1316">
        <v>40260</v>
      </c>
      <c r="L1316" t="str">
        <f>IF(Workforce[[#This Row],[Salary]]&lt;50000,"30k-49k",IF(Workforce[[#This Row],[Salary]]&lt;70000,"50k-69k",IF(Workforce[[#This Row],[Salary]]&lt;90000,"70k-89k","90k+")))</f>
        <v>30k-49k</v>
      </c>
      <c r="M1316" t="s">
        <v>9525</v>
      </c>
      <c r="N1316">
        <f t="shared" ca="1" si="82"/>
        <v>3</v>
      </c>
      <c r="O1316" t="str">
        <f t="shared" ca="1" si="83"/>
        <v>Intermediate level</v>
      </c>
    </row>
    <row r="1317" spans="1:15" x14ac:dyDescent="0.3">
      <c r="A1317" t="s">
        <v>9526</v>
      </c>
      <c r="B1317" t="s">
        <v>9527</v>
      </c>
      <c r="C1317" t="s">
        <v>88</v>
      </c>
      <c r="D1317" t="s">
        <v>9528</v>
      </c>
      <c r="E1317" t="s">
        <v>9529</v>
      </c>
      <c r="F1317" t="s">
        <v>7811</v>
      </c>
      <c r="G1317" t="s">
        <v>9530</v>
      </c>
      <c r="H1317" t="s">
        <v>9531</v>
      </c>
      <c r="I1317">
        <f t="shared" ca="1" si="80"/>
        <v>65</v>
      </c>
      <c r="J1317" t="str">
        <f t="shared" ca="1" si="81"/>
        <v>60+</v>
      </c>
      <c r="K1317">
        <v>69130.350000000006</v>
      </c>
      <c r="L1317" t="str">
        <f>IF(Workforce[[#This Row],[Salary]]&lt;50000,"30k-49k",IF(Workforce[[#This Row],[Salary]]&lt;70000,"50k-69k",IF(Workforce[[#This Row],[Salary]]&lt;90000,"70k-89k","90k+")))</f>
        <v>50k-69k</v>
      </c>
      <c r="M1317" t="s">
        <v>5661</v>
      </c>
      <c r="N1317">
        <f t="shared" ca="1" si="82"/>
        <v>9</v>
      </c>
      <c r="O1317" t="str">
        <f t="shared" ca="1" si="83"/>
        <v>Senior level</v>
      </c>
    </row>
    <row r="1318" spans="1:15" x14ac:dyDescent="0.3">
      <c r="A1318" t="s">
        <v>9532</v>
      </c>
      <c r="B1318" t="s">
        <v>9533</v>
      </c>
      <c r="C1318" t="s">
        <v>70</v>
      </c>
      <c r="D1318" t="s">
        <v>9534</v>
      </c>
      <c r="E1318" t="s">
        <v>9535</v>
      </c>
      <c r="F1318" t="s">
        <v>1657</v>
      </c>
      <c r="G1318" t="s">
        <v>9536</v>
      </c>
      <c r="H1318" t="s">
        <v>9537</v>
      </c>
      <c r="I1318">
        <f t="shared" ca="1" si="80"/>
        <v>39</v>
      </c>
      <c r="J1318" t="str">
        <f t="shared" ca="1" si="81"/>
        <v>30-39</v>
      </c>
      <c r="K1318">
        <v>32816.85</v>
      </c>
      <c r="L1318" t="str">
        <f>IF(Workforce[[#This Row],[Salary]]&lt;50000,"30k-49k",IF(Workforce[[#This Row],[Salary]]&lt;70000,"50k-69k",IF(Workforce[[#This Row],[Salary]]&lt;90000,"70k-89k","90k+")))</f>
        <v>30k-49k</v>
      </c>
      <c r="M1318" t="s">
        <v>9538</v>
      </c>
      <c r="N1318">
        <f t="shared" ca="1" si="82"/>
        <v>3</v>
      </c>
      <c r="O1318" t="str">
        <f t="shared" ca="1" si="83"/>
        <v>Intermediate level</v>
      </c>
    </row>
    <row r="1319" spans="1:15" x14ac:dyDescent="0.3">
      <c r="A1319" t="s">
        <v>9539</v>
      </c>
      <c r="B1319" t="s">
        <v>9540</v>
      </c>
      <c r="C1319" t="s">
        <v>61</v>
      </c>
      <c r="D1319" t="s">
        <v>9541</v>
      </c>
      <c r="E1319" t="s">
        <v>9542</v>
      </c>
      <c r="F1319" t="s">
        <v>9543</v>
      </c>
      <c r="G1319" t="s">
        <v>9544</v>
      </c>
      <c r="H1319" t="s">
        <v>9545</v>
      </c>
      <c r="I1319">
        <f t="shared" ca="1" si="80"/>
        <v>66</v>
      </c>
      <c r="J1319" t="str">
        <f t="shared" ca="1" si="81"/>
        <v>60+</v>
      </c>
      <c r="K1319">
        <v>110061.72</v>
      </c>
      <c r="L1319" t="str">
        <f>IF(Workforce[[#This Row],[Salary]]&lt;50000,"30k-49k",IF(Workforce[[#This Row],[Salary]]&lt;70000,"50k-69k",IF(Workforce[[#This Row],[Salary]]&lt;90000,"70k-89k","90k+")))</f>
        <v>90k+</v>
      </c>
      <c r="M1319" t="s">
        <v>2285</v>
      </c>
      <c r="N1319">
        <f t="shared" ca="1" si="82"/>
        <v>6</v>
      </c>
      <c r="O1319" t="str">
        <f t="shared" ca="1" si="83"/>
        <v>Intermediate level</v>
      </c>
    </row>
    <row r="1320" spans="1:15" x14ac:dyDescent="0.3">
      <c r="A1320" t="s">
        <v>9546</v>
      </c>
      <c r="B1320" t="s">
        <v>9547</v>
      </c>
      <c r="C1320" t="s">
        <v>115</v>
      </c>
      <c r="D1320" t="s">
        <v>9548</v>
      </c>
      <c r="E1320" t="s">
        <v>9549</v>
      </c>
      <c r="F1320" t="s">
        <v>4170</v>
      </c>
      <c r="G1320" t="s">
        <v>2110</v>
      </c>
      <c r="H1320" t="s">
        <v>9550</v>
      </c>
      <c r="I1320">
        <f t="shared" ca="1" si="80"/>
        <v>46</v>
      </c>
      <c r="J1320" t="str">
        <f t="shared" ca="1" si="81"/>
        <v>40-49</v>
      </c>
      <c r="K1320">
        <v>82784.34</v>
      </c>
      <c r="L1320" t="str">
        <f>IF(Workforce[[#This Row],[Salary]]&lt;50000,"30k-49k",IF(Workforce[[#This Row],[Salary]]&lt;70000,"50k-69k",IF(Workforce[[#This Row],[Salary]]&lt;90000,"70k-89k","90k+")))</f>
        <v>70k-89k</v>
      </c>
      <c r="M1320" t="s">
        <v>9551</v>
      </c>
      <c r="N1320">
        <f t="shared" ca="1" si="82"/>
        <v>5</v>
      </c>
      <c r="O1320" t="str">
        <f t="shared" ca="1" si="83"/>
        <v>Intermediate level</v>
      </c>
    </row>
    <row r="1321" spans="1:15" x14ac:dyDescent="0.3">
      <c r="A1321" t="s">
        <v>9552</v>
      </c>
      <c r="B1321" t="s">
        <v>9553</v>
      </c>
      <c r="C1321" t="s">
        <v>79</v>
      </c>
      <c r="D1321" t="s">
        <v>9554</v>
      </c>
      <c r="E1321" t="s">
        <v>9555</v>
      </c>
      <c r="F1321" t="s">
        <v>8934</v>
      </c>
      <c r="G1321" t="s">
        <v>9556</v>
      </c>
      <c r="H1321" t="s">
        <v>9557</v>
      </c>
      <c r="I1321">
        <f t="shared" ca="1" si="80"/>
        <v>34</v>
      </c>
      <c r="J1321" t="str">
        <f t="shared" ca="1" si="81"/>
        <v>30-39</v>
      </c>
      <c r="K1321">
        <v>104219.26</v>
      </c>
      <c r="L1321" t="str">
        <f>IF(Workforce[[#This Row],[Salary]]&lt;50000,"30k-49k",IF(Workforce[[#This Row],[Salary]]&lt;70000,"50k-69k",IF(Workforce[[#This Row],[Salary]]&lt;90000,"70k-89k","90k+")))</f>
        <v>90k+</v>
      </c>
      <c r="M1321" t="s">
        <v>9558</v>
      </c>
      <c r="N1321">
        <f t="shared" ca="1" si="82"/>
        <v>0</v>
      </c>
      <c r="O1321" t="str">
        <f t="shared" ca="1" si="83"/>
        <v>Beginner</v>
      </c>
    </row>
    <row r="1322" spans="1:15" x14ac:dyDescent="0.3">
      <c r="A1322" t="s">
        <v>9559</v>
      </c>
      <c r="B1322" t="s">
        <v>9560</v>
      </c>
      <c r="C1322" t="s">
        <v>44</v>
      </c>
      <c r="D1322" t="s">
        <v>9561</v>
      </c>
      <c r="E1322" t="s">
        <v>9562</v>
      </c>
      <c r="F1322" t="s">
        <v>1022</v>
      </c>
      <c r="G1322" t="s">
        <v>9563</v>
      </c>
      <c r="H1322" t="s">
        <v>9564</v>
      </c>
      <c r="I1322">
        <f t="shared" ca="1" si="80"/>
        <v>47</v>
      </c>
      <c r="J1322" t="str">
        <f t="shared" ca="1" si="81"/>
        <v>40-49</v>
      </c>
      <c r="K1322">
        <v>72145.06</v>
      </c>
      <c r="L1322" t="str">
        <f>IF(Workforce[[#This Row],[Salary]]&lt;50000,"30k-49k",IF(Workforce[[#This Row],[Salary]]&lt;70000,"50k-69k",IF(Workforce[[#This Row],[Salary]]&lt;90000,"70k-89k","90k+")))</f>
        <v>70k-89k</v>
      </c>
      <c r="M1322" t="s">
        <v>9565</v>
      </c>
      <c r="N1322">
        <f t="shared" ca="1" si="82"/>
        <v>9</v>
      </c>
      <c r="O1322" t="str">
        <f t="shared" ca="1" si="83"/>
        <v>Senior level</v>
      </c>
    </row>
    <row r="1323" spans="1:15" x14ac:dyDescent="0.3">
      <c r="A1323" t="s">
        <v>9566</v>
      </c>
      <c r="B1323" t="s">
        <v>9567</v>
      </c>
      <c r="C1323" t="s">
        <v>266</v>
      </c>
      <c r="D1323" t="s">
        <v>9568</v>
      </c>
      <c r="E1323" t="s">
        <v>9569</v>
      </c>
      <c r="F1323" t="s">
        <v>784</v>
      </c>
      <c r="G1323" t="s">
        <v>9570</v>
      </c>
      <c r="H1323" t="s">
        <v>9571</v>
      </c>
      <c r="I1323">
        <f t="shared" ca="1" si="80"/>
        <v>46</v>
      </c>
      <c r="J1323" t="str">
        <f t="shared" ca="1" si="81"/>
        <v>40-49</v>
      </c>
      <c r="K1323">
        <v>38002.65</v>
      </c>
      <c r="L1323" t="str">
        <f>IF(Workforce[[#This Row],[Salary]]&lt;50000,"30k-49k",IF(Workforce[[#This Row],[Salary]]&lt;70000,"50k-69k",IF(Workforce[[#This Row],[Salary]]&lt;90000,"70k-89k","90k+")))</f>
        <v>30k-49k</v>
      </c>
      <c r="M1323" t="s">
        <v>9572</v>
      </c>
      <c r="N1323">
        <f t="shared" ca="1" si="82"/>
        <v>5</v>
      </c>
      <c r="O1323" t="str">
        <f t="shared" ca="1" si="83"/>
        <v>Intermediate level</v>
      </c>
    </row>
    <row r="1324" spans="1:15" x14ac:dyDescent="0.3">
      <c r="A1324" t="s">
        <v>9573</v>
      </c>
      <c r="B1324" t="s">
        <v>9574</v>
      </c>
      <c r="C1324" t="s">
        <v>187</v>
      </c>
      <c r="D1324" t="s">
        <v>9575</v>
      </c>
      <c r="E1324" t="s">
        <v>9576</v>
      </c>
      <c r="F1324" t="s">
        <v>1249</v>
      </c>
      <c r="G1324" t="s">
        <v>9577</v>
      </c>
      <c r="H1324" t="s">
        <v>9578</v>
      </c>
      <c r="I1324">
        <f t="shared" ca="1" si="80"/>
        <v>45</v>
      </c>
      <c r="J1324" t="str">
        <f t="shared" ca="1" si="81"/>
        <v>40-49</v>
      </c>
      <c r="K1324">
        <v>54103.45</v>
      </c>
      <c r="L1324" t="str">
        <f>IF(Workforce[[#This Row],[Salary]]&lt;50000,"30k-49k",IF(Workforce[[#This Row],[Salary]]&lt;70000,"50k-69k",IF(Workforce[[#This Row],[Salary]]&lt;90000,"70k-89k","90k+")))</f>
        <v>50k-69k</v>
      </c>
      <c r="M1324" t="s">
        <v>9579</v>
      </c>
      <c r="N1324">
        <f t="shared" ca="1" si="82"/>
        <v>2</v>
      </c>
      <c r="O1324" t="str">
        <f t="shared" ca="1" si="83"/>
        <v>Beginner</v>
      </c>
    </row>
    <row r="1325" spans="1:15" x14ac:dyDescent="0.3">
      <c r="A1325" t="s">
        <v>9580</v>
      </c>
      <c r="B1325" t="s">
        <v>9581</v>
      </c>
      <c r="C1325" t="s">
        <v>757</v>
      </c>
      <c r="D1325" t="s">
        <v>9582</v>
      </c>
      <c r="E1325" t="s">
        <v>9583</v>
      </c>
      <c r="F1325" t="s">
        <v>2267</v>
      </c>
      <c r="G1325" t="s">
        <v>9584</v>
      </c>
      <c r="H1325" t="s">
        <v>9585</v>
      </c>
      <c r="I1325">
        <f t="shared" ca="1" si="80"/>
        <v>59</v>
      </c>
      <c r="J1325" t="str">
        <f t="shared" ca="1" si="81"/>
        <v>50-59</v>
      </c>
      <c r="K1325">
        <v>71340.240000000005</v>
      </c>
      <c r="L1325" t="str">
        <f>IF(Workforce[[#This Row],[Salary]]&lt;50000,"30k-49k",IF(Workforce[[#This Row],[Salary]]&lt;70000,"50k-69k",IF(Workforce[[#This Row],[Salary]]&lt;90000,"70k-89k","90k+")))</f>
        <v>70k-89k</v>
      </c>
      <c r="M1325" t="s">
        <v>9586</v>
      </c>
      <c r="N1325">
        <f t="shared" ca="1" si="82"/>
        <v>6</v>
      </c>
      <c r="O1325" t="str">
        <f t="shared" ca="1" si="83"/>
        <v>Intermediate level</v>
      </c>
    </row>
    <row r="1326" spans="1:15" x14ac:dyDescent="0.3">
      <c r="A1326" t="s">
        <v>9587</v>
      </c>
      <c r="B1326" t="s">
        <v>9588</v>
      </c>
      <c r="C1326" t="s">
        <v>222</v>
      </c>
      <c r="D1326" t="s">
        <v>9589</v>
      </c>
      <c r="E1326" t="s">
        <v>9590</v>
      </c>
      <c r="F1326" t="s">
        <v>1888</v>
      </c>
      <c r="G1326" t="s">
        <v>9591</v>
      </c>
      <c r="H1326" t="s">
        <v>9592</v>
      </c>
      <c r="I1326">
        <f t="shared" ca="1" si="80"/>
        <v>43</v>
      </c>
      <c r="J1326" t="str">
        <f t="shared" ca="1" si="81"/>
        <v>40-49</v>
      </c>
      <c r="K1326">
        <v>115164.44</v>
      </c>
      <c r="L1326" t="str">
        <f>IF(Workforce[[#This Row],[Salary]]&lt;50000,"30k-49k",IF(Workforce[[#This Row],[Salary]]&lt;70000,"50k-69k",IF(Workforce[[#This Row],[Salary]]&lt;90000,"70k-89k","90k+")))</f>
        <v>90k+</v>
      </c>
      <c r="M1326" t="s">
        <v>9593</v>
      </c>
      <c r="N1326">
        <f t="shared" ca="1" si="82"/>
        <v>9</v>
      </c>
      <c r="O1326" t="str">
        <f t="shared" ca="1" si="83"/>
        <v>Senior level</v>
      </c>
    </row>
    <row r="1327" spans="1:15" x14ac:dyDescent="0.3">
      <c r="A1327" t="s">
        <v>9594</v>
      </c>
      <c r="B1327" t="s">
        <v>9595</v>
      </c>
      <c r="C1327" t="s">
        <v>757</v>
      </c>
      <c r="D1327" t="s">
        <v>9596</v>
      </c>
      <c r="E1327" t="s">
        <v>9597</v>
      </c>
      <c r="F1327" t="s">
        <v>9598</v>
      </c>
      <c r="G1327" t="s">
        <v>9599</v>
      </c>
      <c r="H1327" t="s">
        <v>4453</v>
      </c>
      <c r="I1327">
        <f t="shared" ca="1" si="80"/>
        <v>23</v>
      </c>
      <c r="J1327" t="str">
        <f t="shared" ca="1" si="81"/>
        <v>18-29</v>
      </c>
      <c r="K1327">
        <v>103122.9</v>
      </c>
      <c r="L1327" t="str">
        <f>IF(Workforce[[#This Row],[Salary]]&lt;50000,"30k-49k",IF(Workforce[[#This Row],[Salary]]&lt;70000,"50k-69k",IF(Workforce[[#This Row],[Salary]]&lt;90000,"70k-89k","90k+")))</f>
        <v>90k+</v>
      </c>
      <c r="M1327" t="s">
        <v>4405</v>
      </c>
      <c r="N1327">
        <f t="shared" ca="1" si="82"/>
        <v>5</v>
      </c>
      <c r="O1327" t="str">
        <f t="shared" ca="1" si="83"/>
        <v>Intermediate level</v>
      </c>
    </row>
    <row r="1328" spans="1:15" x14ac:dyDescent="0.3">
      <c r="A1328" t="s">
        <v>9600</v>
      </c>
      <c r="B1328" t="s">
        <v>9601</v>
      </c>
      <c r="C1328" t="s">
        <v>1159</v>
      </c>
      <c r="D1328" t="s">
        <v>9602</v>
      </c>
      <c r="E1328" t="s">
        <v>9603</v>
      </c>
      <c r="F1328" t="s">
        <v>2562</v>
      </c>
      <c r="G1328" t="s">
        <v>9604</v>
      </c>
      <c r="H1328" t="s">
        <v>9605</v>
      </c>
      <c r="I1328">
        <f t="shared" ca="1" si="80"/>
        <v>52</v>
      </c>
      <c r="J1328" t="str">
        <f t="shared" ca="1" si="81"/>
        <v>50-59</v>
      </c>
      <c r="K1328">
        <v>110750.32</v>
      </c>
      <c r="L1328" t="str">
        <f>IF(Workforce[[#This Row],[Salary]]&lt;50000,"30k-49k",IF(Workforce[[#This Row],[Salary]]&lt;70000,"50k-69k",IF(Workforce[[#This Row],[Salary]]&lt;90000,"70k-89k","90k+")))</f>
        <v>90k+</v>
      </c>
      <c r="M1328" t="s">
        <v>9606</v>
      </c>
      <c r="N1328">
        <f t="shared" ca="1" si="82"/>
        <v>2</v>
      </c>
      <c r="O1328" t="str">
        <f t="shared" ca="1" si="83"/>
        <v>Beginner</v>
      </c>
    </row>
    <row r="1329" spans="1:15" x14ac:dyDescent="0.3">
      <c r="A1329" t="s">
        <v>9607</v>
      </c>
      <c r="B1329" t="s">
        <v>9608</v>
      </c>
      <c r="C1329" t="s">
        <v>774</v>
      </c>
      <c r="D1329" t="s">
        <v>9609</v>
      </c>
      <c r="E1329" t="s">
        <v>9610</v>
      </c>
      <c r="F1329" t="s">
        <v>4821</v>
      </c>
      <c r="G1329" t="s">
        <v>9611</v>
      </c>
      <c r="H1329" t="s">
        <v>9612</v>
      </c>
      <c r="I1329">
        <f t="shared" ca="1" si="80"/>
        <v>59</v>
      </c>
      <c r="J1329" t="str">
        <f t="shared" ca="1" si="81"/>
        <v>50-59</v>
      </c>
      <c r="K1329">
        <v>64813.61</v>
      </c>
      <c r="L1329" t="str">
        <f>IF(Workforce[[#This Row],[Salary]]&lt;50000,"30k-49k",IF(Workforce[[#This Row],[Salary]]&lt;70000,"50k-69k",IF(Workforce[[#This Row],[Salary]]&lt;90000,"70k-89k","90k+")))</f>
        <v>50k-69k</v>
      </c>
      <c r="M1329" t="s">
        <v>9613</v>
      </c>
      <c r="N1329">
        <f t="shared" ca="1" si="82"/>
        <v>10</v>
      </c>
      <c r="O1329" t="str">
        <f t="shared" ca="1" si="83"/>
        <v>Senior level</v>
      </c>
    </row>
    <row r="1330" spans="1:15" x14ac:dyDescent="0.3">
      <c r="A1330" t="s">
        <v>9614</v>
      </c>
      <c r="B1330" t="s">
        <v>9615</v>
      </c>
      <c r="C1330" t="s">
        <v>44</v>
      </c>
      <c r="D1330" t="s">
        <v>9616</v>
      </c>
      <c r="E1330" t="s">
        <v>9617</v>
      </c>
      <c r="F1330" t="s">
        <v>2585</v>
      </c>
      <c r="G1330" t="s">
        <v>9618</v>
      </c>
      <c r="H1330" t="s">
        <v>9619</v>
      </c>
      <c r="I1330">
        <f t="shared" ca="1" si="80"/>
        <v>54</v>
      </c>
      <c r="J1330" t="str">
        <f t="shared" ca="1" si="81"/>
        <v>50-59</v>
      </c>
      <c r="K1330">
        <v>61140.800000000003</v>
      </c>
      <c r="L1330" t="str">
        <f>IF(Workforce[[#This Row],[Salary]]&lt;50000,"30k-49k",IF(Workforce[[#This Row],[Salary]]&lt;70000,"50k-69k",IF(Workforce[[#This Row],[Salary]]&lt;90000,"70k-89k","90k+")))</f>
        <v>50k-69k</v>
      </c>
      <c r="M1330" t="s">
        <v>9620</v>
      </c>
      <c r="N1330">
        <f t="shared" ca="1" si="82"/>
        <v>2</v>
      </c>
      <c r="O1330" t="str">
        <f t="shared" ca="1" si="83"/>
        <v>Beginner</v>
      </c>
    </row>
    <row r="1331" spans="1:15" x14ac:dyDescent="0.3">
      <c r="A1331" t="s">
        <v>9621</v>
      </c>
      <c r="B1331" t="s">
        <v>9622</v>
      </c>
      <c r="C1331" t="s">
        <v>196</v>
      </c>
      <c r="D1331" t="s">
        <v>9623</v>
      </c>
      <c r="E1331" t="s">
        <v>9624</v>
      </c>
      <c r="F1331" t="s">
        <v>4148</v>
      </c>
      <c r="G1331" t="s">
        <v>9625</v>
      </c>
      <c r="H1331" t="s">
        <v>9626</v>
      </c>
      <c r="I1331">
        <f t="shared" ca="1" si="80"/>
        <v>19</v>
      </c>
      <c r="J1331" t="str">
        <f t="shared" ca="1" si="81"/>
        <v>18-29</v>
      </c>
      <c r="K1331">
        <v>83400.210000000006</v>
      </c>
      <c r="L1331" t="str">
        <f>IF(Workforce[[#This Row],[Salary]]&lt;50000,"30k-49k",IF(Workforce[[#This Row],[Salary]]&lt;70000,"50k-69k",IF(Workforce[[#This Row],[Salary]]&lt;90000,"70k-89k","90k+")))</f>
        <v>70k-89k</v>
      </c>
      <c r="M1331" t="s">
        <v>9627</v>
      </c>
      <c r="N1331">
        <f t="shared" ca="1" si="82"/>
        <v>6</v>
      </c>
      <c r="O1331" t="str">
        <f t="shared" ca="1" si="83"/>
        <v>Intermediate level</v>
      </c>
    </row>
    <row r="1332" spans="1:15" x14ac:dyDescent="0.3">
      <c r="A1332" t="s">
        <v>9628</v>
      </c>
      <c r="B1332" t="s">
        <v>9629</v>
      </c>
      <c r="C1332" t="s">
        <v>539</v>
      </c>
      <c r="D1332" t="s">
        <v>9630</v>
      </c>
      <c r="E1332" t="s">
        <v>9631</v>
      </c>
      <c r="F1332" t="s">
        <v>1634</v>
      </c>
      <c r="G1332" t="s">
        <v>9632</v>
      </c>
      <c r="H1332" t="s">
        <v>9633</v>
      </c>
      <c r="I1332">
        <f t="shared" ca="1" si="80"/>
        <v>38</v>
      </c>
      <c r="J1332" t="str">
        <f t="shared" ca="1" si="81"/>
        <v>30-39</v>
      </c>
      <c r="K1332">
        <v>39919.94</v>
      </c>
      <c r="L1332" t="str">
        <f>IF(Workforce[[#This Row],[Salary]]&lt;50000,"30k-49k",IF(Workforce[[#This Row],[Salary]]&lt;70000,"50k-69k",IF(Workforce[[#This Row],[Salary]]&lt;90000,"70k-89k","90k+")))</f>
        <v>30k-49k</v>
      </c>
      <c r="M1332" t="s">
        <v>9634</v>
      </c>
      <c r="N1332">
        <f t="shared" ca="1" si="82"/>
        <v>10</v>
      </c>
      <c r="O1332" t="str">
        <f t="shared" ca="1" si="83"/>
        <v>Senior level</v>
      </c>
    </row>
    <row r="1333" spans="1:15" x14ac:dyDescent="0.3">
      <c r="A1333" t="s">
        <v>9635</v>
      </c>
      <c r="B1333" t="s">
        <v>9636</v>
      </c>
      <c r="C1333" t="s">
        <v>88</v>
      </c>
      <c r="D1333" t="s">
        <v>9637</v>
      </c>
      <c r="E1333" t="s">
        <v>9638</v>
      </c>
      <c r="F1333" t="s">
        <v>4488</v>
      </c>
      <c r="G1333" t="s">
        <v>9639</v>
      </c>
      <c r="H1333" t="s">
        <v>9640</v>
      </c>
      <c r="I1333">
        <f t="shared" ca="1" si="80"/>
        <v>48</v>
      </c>
      <c r="J1333" t="str">
        <f t="shared" ca="1" si="81"/>
        <v>40-49</v>
      </c>
      <c r="K1333">
        <v>31258.32</v>
      </c>
      <c r="L1333" t="str">
        <f>IF(Workforce[[#This Row],[Salary]]&lt;50000,"30k-49k",IF(Workforce[[#This Row],[Salary]]&lt;70000,"50k-69k",IF(Workforce[[#This Row],[Salary]]&lt;90000,"70k-89k","90k+")))</f>
        <v>30k-49k</v>
      </c>
      <c r="M1333" t="s">
        <v>1391</v>
      </c>
      <c r="N1333">
        <f t="shared" ca="1" si="82"/>
        <v>3</v>
      </c>
      <c r="O1333" t="str">
        <f t="shared" ca="1" si="83"/>
        <v>Intermediate level</v>
      </c>
    </row>
    <row r="1334" spans="1:15" x14ac:dyDescent="0.3">
      <c r="A1334" t="s">
        <v>9641</v>
      </c>
      <c r="B1334" t="s">
        <v>9642</v>
      </c>
      <c r="C1334" t="s">
        <v>539</v>
      </c>
      <c r="D1334" t="s">
        <v>9643</v>
      </c>
      <c r="E1334" t="s">
        <v>9644</v>
      </c>
      <c r="F1334" t="s">
        <v>6456</v>
      </c>
      <c r="G1334" t="s">
        <v>9645</v>
      </c>
      <c r="H1334" t="s">
        <v>9646</v>
      </c>
      <c r="I1334">
        <f t="shared" ca="1" si="80"/>
        <v>56</v>
      </c>
      <c r="J1334" t="str">
        <f t="shared" ca="1" si="81"/>
        <v>50-59</v>
      </c>
      <c r="K1334">
        <v>35025.410000000003</v>
      </c>
      <c r="L1334" t="str">
        <f>IF(Workforce[[#This Row],[Salary]]&lt;50000,"30k-49k",IF(Workforce[[#This Row],[Salary]]&lt;70000,"50k-69k",IF(Workforce[[#This Row],[Salary]]&lt;90000,"70k-89k","90k+")))</f>
        <v>30k-49k</v>
      </c>
      <c r="M1334" t="s">
        <v>9647</v>
      </c>
      <c r="N1334">
        <f t="shared" ca="1" si="82"/>
        <v>1</v>
      </c>
      <c r="O1334" t="str">
        <f t="shared" ca="1" si="83"/>
        <v>Beginner</v>
      </c>
    </row>
    <row r="1335" spans="1:15" x14ac:dyDescent="0.3">
      <c r="A1335" t="s">
        <v>9648</v>
      </c>
      <c r="B1335" t="s">
        <v>9649</v>
      </c>
      <c r="C1335" t="s">
        <v>457</v>
      </c>
      <c r="D1335" t="s">
        <v>9650</v>
      </c>
      <c r="E1335" t="s">
        <v>9651</v>
      </c>
      <c r="F1335" t="s">
        <v>9652</v>
      </c>
      <c r="G1335" t="s">
        <v>9653</v>
      </c>
      <c r="H1335" t="s">
        <v>9654</v>
      </c>
      <c r="I1335">
        <f t="shared" ca="1" si="80"/>
        <v>19</v>
      </c>
      <c r="J1335" t="str">
        <f t="shared" ca="1" si="81"/>
        <v>18-29</v>
      </c>
      <c r="K1335">
        <v>117194.77</v>
      </c>
      <c r="L1335" t="str">
        <f>IF(Workforce[[#This Row],[Salary]]&lt;50000,"30k-49k",IF(Workforce[[#This Row],[Salary]]&lt;70000,"50k-69k",IF(Workforce[[#This Row],[Salary]]&lt;90000,"70k-89k","90k+")))</f>
        <v>90k+</v>
      </c>
      <c r="M1335" t="s">
        <v>9655</v>
      </c>
      <c r="N1335">
        <f t="shared" ca="1" si="82"/>
        <v>9</v>
      </c>
      <c r="O1335" t="str">
        <f t="shared" ca="1" si="83"/>
        <v>Senior level</v>
      </c>
    </row>
    <row r="1336" spans="1:15" x14ac:dyDescent="0.3">
      <c r="A1336" t="s">
        <v>9656</v>
      </c>
      <c r="B1336" t="s">
        <v>9657</v>
      </c>
      <c r="C1336" t="s">
        <v>604</v>
      </c>
      <c r="D1336" t="s">
        <v>9658</v>
      </c>
      <c r="E1336" t="s">
        <v>9659</v>
      </c>
      <c r="F1336" t="s">
        <v>8172</v>
      </c>
      <c r="G1336" t="s">
        <v>9660</v>
      </c>
      <c r="H1336" t="s">
        <v>9661</v>
      </c>
      <c r="I1336">
        <f t="shared" ca="1" si="80"/>
        <v>51</v>
      </c>
      <c r="J1336" t="str">
        <f t="shared" ca="1" si="81"/>
        <v>50-59</v>
      </c>
      <c r="K1336">
        <v>36764.58</v>
      </c>
      <c r="L1336" t="str">
        <f>IF(Workforce[[#This Row],[Salary]]&lt;50000,"30k-49k",IF(Workforce[[#This Row],[Salary]]&lt;70000,"50k-69k",IF(Workforce[[#This Row],[Salary]]&lt;90000,"70k-89k","90k+")))</f>
        <v>30k-49k</v>
      </c>
      <c r="M1336" t="s">
        <v>9662</v>
      </c>
      <c r="N1336">
        <f t="shared" ca="1" si="82"/>
        <v>4</v>
      </c>
      <c r="O1336" t="str">
        <f t="shared" ca="1" si="83"/>
        <v>Intermediate level</v>
      </c>
    </row>
    <row r="1337" spans="1:15" x14ac:dyDescent="0.3">
      <c r="A1337" t="s">
        <v>9663</v>
      </c>
      <c r="B1337" t="s">
        <v>9664</v>
      </c>
      <c r="C1337" t="s">
        <v>222</v>
      </c>
      <c r="D1337" t="s">
        <v>9665</v>
      </c>
      <c r="E1337" t="s">
        <v>9666</v>
      </c>
      <c r="F1337" t="s">
        <v>2716</v>
      </c>
      <c r="G1337" t="s">
        <v>9667</v>
      </c>
      <c r="H1337" t="s">
        <v>9668</v>
      </c>
      <c r="I1337">
        <f t="shared" ca="1" si="80"/>
        <v>20</v>
      </c>
      <c r="J1337" t="str">
        <f t="shared" ca="1" si="81"/>
        <v>18-29</v>
      </c>
      <c r="K1337">
        <v>56869.21</v>
      </c>
      <c r="L1337" t="str">
        <f>IF(Workforce[[#This Row],[Salary]]&lt;50000,"30k-49k",IF(Workforce[[#This Row],[Salary]]&lt;70000,"50k-69k",IF(Workforce[[#This Row],[Salary]]&lt;90000,"70k-89k","90k+")))</f>
        <v>50k-69k</v>
      </c>
      <c r="M1337" t="s">
        <v>9669</v>
      </c>
      <c r="N1337">
        <f t="shared" ca="1" si="82"/>
        <v>1</v>
      </c>
      <c r="O1337" t="str">
        <f t="shared" ca="1" si="83"/>
        <v>Beginner</v>
      </c>
    </row>
    <row r="1338" spans="1:15" x14ac:dyDescent="0.3">
      <c r="A1338" t="s">
        <v>9670</v>
      </c>
      <c r="B1338" t="s">
        <v>9671</v>
      </c>
      <c r="C1338" t="s">
        <v>275</v>
      </c>
      <c r="D1338" t="s">
        <v>9672</v>
      </c>
      <c r="E1338" t="s">
        <v>9673</v>
      </c>
      <c r="F1338" t="s">
        <v>4096</v>
      </c>
      <c r="G1338" t="s">
        <v>9674</v>
      </c>
      <c r="H1338" t="s">
        <v>9675</v>
      </c>
      <c r="I1338">
        <f t="shared" ca="1" si="80"/>
        <v>45</v>
      </c>
      <c r="J1338" t="str">
        <f t="shared" ca="1" si="81"/>
        <v>40-49</v>
      </c>
      <c r="K1338">
        <v>80287.92</v>
      </c>
      <c r="L1338" t="str">
        <f>IF(Workforce[[#This Row],[Salary]]&lt;50000,"30k-49k",IF(Workforce[[#This Row],[Salary]]&lt;70000,"50k-69k",IF(Workforce[[#This Row],[Salary]]&lt;90000,"70k-89k","90k+")))</f>
        <v>70k-89k</v>
      </c>
      <c r="M1338" t="s">
        <v>8732</v>
      </c>
      <c r="N1338">
        <f t="shared" ca="1" si="82"/>
        <v>1</v>
      </c>
      <c r="O1338" t="str">
        <f t="shared" ca="1" si="83"/>
        <v>Beginner</v>
      </c>
    </row>
    <row r="1339" spans="1:15" x14ac:dyDescent="0.3">
      <c r="A1339" t="s">
        <v>9676</v>
      </c>
      <c r="B1339" t="s">
        <v>9677</v>
      </c>
      <c r="C1339" t="s">
        <v>326</v>
      </c>
      <c r="D1339" t="s">
        <v>9678</v>
      </c>
      <c r="E1339" t="s">
        <v>9679</v>
      </c>
      <c r="F1339" t="s">
        <v>9680</v>
      </c>
      <c r="G1339" t="s">
        <v>9681</v>
      </c>
      <c r="H1339" t="s">
        <v>9682</v>
      </c>
      <c r="I1339">
        <f t="shared" ca="1" si="80"/>
        <v>34</v>
      </c>
      <c r="J1339" t="str">
        <f t="shared" ca="1" si="81"/>
        <v>30-39</v>
      </c>
      <c r="K1339">
        <v>78331.41</v>
      </c>
      <c r="L1339" t="str">
        <f>IF(Workforce[[#This Row],[Salary]]&lt;50000,"30k-49k",IF(Workforce[[#This Row],[Salary]]&lt;70000,"50k-69k",IF(Workforce[[#This Row],[Salary]]&lt;90000,"70k-89k","90k+")))</f>
        <v>70k-89k</v>
      </c>
      <c r="M1339" t="s">
        <v>9683</v>
      </c>
      <c r="N1339">
        <f t="shared" ca="1" si="82"/>
        <v>6</v>
      </c>
      <c r="O1339" t="str">
        <f t="shared" ca="1" si="83"/>
        <v>Intermediate level</v>
      </c>
    </row>
    <row r="1340" spans="1:15" x14ac:dyDescent="0.3">
      <c r="A1340" t="s">
        <v>9684</v>
      </c>
      <c r="B1340" t="s">
        <v>9685</v>
      </c>
      <c r="C1340" t="s">
        <v>774</v>
      </c>
      <c r="D1340" t="s">
        <v>9686</v>
      </c>
      <c r="E1340" t="s">
        <v>9687</v>
      </c>
      <c r="F1340" t="s">
        <v>4082</v>
      </c>
      <c r="G1340" t="s">
        <v>9688</v>
      </c>
      <c r="H1340" t="s">
        <v>9689</v>
      </c>
      <c r="I1340">
        <f t="shared" ca="1" si="80"/>
        <v>59</v>
      </c>
      <c r="J1340" t="str">
        <f t="shared" ca="1" si="81"/>
        <v>50-59</v>
      </c>
      <c r="K1340">
        <v>81794.259999999995</v>
      </c>
      <c r="L1340" t="str">
        <f>IF(Workforce[[#This Row],[Salary]]&lt;50000,"30k-49k",IF(Workforce[[#This Row],[Salary]]&lt;70000,"50k-69k",IF(Workforce[[#This Row],[Salary]]&lt;90000,"70k-89k","90k+")))</f>
        <v>70k-89k</v>
      </c>
      <c r="M1340" t="s">
        <v>9690</v>
      </c>
      <c r="N1340">
        <f t="shared" ca="1" si="82"/>
        <v>5</v>
      </c>
      <c r="O1340" t="str">
        <f t="shared" ca="1" si="83"/>
        <v>Intermediate level</v>
      </c>
    </row>
    <row r="1341" spans="1:15" x14ac:dyDescent="0.3">
      <c r="A1341" t="s">
        <v>9691</v>
      </c>
      <c r="B1341" t="s">
        <v>9692</v>
      </c>
      <c r="C1341" t="s">
        <v>653</v>
      </c>
      <c r="D1341" t="s">
        <v>9693</v>
      </c>
      <c r="E1341" t="s">
        <v>9694</v>
      </c>
      <c r="F1341" t="s">
        <v>1803</v>
      </c>
      <c r="G1341" t="s">
        <v>9695</v>
      </c>
      <c r="H1341" t="s">
        <v>9696</v>
      </c>
      <c r="I1341">
        <f t="shared" ca="1" si="80"/>
        <v>31</v>
      </c>
      <c r="J1341" t="str">
        <f t="shared" ca="1" si="81"/>
        <v>30-39</v>
      </c>
      <c r="K1341">
        <v>103468.61</v>
      </c>
      <c r="L1341" t="str">
        <f>IF(Workforce[[#This Row],[Salary]]&lt;50000,"30k-49k",IF(Workforce[[#This Row],[Salary]]&lt;70000,"50k-69k",IF(Workforce[[#This Row],[Salary]]&lt;90000,"70k-89k","90k+")))</f>
        <v>90k+</v>
      </c>
      <c r="M1341" t="s">
        <v>9697</v>
      </c>
      <c r="N1341">
        <f t="shared" ca="1" si="82"/>
        <v>10</v>
      </c>
      <c r="O1341" t="str">
        <f t="shared" ca="1" si="83"/>
        <v>Senior level</v>
      </c>
    </row>
    <row r="1342" spans="1:15" x14ac:dyDescent="0.3">
      <c r="A1342" t="s">
        <v>9698</v>
      </c>
      <c r="B1342" t="s">
        <v>9699</v>
      </c>
      <c r="C1342" t="s">
        <v>335</v>
      </c>
      <c r="D1342" t="s">
        <v>9700</v>
      </c>
      <c r="E1342" t="s">
        <v>9701</v>
      </c>
      <c r="F1342" t="s">
        <v>5379</v>
      </c>
      <c r="G1342" t="s">
        <v>9352</v>
      </c>
      <c r="H1342" t="s">
        <v>9702</v>
      </c>
      <c r="I1342">
        <f t="shared" ca="1" si="80"/>
        <v>66</v>
      </c>
      <c r="J1342" t="str">
        <f t="shared" ca="1" si="81"/>
        <v>60+</v>
      </c>
      <c r="K1342">
        <v>58120.24</v>
      </c>
      <c r="L1342" t="str">
        <f>IF(Workforce[[#This Row],[Salary]]&lt;50000,"30k-49k",IF(Workforce[[#This Row],[Salary]]&lt;70000,"50k-69k",IF(Workforce[[#This Row],[Salary]]&lt;90000,"70k-89k","90k+")))</f>
        <v>50k-69k</v>
      </c>
      <c r="M1342" t="s">
        <v>1591</v>
      </c>
      <c r="N1342">
        <f t="shared" ca="1" si="82"/>
        <v>8</v>
      </c>
      <c r="O1342" t="str">
        <f t="shared" ca="1" si="83"/>
        <v>Senior level</v>
      </c>
    </row>
    <row r="1343" spans="1:15" x14ac:dyDescent="0.3">
      <c r="A1343" t="s">
        <v>9703</v>
      </c>
      <c r="B1343" t="s">
        <v>9704</v>
      </c>
      <c r="C1343" t="s">
        <v>61</v>
      </c>
      <c r="D1343" t="s">
        <v>9705</v>
      </c>
      <c r="E1343" t="s">
        <v>9706</v>
      </c>
      <c r="F1343" t="s">
        <v>3668</v>
      </c>
      <c r="G1343" t="s">
        <v>9707</v>
      </c>
      <c r="H1343" t="s">
        <v>9708</v>
      </c>
      <c r="I1343">
        <f t="shared" ca="1" si="80"/>
        <v>49</v>
      </c>
      <c r="J1343" t="str">
        <f t="shared" ca="1" si="81"/>
        <v>40-49</v>
      </c>
      <c r="K1343">
        <v>73828.81</v>
      </c>
      <c r="L1343" t="str">
        <f>IF(Workforce[[#This Row],[Salary]]&lt;50000,"30k-49k",IF(Workforce[[#This Row],[Salary]]&lt;70000,"50k-69k",IF(Workforce[[#This Row],[Salary]]&lt;90000,"70k-89k","90k+")))</f>
        <v>70k-89k</v>
      </c>
      <c r="M1343" t="s">
        <v>9709</v>
      </c>
      <c r="N1343">
        <f t="shared" ca="1" si="82"/>
        <v>1</v>
      </c>
      <c r="O1343" t="str">
        <f t="shared" ca="1" si="83"/>
        <v>Beginner</v>
      </c>
    </row>
    <row r="1344" spans="1:15" x14ac:dyDescent="0.3">
      <c r="A1344" t="s">
        <v>9710</v>
      </c>
      <c r="B1344" t="s">
        <v>9711</v>
      </c>
      <c r="C1344" t="s">
        <v>2086</v>
      </c>
      <c r="D1344" t="s">
        <v>9712</v>
      </c>
      <c r="E1344" t="s">
        <v>9713</v>
      </c>
      <c r="F1344" t="s">
        <v>4836</v>
      </c>
      <c r="G1344" t="s">
        <v>9714</v>
      </c>
      <c r="H1344" t="s">
        <v>794</v>
      </c>
      <c r="I1344">
        <f t="shared" ca="1" si="80"/>
        <v>41</v>
      </c>
      <c r="J1344" t="str">
        <f t="shared" ca="1" si="81"/>
        <v>40-49</v>
      </c>
      <c r="K1344">
        <v>31327.439999999999</v>
      </c>
      <c r="L1344" t="str">
        <f>IF(Workforce[[#This Row],[Salary]]&lt;50000,"30k-49k",IF(Workforce[[#This Row],[Salary]]&lt;70000,"50k-69k",IF(Workforce[[#This Row],[Salary]]&lt;90000,"70k-89k","90k+")))</f>
        <v>30k-49k</v>
      </c>
      <c r="M1344" t="s">
        <v>9715</v>
      </c>
      <c r="N1344">
        <f t="shared" ca="1" si="82"/>
        <v>7</v>
      </c>
      <c r="O1344" t="str">
        <f t="shared" ca="1" si="83"/>
        <v>Senior level</v>
      </c>
    </row>
    <row r="1345" spans="1:15" x14ac:dyDescent="0.3">
      <c r="A1345" t="s">
        <v>9716</v>
      </c>
      <c r="B1345" t="s">
        <v>9717</v>
      </c>
      <c r="C1345" t="s">
        <v>482</v>
      </c>
      <c r="D1345" t="s">
        <v>9718</v>
      </c>
      <c r="E1345" t="s">
        <v>9719</v>
      </c>
      <c r="F1345" t="s">
        <v>926</v>
      </c>
      <c r="G1345" t="s">
        <v>9720</v>
      </c>
      <c r="H1345" t="s">
        <v>9721</v>
      </c>
      <c r="I1345">
        <f t="shared" ca="1" si="80"/>
        <v>45</v>
      </c>
      <c r="J1345" t="str">
        <f t="shared" ca="1" si="81"/>
        <v>40-49</v>
      </c>
      <c r="K1345">
        <v>76523.240000000005</v>
      </c>
      <c r="L1345" t="str">
        <f>IF(Workforce[[#This Row],[Salary]]&lt;50000,"30k-49k",IF(Workforce[[#This Row],[Salary]]&lt;70000,"50k-69k",IF(Workforce[[#This Row],[Salary]]&lt;90000,"70k-89k","90k+")))</f>
        <v>70k-89k</v>
      </c>
      <c r="M1345" t="s">
        <v>9722</v>
      </c>
      <c r="N1345">
        <f t="shared" ca="1" si="82"/>
        <v>1</v>
      </c>
      <c r="O1345" t="str">
        <f t="shared" ca="1" si="83"/>
        <v>Beginner</v>
      </c>
    </row>
    <row r="1346" spans="1:15" x14ac:dyDescent="0.3">
      <c r="A1346" t="s">
        <v>946</v>
      </c>
      <c r="B1346" t="s">
        <v>9723</v>
      </c>
      <c r="C1346" t="s">
        <v>240</v>
      </c>
      <c r="D1346" t="s">
        <v>9724</v>
      </c>
      <c r="E1346" t="s">
        <v>9725</v>
      </c>
      <c r="F1346" t="s">
        <v>7043</v>
      </c>
      <c r="G1346" t="s">
        <v>9726</v>
      </c>
      <c r="H1346" t="s">
        <v>9727</v>
      </c>
      <c r="I1346">
        <f t="shared" ref="I1346:I1409" ca="1" si="84">DATEDIF(H1346,TODAY(),"y")</f>
        <v>23</v>
      </c>
      <c r="J1346" t="str">
        <f t="shared" ref="J1346:J1409" ca="1" si="85">IF(I1346&lt;30,"18-29",IF(I1346&lt;40,"30-39",IF(I1346&lt;50,"40-49",IF(I1346&lt;60,"50-59","60+"))))</f>
        <v>18-29</v>
      </c>
      <c r="K1346">
        <v>60443.86</v>
      </c>
      <c r="L1346" t="str">
        <f>IF(Workforce[[#This Row],[Salary]]&lt;50000,"30k-49k",IF(Workforce[[#This Row],[Salary]]&lt;70000,"50k-69k",IF(Workforce[[#This Row],[Salary]]&lt;90000,"70k-89k","90k+")))</f>
        <v>50k-69k</v>
      </c>
      <c r="M1346" t="s">
        <v>9728</v>
      </c>
      <c r="N1346">
        <f t="shared" ref="N1346:N1409" ca="1" si="86">DATEDIF(M1346,TODAY(),"y")</f>
        <v>7</v>
      </c>
      <c r="O1346" t="str">
        <f t="shared" ref="O1346:O1409" ca="1" si="87">IF(N1346&lt;=2,"Beginner",IF(N1346&lt;=6,"Intermediate level","Senior level"))</f>
        <v>Senior level</v>
      </c>
    </row>
    <row r="1347" spans="1:15" x14ac:dyDescent="0.3">
      <c r="A1347" t="s">
        <v>9729</v>
      </c>
      <c r="B1347" t="s">
        <v>9730</v>
      </c>
      <c r="C1347" t="s">
        <v>196</v>
      </c>
      <c r="D1347" t="s">
        <v>9731</v>
      </c>
      <c r="E1347" t="s">
        <v>9732</v>
      </c>
      <c r="F1347" t="s">
        <v>2004</v>
      </c>
      <c r="G1347" t="s">
        <v>9733</v>
      </c>
      <c r="H1347" t="s">
        <v>9734</v>
      </c>
      <c r="I1347">
        <f t="shared" ca="1" si="84"/>
        <v>50</v>
      </c>
      <c r="J1347" t="str">
        <f t="shared" ca="1" si="85"/>
        <v>50-59</v>
      </c>
      <c r="K1347">
        <v>112277.57</v>
      </c>
      <c r="L1347" t="str">
        <f>IF(Workforce[[#This Row],[Salary]]&lt;50000,"30k-49k",IF(Workforce[[#This Row],[Salary]]&lt;70000,"50k-69k",IF(Workforce[[#This Row],[Salary]]&lt;90000,"70k-89k","90k+")))</f>
        <v>90k+</v>
      </c>
      <c r="M1347" t="s">
        <v>8341</v>
      </c>
      <c r="N1347">
        <f t="shared" ca="1" si="86"/>
        <v>3</v>
      </c>
      <c r="O1347" t="str">
        <f t="shared" ca="1" si="87"/>
        <v>Intermediate level</v>
      </c>
    </row>
    <row r="1348" spans="1:15" x14ac:dyDescent="0.3">
      <c r="A1348" t="s">
        <v>9735</v>
      </c>
      <c r="B1348" t="s">
        <v>9736</v>
      </c>
      <c r="C1348" t="s">
        <v>61</v>
      </c>
      <c r="D1348" t="s">
        <v>9737</v>
      </c>
      <c r="E1348" t="s">
        <v>9738</v>
      </c>
      <c r="F1348" t="s">
        <v>64</v>
      </c>
      <c r="G1348" t="s">
        <v>9739</v>
      </c>
      <c r="H1348" t="s">
        <v>9740</v>
      </c>
      <c r="I1348">
        <f t="shared" ca="1" si="84"/>
        <v>37</v>
      </c>
      <c r="J1348" t="str">
        <f t="shared" ca="1" si="85"/>
        <v>30-39</v>
      </c>
      <c r="K1348">
        <v>33900.06</v>
      </c>
      <c r="L1348" t="str">
        <f>IF(Workforce[[#This Row],[Salary]]&lt;50000,"30k-49k",IF(Workforce[[#This Row],[Salary]]&lt;70000,"50k-69k",IF(Workforce[[#This Row],[Salary]]&lt;90000,"70k-89k","90k+")))</f>
        <v>30k-49k</v>
      </c>
      <c r="M1348" t="s">
        <v>9741</v>
      </c>
      <c r="N1348">
        <f t="shared" ca="1" si="86"/>
        <v>5</v>
      </c>
      <c r="O1348" t="str">
        <f t="shared" ca="1" si="87"/>
        <v>Intermediate level</v>
      </c>
    </row>
    <row r="1349" spans="1:15" x14ac:dyDescent="0.3">
      <c r="A1349" t="s">
        <v>9742</v>
      </c>
      <c r="B1349" t="s">
        <v>9743</v>
      </c>
      <c r="C1349" t="s">
        <v>774</v>
      </c>
      <c r="D1349" t="s">
        <v>9744</v>
      </c>
      <c r="E1349" t="s">
        <v>9745</v>
      </c>
      <c r="F1349" t="s">
        <v>6556</v>
      </c>
      <c r="G1349" t="s">
        <v>9746</v>
      </c>
      <c r="H1349" t="s">
        <v>9747</v>
      </c>
      <c r="I1349">
        <f t="shared" ca="1" si="84"/>
        <v>31</v>
      </c>
      <c r="J1349" t="str">
        <f t="shared" ca="1" si="85"/>
        <v>30-39</v>
      </c>
      <c r="K1349">
        <v>86515.520000000004</v>
      </c>
      <c r="L1349" t="str">
        <f>IF(Workforce[[#This Row],[Salary]]&lt;50000,"30k-49k",IF(Workforce[[#This Row],[Salary]]&lt;70000,"50k-69k",IF(Workforce[[#This Row],[Salary]]&lt;90000,"70k-89k","90k+")))</f>
        <v>70k-89k</v>
      </c>
      <c r="M1349" t="s">
        <v>9748</v>
      </c>
      <c r="N1349">
        <f t="shared" ca="1" si="86"/>
        <v>2</v>
      </c>
      <c r="O1349" t="str">
        <f t="shared" ca="1" si="87"/>
        <v>Beginner</v>
      </c>
    </row>
    <row r="1350" spans="1:15" x14ac:dyDescent="0.3">
      <c r="A1350" t="s">
        <v>9749</v>
      </c>
      <c r="B1350" t="s">
        <v>9750</v>
      </c>
      <c r="C1350" t="s">
        <v>106</v>
      </c>
      <c r="D1350" t="s">
        <v>9751</v>
      </c>
      <c r="E1350" t="s">
        <v>9752</v>
      </c>
      <c r="F1350" t="s">
        <v>981</v>
      </c>
      <c r="G1350" t="s">
        <v>9753</v>
      </c>
      <c r="H1350" t="s">
        <v>9754</v>
      </c>
      <c r="I1350">
        <f t="shared" ca="1" si="84"/>
        <v>31</v>
      </c>
      <c r="J1350" t="str">
        <f t="shared" ca="1" si="85"/>
        <v>30-39</v>
      </c>
      <c r="K1350">
        <v>43542.92</v>
      </c>
      <c r="L1350" t="str">
        <f>IF(Workforce[[#This Row],[Salary]]&lt;50000,"30k-49k",IF(Workforce[[#This Row],[Salary]]&lt;70000,"50k-69k",IF(Workforce[[#This Row],[Salary]]&lt;90000,"70k-89k","90k+")))</f>
        <v>30k-49k</v>
      </c>
      <c r="M1350" t="s">
        <v>9755</v>
      </c>
      <c r="N1350">
        <f t="shared" ca="1" si="86"/>
        <v>10</v>
      </c>
      <c r="O1350" t="str">
        <f t="shared" ca="1" si="87"/>
        <v>Senior level</v>
      </c>
    </row>
    <row r="1351" spans="1:15" x14ac:dyDescent="0.3">
      <c r="A1351" t="s">
        <v>9756</v>
      </c>
      <c r="B1351" t="s">
        <v>9757</v>
      </c>
      <c r="C1351" t="s">
        <v>335</v>
      </c>
      <c r="D1351" t="s">
        <v>9758</v>
      </c>
      <c r="E1351" t="s">
        <v>9759</v>
      </c>
      <c r="F1351" t="s">
        <v>7043</v>
      </c>
      <c r="G1351" t="s">
        <v>9760</v>
      </c>
      <c r="H1351" t="s">
        <v>9761</v>
      </c>
      <c r="I1351">
        <f t="shared" ca="1" si="84"/>
        <v>46</v>
      </c>
      <c r="J1351" t="str">
        <f t="shared" ca="1" si="85"/>
        <v>40-49</v>
      </c>
      <c r="K1351">
        <v>118847.07</v>
      </c>
      <c r="L1351" t="str">
        <f>IF(Workforce[[#This Row],[Salary]]&lt;50000,"30k-49k",IF(Workforce[[#This Row],[Salary]]&lt;70000,"50k-69k",IF(Workforce[[#This Row],[Salary]]&lt;90000,"70k-89k","90k+")))</f>
        <v>90k+</v>
      </c>
      <c r="M1351" t="s">
        <v>7770</v>
      </c>
      <c r="N1351">
        <f t="shared" ca="1" si="86"/>
        <v>4</v>
      </c>
      <c r="O1351" t="str">
        <f t="shared" ca="1" si="87"/>
        <v>Intermediate level</v>
      </c>
    </row>
    <row r="1352" spans="1:15" x14ac:dyDescent="0.3">
      <c r="A1352" t="s">
        <v>9762</v>
      </c>
      <c r="B1352" t="s">
        <v>9763</v>
      </c>
      <c r="C1352" t="s">
        <v>335</v>
      </c>
      <c r="D1352" t="s">
        <v>9764</v>
      </c>
      <c r="E1352" t="s">
        <v>9765</v>
      </c>
      <c r="F1352" t="s">
        <v>1572</v>
      </c>
      <c r="G1352" t="s">
        <v>6364</v>
      </c>
      <c r="H1352" t="s">
        <v>6910</v>
      </c>
      <c r="I1352">
        <f t="shared" ca="1" si="84"/>
        <v>51</v>
      </c>
      <c r="J1352" t="str">
        <f t="shared" ca="1" si="85"/>
        <v>50-59</v>
      </c>
      <c r="K1352">
        <v>65840.5</v>
      </c>
      <c r="L1352" t="str">
        <f>IF(Workforce[[#This Row],[Salary]]&lt;50000,"30k-49k",IF(Workforce[[#This Row],[Salary]]&lt;70000,"50k-69k",IF(Workforce[[#This Row],[Salary]]&lt;90000,"70k-89k","90k+")))</f>
        <v>50k-69k</v>
      </c>
      <c r="M1352" t="s">
        <v>6559</v>
      </c>
      <c r="N1352">
        <f t="shared" ca="1" si="86"/>
        <v>9</v>
      </c>
      <c r="O1352" t="str">
        <f t="shared" ca="1" si="87"/>
        <v>Senior level</v>
      </c>
    </row>
    <row r="1353" spans="1:15" x14ac:dyDescent="0.3">
      <c r="A1353" t="s">
        <v>9766</v>
      </c>
      <c r="B1353" t="s">
        <v>9767</v>
      </c>
      <c r="C1353" t="s">
        <v>79</v>
      </c>
      <c r="D1353" t="s">
        <v>9768</v>
      </c>
      <c r="E1353" t="s">
        <v>9769</v>
      </c>
      <c r="F1353" t="s">
        <v>710</v>
      </c>
      <c r="G1353" t="s">
        <v>9770</v>
      </c>
      <c r="H1353" t="s">
        <v>9771</v>
      </c>
      <c r="I1353">
        <f t="shared" ca="1" si="84"/>
        <v>41</v>
      </c>
      <c r="J1353" t="str">
        <f t="shared" ca="1" si="85"/>
        <v>40-49</v>
      </c>
      <c r="K1353">
        <v>112360.56</v>
      </c>
      <c r="L1353" t="str">
        <f>IF(Workforce[[#This Row],[Salary]]&lt;50000,"30k-49k",IF(Workforce[[#This Row],[Salary]]&lt;70000,"50k-69k",IF(Workforce[[#This Row],[Salary]]&lt;90000,"70k-89k","90k+")))</f>
        <v>90k+</v>
      </c>
      <c r="M1353" t="s">
        <v>8886</v>
      </c>
      <c r="N1353">
        <f t="shared" ca="1" si="86"/>
        <v>3</v>
      </c>
      <c r="O1353" t="str">
        <f t="shared" ca="1" si="87"/>
        <v>Intermediate level</v>
      </c>
    </row>
    <row r="1354" spans="1:15" x14ac:dyDescent="0.3">
      <c r="A1354" t="s">
        <v>9772</v>
      </c>
      <c r="B1354" t="s">
        <v>9773</v>
      </c>
      <c r="C1354" t="s">
        <v>351</v>
      </c>
      <c r="D1354" t="s">
        <v>9774</v>
      </c>
      <c r="E1354" t="s">
        <v>9775</v>
      </c>
      <c r="F1354" t="s">
        <v>1241</v>
      </c>
      <c r="G1354" t="s">
        <v>9776</v>
      </c>
      <c r="H1354" t="s">
        <v>9777</v>
      </c>
      <c r="I1354">
        <f t="shared" ca="1" si="84"/>
        <v>39</v>
      </c>
      <c r="J1354" t="str">
        <f t="shared" ca="1" si="85"/>
        <v>30-39</v>
      </c>
      <c r="K1354">
        <v>77507.259999999995</v>
      </c>
      <c r="L1354" t="str">
        <f>IF(Workforce[[#This Row],[Salary]]&lt;50000,"30k-49k",IF(Workforce[[#This Row],[Salary]]&lt;70000,"50k-69k",IF(Workforce[[#This Row],[Salary]]&lt;90000,"70k-89k","90k+")))</f>
        <v>70k-89k</v>
      </c>
      <c r="M1354" t="s">
        <v>9778</v>
      </c>
      <c r="N1354">
        <f t="shared" ca="1" si="86"/>
        <v>3</v>
      </c>
      <c r="O1354" t="str">
        <f t="shared" ca="1" si="87"/>
        <v>Intermediate level</v>
      </c>
    </row>
    <row r="1355" spans="1:15" x14ac:dyDescent="0.3">
      <c r="A1355" t="s">
        <v>9779</v>
      </c>
      <c r="B1355" t="s">
        <v>9780</v>
      </c>
      <c r="C1355" t="s">
        <v>106</v>
      </c>
      <c r="D1355" t="s">
        <v>9781</v>
      </c>
      <c r="E1355" t="s">
        <v>9782</v>
      </c>
      <c r="F1355" t="s">
        <v>1366</v>
      </c>
      <c r="G1355" t="s">
        <v>9783</v>
      </c>
      <c r="H1355" t="s">
        <v>9784</v>
      </c>
      <c r="I1355">
        <f t="shared" ca="1" si="84"/>
        <v>19</v>
      </c>
      <c r="J1355" t="str">
        <f t="shared" ca="1" si="85"/>
        <v>18-29</v>
      </c>
      <c r="K1355">
        <v>107892.33</v>
      </c>
      <c r="L1355" t="str">
        <f>IF(Workforce[[#This Row],[Salary]]&lt;50000,"30k-49k",IF(Workforce[[#This Row],[Salary]]&lt;70000,"50k-69k",IF(Workforce[[#This Row],[Salary]]&lt;90000,"70k-89k","90k+")))</f>
        <v>90k+</v>
      </c>
      <c r="M1355" t="s">
        <v>9785</v>
      </c>
      <c r="N1355">
        <f t="shared" ca="1" si="86"/>
        <v>9</v>
      </c>
      <c r="O1355" t="str">
        <f t="shared" ca="1" si="87"/>
        <v>Senior level</v>
      </c>
    </row>
    <row r="1356" spans="1:15" x14ac:dyDescent="0.3">
      <c r="A1356" t="s">
        <v>9786</v>
      </c>
      <c r="B1356" t="s">
        <v>9787</v>
      </c>
      <c r="C1356" t="s">
        <v>580</v>
      </c>
      <c r="D1356" t="s">
        <v>9788</v>
      </c>
      <c r="E1356" t="s">
        <v>9789</v>
      </c>
      <c r="F1356" t="s">
        <v>9790</v>
      </c>
      <c r="G1356" t="s">
        <v>9791</v>
      </c>
      <c r="H1356" t="s">
        <v>9792</v>
      </c>
      <c r="I1356">
        <f t="shared" ca="1" si="84"/>
        <v>52</v>
      </c>
      <c r="J1356" t="str">
        <f t="shared" ca="1" si="85"/>
        <v>50-59</v>
      </c>
      <c r="K1356">
        <v>56540.4</v>
      </c>
      <c r="L1356" t="str">
        <f>IF(Workforce[[#This Row],[Salary]]&lt;50000,"30k-49k",IF(Workforce[[#This Row],[Salary]]&lt;70000,"50k-69k",IF(Workforce[[#This Row],[Salary]]&lt;90000,"70k-89k","90k+")))</f>
        <v>50k-69k</v>
      </c>
      <c r="M1356" t="s">
        <v>9793</v>
      </c>
      <c r="N1356">
        <f t="shared" ca="1" si="86"/>
        <v>8</v>
      </c>
      <c r="O1356" t="str">
        <f t="shared" ca="1" si="87"/>
        <v>Senior level</v>
      </c>
    </row>
    <row r="1357" spans="1:15" x14ac:dyDescent="0.3">
      <c r="A1357" t="s">
        <v>9794</v>
      </c>
      <c r="B1357" t="s">
        <v>9795</v>
      </c>
      <c r="C1357" t="s">
        <v>482</v>
      </c>
      <c r="D1357" t="s">
        <v>9796</v>
      </c>
      <c r="E1357" t="s">
        <v>9797</v>
      </c>
      <c r="F1357" t="s">
        <v>525</v>
      </c>
      <c r="G1357" t="s">
        <v>9798</v>
      </c>
      <c r="H1357" t="s">
        <v>9799</v>
      </c>
      <c r="I1357">
        <f t="shared" ca="1" si="84"/>
        <v>19</v>
      </c>
      <c r="J1357" t="str">
        <f t="shared" ca="1" si="85"/>
        <v>18-29</v>
      </c>
      <c r="K1357">
        <v>71247.820000000007</v>
      </c>
      <c r="L1357" t="str">
        <f>IF(Workforce[[#This Row],[Salary]]&lt;50000,"30k-49k",IF(Workforce[[#This Row],[Salary]]&lt;70000,"50k-69k",IF(Workforce[[#This Row],[Salary]]&lt;90000,"70k-89k","90k+")))</f>
        <v>70k-89k</v>
      </c>
      <c r="M1357" t="s">
        <v>9800</v>
      </c>
      <c r="N1357">
        <f t="shared" ca="1" si="86"/>
        <v>4</v>
      </c>
      <c r="O1357" t="str">
        <f t="shared" ca="1" si="87"/>
        <v>Intermediate level</v>
      </c>
    </row>
    <row r="1358" spans="1:15" x14ac:dyDescent="0.3">
      <c r="A1358" t="s">
        <v>9801</v>
      </c>
      <c r="B1358" t="s">
        <v>9802</v>
      </c>
      <c r="C1358" t="s">
        <v>539</v>
      </c>
      <c r="D1358" t="s">
        <v>9803</v>
      </c>
      <c r="E1358" t="s">
        <v>9804</v>
      </c>
      <c r="F1358" t="s">
        <v>9805</v>
      </c>
      <c r="G1358" t="s">
        <v>9806</v>
      </c>
      <c r="H1358" t="s">
        <v>1858</v>
      </c>
      <c r="I1358">
        <f t="shared" ca="1" si="84"/>
        <v>59</v>
      </c>
      <c r="J1358" t="str">
        <f t="shared" ca="1" si="85"/>
        <v>50-59</v>
      </c>
      <c r="K1358">
        <v>36512.980000000003</v>
      </c>
      <c r="L1358" t="str">
        <f>IF(Workforce[[#This Row],[Salary]]&lt;50000,"30k-49k",IF(Workforce[[#This Row],[Salary]]&lt;70000,"50k-69k",IF(Workforce[[#This Row],[Salary]]&lt;90000,"70k-89k","90k+")))</f>
        <v>30k-49k</v>
      </c>
      <c r="M1358" t="s">
        <v>9807</v>
      </c>
      <c r="N1358">
        <f t="shared" ca="1" si="86"/>
        <v>7</v>
      </c>
      <c r="O1358" t="str">
        <f t="shared" ca="1" si="87"/>
        <v>Senior level</v>
      </c>
    </row>
    <row r="1359" spans="1:15" x14ac:dyDescent="0.3">
      <c r="A1359" t="s">
        <v>9808</v>
      </c>
      <c r="B1359" t="s">
        <v>9809</v>
      </c>
      <c r="C1359" t="s">
        <v>257</v>
      </c>
      <c r="D1359" t="s">
        <v>9810</v>
      </c>
      <c r="E1359" t="s">
        <v>9811</v>
      </c>
      <c r="F1359" t="s">
        <v>3308</v>
      </c>
      <c r="G1359" t="s">
        <v>9812</v>
      </c>
      <c r="H1359" t="s">
        <v>9813</v>
      </c>
      <c r="I1359">
        <f t="shared" ca="1" si="84"/>
        <v>20</v>
      </c>
      <c r="J1359" t="str">
        <f t="shared" ca="1" si="85"/>
        <v>18-29</v>
      </c>
      <c r="K1359">
        <v>43025.18</v>
      </c>
      <c r="L1359" t="str">
        <f>IF(Workforce[[#This Row],[Salary]]&lt;50000,"30k-49k",IF(Workforce[[#This Row],[Salary]]&lt;70000,"50k-69k",IF(Workforce[[#This Row],[Salary]]&lt;90000,"70k-89k","90k+")))</f>
        <v>30k-49k</v>
      </c>
      <c r="M1359" t="s">
        <v>9814</v>
      </c>
      <c r="N1359">
        <f t="shared" ca="1" si="86"/>
        <v>5</v>
      </c>
      <c r="O1359" t="str">
        <f t="shared" ca="1" si="87"/>
        <v>Intermediate level</v>
      </c>
    </row>
    <row r="1360" spans="1:15" x14ac:dyDescent="0.3">
      <c r="A1360" t="s">
        <v>9815</v>
      </c>
      <c r="B1360" t="s">
        <v>9816</v>
      </c>
      <c r="C1360" t="s">
        <v>231</v>
      </c>
      <c r="D1360" t="s">
        <v>9817</v>
      </c>
      <c r="E1360" t="s">
        <v>9818</v>
      </c>
      <c r="F1360" t="s">
        <v>1950</v>
      </c>
      <c r="G1360" t="s">
        <v>9819</v>
      </c>
      <c r="H1360" t="s">
        <v>9820</v>
      </c>
      <c r="I1360">
        <f t="shared" ca="1" si="84"/>
        <v>53</v>
      </c>
      <c r="J1360" t="str">
        <f t="shared" ca="1" si="85"/>
        <v>50-59</v>
      </c>
      <c r="K1360">
        <v>66853.710000000006</v>
      </c>
      <c r="L1360" t="str">
        <f>IF(Workforce[[#This Row],[Salary]]&lt;50000,"30k-49k",IF(Workforce[[#This Row],[Salary]]&lt;70000,"50k-69k",IF(Workforce[[#This Row],[Salary]]&lt;90000,"70k-89k","90k+")))</f>
        <v>50k-69k</v>
      </c>
      <c r="M1360" t="s">
        <v>4846</v>
      </c>
      <c r="N1360">
        <f t="shared" ca="1" si="86"/>
        <v>7</v>
      </c>
      <c r="O1360" t="str">
        <f t="shared" ca="1" si="87"/>
        <v>Senior level</v>
      </c>
    </row>
    <row r="1361" spans="1:15" x14ac:dyDescent="0.3">
      <c r="A1361" t="s">
        <v>9821</v>
      </c>
      <c r="B1361" t="s">
        <v>9822</v>
      </c>
      <c r="C1361" t="s">
        <v>160</v>
      </c>
      <c r="D1361" t="s">
        <v>9823</v>
      </c>
      <c r="E1361" t="s">
        <v>9824</v>
      </c>
      <c r="F1361" t="s">
        <v>434</v>
      </c>
      <c r="G1361" t="s">
        <v>9825</v>
      </c>
      <c r="H1361" t="s">
        <v>9826</v>
      </c>
      <c r="I1361">
        <f t="shared" ca="1" si="84"/>
        <v>38</v>
      </c>
      <c r="J1361" t="str">
        <f t="shared" ca="1" si="85"/>
        <v>30-39</v>
      </c>
      <c r="K1361">
        <v>90187.19</v>
      </c>
      <c r="L1361" t="str">
        <f>IF(Workforce[[#This Row],[Salary]]&lt;50000,"30k-49k",IF(Workforce[[#This Row],[Salary]]&lt;70000,"50k-69k",IF(Workforce[[#This Row],[Salary]]&lt;90000,"70k-89k","90k+")))</f>
        <v>90k+</v>
      </c>
      <c r="M1361" t="s">
        <v>9827</v>
      </c>
      <c r="N1361">
        <f t="shared" ca="1" si="86"/>
        <v>2</v>
      </c>
      <c r="O1361" t="str">
        <f t="shared" ca="1" si="87"/>
        <v>Beginner</v>
      </c>
    </row>
    <row r="1362" spans="1:15" x14ac:dyDescent="0.3">
      <c r="A1362" t="s">
        <v>9828</v>
      </c>
      <c r="B1362" t="s">
        <v>9829</v>
      </c>
      <c r="C1362" t="s">
        <v>196</v>
      </c>
      <c r="D1362" t="s">
        <v>9830</v>
      </c>
      <c r="E1362" t="s">
        <v>9831</v>
      </c>
      <c r="F1362" t="s">
        <v>1076</v>
      </c>
      <c r="G1362" t="s">
        <v>9832</v>
      </c>
      <c r="H1362" t="s">
        <v>9833</v>
      </c>
      <c r="I1362">
        <f t="shared" ca="1" si="84"/>
        <v>25</v>
      </c>
      <c r="J1362" t="str">
        <f t="shared" ca="1" si="85"/>
        <v>18-29</v>
      </c>
      <c r="K1362">
        <v>58827.75</v>
      </c>
      <c r="L1362" t="str">
        <f>IF(Workforce[[#This Row],[Salary]]&lt;50000,"30k-49k",IF(Workforce[[#This Row],[Salary]]&lt;70000,"50k-69k",IF(Workforce[[#This Row],[Salary]]&lt;90000,"70k-89k","90k+")))</f>
        <v>50k-69k</v>
      </c>
      <c r="M1362" t="s">
        <v>9834</v>
      </c>
      <c r="N1362">
        <f t="shared" ca="1" si="86"/>
        <v>7</v>
      </c>
      <c r="O1362" t="str">
        <f t="shared" ca="1" si="87"/>
        <v>Senior level</v>
      </c>
    </row>
    <row r="1363" spans="1:15" x14ac:dyDescent="0.3">
      <c r="A1363" t="s">
        <v>9835</v>
      </c>
      <c r="B1363" t="s">
        <v>9836</v>
      </c>
      <c r="C1363" t="s">
        <v>97</v>
      </c>
      <c r="D1363" t="s">
        <v>9837</v>
      </c>
      <c r="E1363" t="s">
        <v>9838</v>
      </c>
      <c r="F1363" t="s">
        <v>5293</v>
      </c>
      <c r="G1363" t="s">
        <v>9839</v>
      </c>
      <c r="H1363" t="s">
        <v>9840</v>
      </c>
      <c r="I1363">
        <f t="shared" ca="1" si="84"/>
        <v>39</v>
      </c>
      <c r="J1363" t="str">
        <f t="shared" ca="1" si="85"/>
        <v>30-39</v>
      </c>
      <c r="K1363">
        <v>48344.32</v>
      </c>
      <c r="L1363" t="str">
        <f>IF(Workforce[[#This Row],[Salary]]&lt;50000,"30k-49k",IF(Workforce[[#This Row],[Salary]]&lt;70000,"50k-69k",IF(Workforce[[#This Row],[Salary]]&lt;90000,"70k-89k","90k+")))</f>
        <v>30k-49k</v>
      </c>
      <c r="M1363" t="s">
        <v>9841</v>
      </c>
      <c r="N1363">
        <f t="shared" ca="1" si="86"/>
        <v>1</v>
      </c>
      <c r="O1363" t="str">
        <f t="shared" ca="1" si="87"/>
        <v>Beginner</v>
      </c>
    </row>
    <row r="1364" spans="1:15" x14ac:dyDescent="0.3">
      <c r="A1364" t="s">
        <v>9676</v>
      </c>
      <c r="B1364" t="s">
        <v>9842</v>
      </c>
      <c r="C1364" t="s">
        <v>995</v>
      </c>
      <c r="D1364" t="s">
        <v>9843</v>
      </c>
      <c r="E1364" t="s">
        <v>9844</v>
      </c>
      <c r="F1364" t="s">
        <v>5792</v>
      </c>
      <c r="G1364" t="s">
        <v>9845</v>
      </c>
      <c r="H1364" t="s">
        <v>9846</v>
      </c>
      <c r="I1364">
        <f t="shared" ca="1" si="84"/>
        <v>21</v>
      </c>
      <c r="J1364" t="str">
        <f t="shared" ca="1" si="85"/>
        <v>18-29</v>
      </c>
      <c r="K1364">
        <v>38691.11</v>
      </c>
      <c r="L1364" t="str">
        <f>IF(Workforce[[#This Row],[Salary]]&lt;50000,"30k-49k",IF(Workforce[[#This Row],[Salary]]&lt;70000,"50k-69k",IF(Workforce[[#This Row],[Salary]]&lt;90000,"70k-89k","90k+")))</f>
        <v>30k-49k</v>
      </c>
      <c r="M1364" t="s">
        <v>7082</v>
      </c>
      <c r="N1364">
        <f t="shared" ca="1" si="86"/>
        <v>10</v>
      </c>
      <c r="O1364" t="str">
        <f t="shared" ca="1" si="87"/>
        <v>Senior level</v>
      </c>
    </row>
    <row r="1365" spans="1:15" x14ac:dyDescent="0.3">
      <c r="A1365" t="s">
        <v>9847</v>
      </c>
      <c r="B1365" t="s">
        <v>9848</v>
      </c>
      <c r="C1365" t="s">
        <v>2086</v>
      </c>
      <c r="D1365" t="s">
        <v>9849</v>
      </c>
      <c r="E1365" t="s">
        <v>9850</v>
      </c>
      <c r="F1365" t="s">
        <v>2117</v>
      </c>
      <c r="G1365" t="s">
        <v>9851</v>
      </c>
      <c r="H1365" t="s">
        <v>9852</v>
      </c>
      <c r="I1365">
        <f t="shared" ca="1" si="84"/>
        <v>35</v>
      </c>
      <c r="J1365" t="str">
        <f t="shared" ca="1" si="85"/>
        <v>30-39</v>
      </c>
      <c r="K1365">
        <v>73637.149999999994</v>
      </c>
      <c r="L1365" t="str">
        <f>IF(Workforce[[#This Row],[Salary]]&lt;50000,"30k-49k",IF(Workforce[[#This Row],[Salary]]&lt;70000,"50k-69k",IF(Workforce[[#This Row],[Salary]]&lt;90000,"70k-89k","90k+")))</f>
        <v>70k-89k</v>
      </c>
      <c r="M1365" t="s">
        <v>945</v>
      </c>
      <c r="N1365">
        <f t="shared" ca="1" si="86"/>
        <v>2</v>
      </c>
      <c r="O1365" t="str">
        <f t="shared" ca="1" si="87"/>
        <v>Beginner</v>
      </c>
    </row>
    <row r="1366" spans="1:15" x14ac:dyDescent="0.3">
      <c r="A1366" t="s">
        <v>9853</v>
      </c>
      <c r="B1366" t="s">
        <v>9854</v>
      </c>
      <c r="C1366" t="s">
        <v>1004</v>
      </c>
      <c r="D1366" t="s">
        <v>9855</v>
      </c>
      <c r="E1366" t="s">
        <v>9856</v>
      </c>
      <c r="F1366" t="s">
        <v>7811</v>
      </c>
      <c r="G1366" t="s">
        <v>9857</v>
      </c>
      <c r="H1366" t="s">
        <v>9858</v>
      </c>
      <c r="I1366">
        <f t="shared" ca="1" si="84"/>
        <v>31</v>
      </c>
      <c r="J1366" t="str">
        <f t="shared" ca="1" si="85"/>
        <v>30-39</v>
      </c>
      <c r="K1366">
        <v>103397.55</v>
      </c>
      <c r="L1366" t="str">
        <f>IF(Workforce[[#This Row],[Salary]]&lt;50000,"30k-49k",IF(Workforce[[#This Row],[Salary]]&lt;70000,"50k-69k",IF(Workforce[[#This Row],[Salary]]&lt;90000,"70k-89k","90k+")))</f>
        <v>90k+</v>
      </c>
      <c r="M1366" t="s">
        <v>9859</v>
      </c>
      <c r="N1366">
        <f t="shared" ca="1" si="86"/>
        <v>7</v>
      </c>
      <c r="O1366" t="str">
        <f t="shared" ca="1" si="87"/>
        <v>Senior level</v>
      </c>
    </row>
    <row r="1367" spans="1:15" x14ac:dyDescent="0.3">
      <c r="A1367" t="s">
        <v>9860</v>
      </c>
      <c r="B1367" t="s">
        <v>9861</v>
      </c>
      <c r="C1367" t="s">
        <v>1004</v>
      </c>
      <c r="D1367" t="s">
        <v>9862</v>
      </c>
      <c r="E1367" t="s">
        <v>9863</v>
      </c>
      <c r="F1367" t="s">
        <v>5214</v>
      </c>
      <c r="G1367" t="s">
        <v>9864</v>
      </c>
      <c r="H1367" t="s">
        <v>9865</v>
      </c>
      <c r="I1367">
        <f t="shared" ca="1" si="84"/>
        <v>44</v>
      </c>
      <c r="J1367" t="str">
        <f t="shared" ca="1" si="85"/>
        <v>40-49</v>
      </c>
      <c r="K1367">
        <v>98334.26</v>
      </c>
      <c r="L1367" t="str">
        <f>IF(Workforce[[#This Row],[Salary]]&lt;50000,"30k-49k",IF(Workforce[[#This Row],[Salary]]&lt;70000,"50k-69k",IF(Workforce[[#This Row],[Salary]]&lt;90000,"70k-89k","90k+")))</f>
        <v>90k+</v>
      </c>
      <c r="M1367" t="s">
        <v>9866</v>
      </c>
      <c r="N1367">
        <f t="shared" ca="1" si="86"/>
        <v>10</v>
      </c>
      <c r="O1367" t="str">
        <f t="shared" ca="1" si="87"/>
        <v>Senior level</v>
      </c>
    </row>
    <row r="1368" spans="1:15" x14ac:dyDescent="0.3">
      <c r="A1368" t="s">
        <v>9867</v>
      </c>
      <c r="B1368" t="s">
        <v>9868</v>
      </c>
      <c r="C1368" t="s">
        <v>2086</v>
      </c>
      <c r="D1368" t="s">
        <v>9869</v>
      </c>
      <c r="E1368" t="s">
        <v>9870</v>
      </c>
      <c r="F1368" t="s">
        <v>8083</v>
      </c>
      <c r="G1368" t="s">
        <v>9871</v>
      </c>
      <c r="H1368" t="s">
        <v>9872</v>
      </c>
      <c r="I1368">
        <f t="shared" ca="1" si="84"/>
        <v>64</v>
      </c>
      <c r="J1368" t="str">
        <f t="shared" ca="1" si="85"/>
        <v>60+</v>
      </c>
      <c r="K1368">
        <v>69478.990000000005</v>
      </c>
      <c r="L1368" t="str">
        <f>IF(Workforce[[#This Row],[Salary]]&lt;50000,"30k-49k",IF(Workforce[[#This Row],[Salary]]&lt;70000,"50k-69k",IF(Workforce[[#This Row],[Salary]]&lt;90000,"70k-89k","90k+")))</f>
        <v>50k-69k</v>
      </c>
      <c r="M1368" t="s">
        <v>5048</v>
      </c>
      <c r="N1368">
        <f t="shared" ca="1" si="86"/>
        <v>1</v>
      </c>
      <c r="O1368" t="str">
        <f t="shared" ca="1" si="87"/>
        <v>Beginner</v>
      </c>
    </row>
    <row r="1369" spans="1:15" x14ac:dyDescent="0.3">
      <c r="A1369" t="s">
        <v>9873</v>
      </c>
      <c r="B1369" t="s">
        <v>9874</v>
      </c>
      <c r="C1369" t="s">
        <v>160</v>
      </c>
      <c r="D1369" t="s">
        <v>9875</v>
      </c>
      <c r="E1369" t="s">
        <v>9876</v>
      </c>
      <c r="F1369" t="s">
        <v>5918</v>
      </c>
      <c r="G1369" t="s">
        <v>9877</v>
      </c>
      <c r="H1369" t="s">
        <v>9878</v>
      </c>
      <c r="I1369">
        <f t="shared" ca="1" si="84"/>
        <v>55</v>
      </c>
      <c r="J1369" t="str">
        <f t="shared" ca="1" si="85"/>
        <v>50-59</v>
      </c>
      <c r="K1369">
        <v>80058.990000000005</v>
      </c>
      <c r="L1369" t="str">
        <f>IF(Workforce[[#This Row],[Salary]]&lt;50000,"30k-49k",IF(Workforce[[#This Row],[Salary]]&lt;70000,"50k-69k",IF(Workforce[[#This Row],[Salary]]&lt;90000,"70k-89k","90k+")))</f>
        <v>70k-89k</v>
      </c>
      <c r="M1369" t="s">
        <v>9879</v>
      </c>
      <c r="N1369">
        <f t="shared" ca="1" si="86"/>
        <v>6</v>
      </c>
      <c r="O1369" t="str">
        <f t="shared" ca="1" si="87"/>
        <v>Intermediate level</v>
      </c>
    </row>
    <row r="1370" spans="1:15" x14ac:dyDescent="0.3">
      <c r="A1370" t="s">
        <v>9880</v>
      </c>
      <c r="B1370" t="s">
        <v>9881</v>
      </c>
      <c r="C1370" t="s">
        <v>317</v>
      </c>
      <c r="D1370" t="s">
        <v>9882</v>
      </c>
      <c r="E1370" t="s">
        <v>9883</v>
      </c>
      <c r="F1370" t="s">
        <v>3598</v>
      </c>
      <c r="G1370" t="s">
        <v>9884</v>
      </c>
      <c r="H1370" t="s">
        <v>9885</v>
      </c>
      <c r="I1370">
        <f t="shared" ca="1" si="84"/>
        <v>55</v>
      </c>
      <c r="J1370" t="str">
        <f t="shared" ca="1" si="85"/>
        <v>50-59</v>
      </c>
      <c r="K1370">
        <v>74727.25</v>
      </c>
      <c r="L1370" t="str">
        <f>IF(Workforce[[#This Row],[Salary]]&lt;50000,"30k-49k",IF(Workforce[[#This Row],[Salary]]&lt;70000,"50k-69k",IF(Workforce[[#This Row],[Salary]]&lt;90000,"70k-89k","90k+")))</f>
        <v>70k-89k</v>
      </c>
      <c r="M1370" t="s">
        <v>3838</v>
      </c>
      <c r="N1370">
        <f t="shared" ca="1" si="86"/>
        <v>7</v>
      </c>
      <c r="O1370" t="str">
        <f t="shared" ca="1" si="87"/>
        <v>Senior level</v>
      </c>
    </row>
    <row r="1371" spans="1:15" x14ac:dyDescent="0.3">
      <c r="A1371" t="s">
        <v>9886</v>
      </c>
      <c r="B1371" t="s">
        <v>9887</v>
      </c>
      <c r="C1371" t="s">
        <v>222</v>
      </c>
      <c r="D1371" t="s">
        <v>9888</v>
      </c>
      <c r="E1371" t="s">
        <v>9889</v>
      </c>
      <c r="F1371" t="s">
        <v>1880</v>
      </c>
      <c r="G1371" t="s">
        <v>9890</v>
      </c>
      <c r="H1371" t="s">
        <v>9891</v>
      </c>
      <c r="I1371">
        <f t="shared" ca="1" si="84"/>
        <v>24</v>
      </c>
      <c r="J1371" t="str">
        <f t="shared" ca="1" si="85"/>
        <v>18-29</v>
      </c>
      <c r="K1371">
        <v>117519.63</v>
      </c>
      <c r="L1371" t="str">
        <f>IF(Workforce[[#This Row],[Salary]]&lt;50000,"30k-49k",IF(Workforce[[#This Row],[Salary]]&lt;70000,"50k-69k",IF(Workforce[[#This Row],[Salary]]&lt;90000,"70k-89k","90k+")))</f>
        <v>90k+</v>
      </c>
      <c r="M1371" t="s">
        <v>2572</v>
      </c>
      <c r="N1371">
        <f t="shared" ca="1" si="86"/>
        <v>1</v>
      </c>
      <c r="O1371" t="str">
        <f t="shared" ca="1" si="87"/>
        <v>Beginner</v>
      </c>
    </row>
    <row r="1372" spans="1:15" x14ac:dyDescent="0.3">
      <c r="A1372" t="s">
        <v>9892</v>
      </c>
      <c r="B1372" t="s">
        <v>9893</v>
      </c>
      <c r="C1372" t="s">
        <v>169</v>
      </c>
      <c r="D1372" t="s">
        <v>9894</v>
      </c>
      <c r="E1372" t="s">
        <v>9895</v>
      </c>
      <c r="F1372" t="s">
        <v>1596</v>
      </c>
      <c r="G1372" t="s">
        <v>9896</v>
      </c>
      <c r="H1372" t="s">
        <v>9897</v>
      </c>
      <c r="I1372">
        <f t="shared" ca="1" si="84"/>
        <v>27</v>
      </c>
      <c r="J1372" t="str">
        <f t="shared" ca="1" si="85"/>
        <v>18-29</v>
      </c>
      <c r="K1372">
        <v>34767.03</v>
      </c>
      <c r="L1372" t="str">
        <f>IF(Workforce[[#This Row],[Salary]]&lt;50000,"30k-49k",IF(Workforce[[#This Row],[Salary]]&lt;70000,"50k-69k",IF(Workforce[[#This Row],[Salary]]&lt;90000,"70k-89k","90k+")))</f>
        <v>30k-49k</v>
      </c>
      <c r="M1372" t="s">
        <v>9898</v>
      </c>
      <c r="N1372">
        <f t="shared" ca="1" si="86"/>
        <v>7</v>
      </c>
      <c r="O1372" t="str">
        <f t="shared" ca="1" si="87"/>
        <v>Senior level</v>
      </c>
    </row>
    <row r="1373" spans="1:15" x14ac:dyDescent="0.3">
      <c r="A1373" t="s">
        <v>9899</v>
      </c>
      <c r="B1373" t="s">
        <v>9900</v>
      </c>
      <c r="C1373" t="s">
        <v>26</v>
      </c>
      <c r="D1373" t="s">
        <v>9901</v>
      </c>
      <c r="E1373" t="s">
        <v>9902</v>
      </c>
      <c r="F1373" t="s">
        <v>2297</v>
      </c>
      <c r="G1373" t="s">
        <v>9903</v>
      </c>
      <c r="H1373" t="s">
        <v>9904</v>
      </c>
      <c r="I1373">
        <f t="shared" ca="1" si="84"/>
        <v>51</v>
      </c>
      <c r="J1373" t="str">
        <f t="shared" ca="1" si="85"/>
        <v>50-59</v>
      </c>
      <c r="K1373">
        <v>39383.870000000003</v>
      </c>
      <c r="L1373" t="str">
        <f>IF(Workforce[[#This Row],[Salary]]&lt;50000,"30k-49k",IF(Workforce[[#This Row],[Salary]]&lt;70000,"50k-69k",IF(Workforce[[#This Row],[Salary]]&lt;90000,"70k-89k","90k+")))</f>
        <v>30k-49k</v>
      </c>
      <c r="M1373" t="s">
        <v>9905</v>
      </c>
      <c r="N1373">
        <f t="shared" ca="1" si="86"/>
        <v>3</v>
      </c>
      <c r="O1373" t="str">
        <f t="shared" ca="1" si="87"/>
        <v>Intermediate level</v>
      </c>
    </row>
    <row r="1374" spans="1:15" x14ac:dyDescent="0.3">
      <c r="A1374" t="s">
        <v>9906</v>
      </c>
      <c r="B1374" t="s">
        <v>9907</v>
      </c>
      <c r="C1374" t="s">
        <v>88</v>
      </c>
      <c r="D1374" t="s">
        <v>9908</v>
      </c>
      <c r="E1374" t="s">
        <v>9909</v>
      </c>
      <c r="F1374" t="s">
        <v>7043</v>
      </c>
      <c r="G1374" t="s">
        <v>9910</v>
      </c>
      <c r="H1374" t="s">
        <v>9911</v>
      </c>
      <c r="I1374">
        <f t="shared" ca="1" si="84"/>
        <v>46</v>
      </c>
      <c r="J1374" t="str">
        <f t="shared" ca="1" si="85"/>
        <v>40-49</v>
      </c>
      <c r="K1374">
        <v>101517.12</v>
      </c>
      <c r="L1374" t="str">
        <f>IF(Workforce[[#This Row],[Salary]]&lt;50000,"30k-49k",IF(Workforce[[#This Row],[Salary]]&lt;70000,"50k-69k",IF(Workforce[[#This Row],[Salary]]&lt;90000,"70k-89k","90k+")))</f>
        <v>90k+</v>
      </c>
      <c r="M1374" t="s">
        <v>9912</v>
      </c>
      <c r="N1374">
        <f t="shared" ca="1" si="86"/>
        <v>2</v>
      </c>
      <c r="O1374" t="str">
        <f t="shared" ca="1" si="87"/>
        <v>Beginner</v>
      </c>
    </row>
    <row r="1375" spans="1:15" x14ac:dyDescent="0.3">
      <c r="A1375" t="s">
        <v>9913</v>
      </c>
      <c r="B1375" t="s">
        <v>9914</v>
      </c>
      <c r="C1375" t="s">
        <v>326</v>
      </c>
      <c r="D1375" t="s">
        <v>9915</v>
      </c>
      <c r="E1375" t="s">
        <v>9916</v>
      </c>
      <c r="F1375" t="s">
        <v>2945</v>
      </c>
      <c r="G1375" t="s">
        <v>3585</v>
      </c>
      <c r="H1375" t="s">
        <v>9917</v>
      </c>
      <c r="I1375">
        <f t="shared" ca="1" si="84"/>
        <v>21</v>
      </c>
      <c r="J1375" t="str">
        <f t="shared" ca="1" si="85"/>
        <v>18-29</v>
      </c>
      <c r="K1375">
        <v>89093.32</v>
      </c>
      <c r="L1375" t="str">
        <f>IF(Workforce[[#This Row],[Salary]]&lt;50000,"30k-49k",IF(Workforce[[#This Row],[Salary]]&lt;70000,"50k-69k",IF(Workforce[[#This Row],[Salary]]&lt;90000,"70k-89k","90k+")))</f>
        <v>70k-89k</v>
      </c>
      <c r="M1375" t="s">
        <v>9918</v>
      </c>
      <c r="N1375">
        <f t="shared" ca="1" si="86"/>
        <v>1</v>
      </c>
      <c r="O1375" t="str">
        <f t="shared" ca="1" si="87"/>
        <v>Beginner</v>
      </c>
    </row>
    <row r="1376" spans="1:15" x14ac:dyDescent="0.3">
      <c r="A1376" t="s">
        <v>9919</v>
      </c>
      <c r="B1376" t="s">
        <v>9920</v>
      </c>
      <c r="C1376" t="s">
        <v>160</v>
      </c>
      <c r="D1376" t="s">
        <v>9921</v>
      </c>
      <c r="E1376" t="s">
        <v>9922</v>
      </c>
      <c r="F1376" t="s">
        <v>934</v>
      </c>
      <c r="G1376" t="s">
        <v>9923</v>
      </c>
      <c r="H1376" t="s">
        <v>9924</v>
      </c>
      <c r="I1376">
        <f t="shared" ca="1" si="84"/>
        <v>35</v>
      </c>
      <c r="J1376" t="str">
        <f t="shared" ca="1" si="85"/>
        <v>30-39</v>
      </c>
      <c r="K1376">
        <v>95523.67</v>
      </c>
      <c r="L1376" t="str">
        <f>IF(Workforce[[#This Row],[Salary]]&lt;50000,"30k-49k",IF(Workforce[[#This Row],[Salary]]&lt;70000,"50k-69k",IF(Workforce[[#This Row],[Salary]]&lt;90000,"70k-89k","90k+")))</f>
        <v>90k+</v>
      </c>
      <c r="M1376" t="s">
        <v>9925</v>
      </c>
      <c r="N1376">
        <f t="shared" ca="1" si="86"/>
        <v>8</v>
      </c>
      <c r="O1376" t="str">
        <f t="shared" ca="1" si="87"/>
        <v>Senior level</v>
      </c>
    </row>
    <row r="1377" spans="1:15" x14ac:dyDescent="0.3">
      <c r="A1377" t="s">
        <v>9926</v>
      </c>
      <c r="B1377" t="s">
        <v>9927</v>
      </c>
      <c r="C1377" t="s">
        <v>1004</v>
      </c>
      <c r="D1377" t="s">
        <v>9928</v>
      </c>
      <c r="E1377" t="s">
        <v>9929</v>
      </c>
      <c r="F1377" t="s">
        <v>6503</v>
      </c>
      <c r="G1377" t="s">
        <v>9930</v>
      </c>
      <c r="H1377" t="s">
        <v>9931</v>
      </c>
      <c r="I1377">
        <f t="shared" ca="1" si="84"/>
        <v>41</v>
      </c>
      <c r="J1377" t="str">
        <f t="shared" ca="1" si="85"/>
        <v>40-49</v>
      </c>
      <c r="K1377">
        <v>113633.99</v>
      </c>
      <c r="L1377" t="str">
        <f>IF(Workforce[[#This Row],[Salary]]&lt;50000,"30k-49k",IF(Workforce[[#This Row],[Salary]]&lt;70000,"50k-69k",IF(Workforce[[#This Row],[Salary]]&lt;90000,"70k-89k","90k+")))</f>
        <v>90k+</v>
      </c>
      <c r="M1377" t="s">
        <v>9932</v>
      </c>
      <c r="N1377">
        <f t="shared" ca="1" si="86"/>
        <v>5</v>
      </c>
      <c r="O1377" t="str">
        <f t="shared" ca="1" si="87"/>
        <v>Intermediate level</v>
      </c>
    </row>
    <row r="1378" spans="1:15" x14ac:dyDescent="0.3">
      <c r="A1378" t="s">
        <v>9933</v>
      </c>
      <c r="B1378" t="s">
        <v>9934</v>
      </c>
      <c r="C1378" t="s">
        <v>748</v>
      </c>
      <c r="D1378" t="s">
        <v>9935</v>
      </c>
      <c r="E1378" t="s">
        <v>9936</v>
      </c>
      <c r="F1378" t="s">
        <v>4060</v>
      </c>
      <c r="G1378" t="s">
        <v>9937</v>
      </c>
      <c r="H1378" t="s">
        <v>1683</v>
      </c>
      <c r="I1378">
        <f t="shared" ca="1" si="84"/>
        <v>63</v>
      </c>
      <c r="J1378" t="str">
        <f t="shared" ca="1" si="85"/>
        <v>60+</v>
      </c>
      <c r="K1378">
        <v>51653.37</v>
      </c>
      <c r="L1378" t="str">
        <f>IF(Workforce[[#This Row],[Salary]]&lt;50000,"30k-49k",IF(Workforce[[#This Row],[Salary]]&lt;70000,"50k-69k",IF(Workforce[[#This Row],[Salary]]&lt;90000,"70k-89k","90k+")))</f>
        <v>50k-69k</v>
      </c>
      <c r="M1378" t="s">
        <v>9938</v>
      </c>
      <c r="N1378">
        <f t="shared" ca="1" si="86"/>
        <v>6</v>
      </c>
      <c r="O1378" t="str">
        <f t="shared" ca="1" si="87"/>
        <v>Intermediate level</v>
      </c>
    </row>
    <row r="1379" spans="1:15" x14ac:dyDescent="0.3">
      <c r="A1379" t="s">
        <v>9939</v>
      </c>
      <c r="B1379" t="s">
        <v>9940</v>
      </c>
      <c r="C1379" t="s">
        <v>457</v>
      </c>
      <c r="D1379" t="s">
        <v>9941</v>
      </c>
      <c r="E1379" t="s">
        <v>9942</v>
      </c>
      <c r="F1379" t="s">
        <v>7582</v>
      </c>
      <c r="G1379" t="s">
        <v>9943</v>
      </c>
      <c r="H1379" t="s">
        <v>9944</v>
      </c>
      <c r="I1379">
        <f t="shared" ca="1" si="84"/>
        <v>19</v>
      </c>
      <c r="J1379" t="str">
        <f t="shared" ca="1" si="85"/>
        <v>18-29</v>
      </c>
      <c r="K1379">
        <v>67703.960000000006</v>
      </c>
      <c r="L1379" t="str">
        <f>IF(Workforce[[#This Row],[Salary]]&lt;50000,"30k-49k",IF(Workforce[[#This Row],[Salary]]&lt;70000,"50k-69k",IF(Workforce[[#This Row],[Salary]]&lt;90000,"70k-89k","90k+")))</f>
        <v>50k-69k</v>
      </c>
      <c r="M1379" t="s">
        <v>2904</v>
      </c>
      <c r="N1379">
        <f t="shared" ca="1" si="86"/>
        <v>4</v>
      </c>
      <c r="O1379" t="str">
        <f t="shared" ca="1" si="87"/>
        <v>Intermediate level</v>
      </c>
    </row>
    <row r="1380" spans="1:15" x14ac:dyDescent="0.3">
      <c r="A1380" t="s">
        <v>9945</v>
      </c>
      <c r="B1380" t="s">
        <v>9946</v>
      </c>
      <c r="C1380" t="s">
        <v>115</v>
      </c>
      <c r="D1380" t="s">
        <v>9947</v>
      </c>
      <c r="E1380" t="s">
        <v>9948</v>
      </c>
      <c r="F1380" t="s">
        <v>1765</v>
      </c>
      <c r="G1380" t="s">
        <v>9949</v>
      </c>
      <c r="H1380" t="s">
        <v>9950</v>
      </c>
      <c r="I1380">
        <f t="shared" ca="1" si="84"/>
        <v>57</v>
      </c>
      <c r="J1380" t="str">
        <f t="shared" ca="1" si="85"/>
        <v>50-59</v>
      </c>
      <c r="K1380">
        <v>97538.7</v>
      </c>
      <c r="L1380" t="str">
        <f>IF(Workforce[[#This Row],[Salary]]&lt;50000,"30k-49k",IF(Workforce[[#This Row],[Salary]]&lt;70000,"50k-69k",IF(Workforce[[#This Row],[Salary]]&lt;90000,"70k-89k","90k+")))</f>
        <v>90k+</v>
      </c>
      <c r="M1380" t="s">
        <v>9951</v>
      </c>
      <c r="N1380">
        <f t="shared" ca="1" si="86"/>
        <v>5</v>
      </c>
      <c r="O1380" t="str">
        <f t="shared" ca="1" si="87"/>
        <v>Intermediate level</v>
      </c>
    </row>
    <row r="1381" spans="1:15" x14ac:dyDescent="0.3">
      <c r="A1381" t="s">
        <v>9952</v>
      </c>
      <c r="B1381" t="s">
        <v>9953</v>
      </c>
      <c r="C1381" t="s">
        <v>440</v>
      </c>
      <c r="D1381" t="s">
        <v>9954</v>
      </c>
      <c r="E1381" t="s">
        <v>9955</v>
      </c>
      <c r="F1381" t="s">
        <v>9956</v>
      </c>
      <c r="G1381" t="s">
        <v>9957</v>
      </c>
      <c r="H1381" t="s">
        <v>5396</v>
      </c>
      <c r="I1381">
        <f t="shared" ca="1" si="84"/>
        <v>19</v>
      </c>
      <c r="J1381" t="str">
        <f t="shared" ca="1" si="85"/>
        <v>18-29</v>
      </c>
      <c r="K1381">
        <v>40788.089999999997</v>
      </c>
      <c r="L1381" t="str">
        <f>IF(Workforce[[#This Row],[Salary]]&lt;50000,"30k-49k",IF(Workforce[[#This Row],[Salary]]&lt;70000,"50k-69k",IF(Workforce[[#This Row],[Salary]]&lt;90000,"70k-89k","90k+")))</f>
        <v>30k-49k</v>
      </c>
      <c r="M1381" t="s">
        <v>9094</v>
      </c>
      <c r="N1381">
        <f t="shared" ca="1" si="86"/>
        <v>3</v>
      </c>
      <c r="O1381" t="str">
        <f t="shared" ca="1" si="87"/>
        <v>Intermediate level</v>
      </c>
    </row>
    <row r="1382" spans="1:15" x14ac:dyDescent="0.3">
      <c r="A1382" t="s">
        <v>9958</v>
      </c>
      <c r="B1382" t="s">
        <v>9959</v>
      </c>
      <c r="C1382" t="s">
        <v>1043</v>
      </c>
      <c r="D1382" t="s">
        <v>9960</v>
      </c>
      <c r="E1382" t="s">
        <v>9961</v>
      </c>
      <c r="F1382" t="s">
        <v>4517</v>
      </c>
      <c r="G1382" t="s">
        <v>9962</v>
      </c>
      <c r="H1382" t="s">
        <v>9963</v>
      </c>
      <c r="I1382">
        <f t="shared" ca="1" si="84"/>
        <v>54</v>
      </c>
      <c r="J1382" t="str">
        <f t="shared" ca="1" si="85"/>
        <v>50-59</v>
      </c>
      <c r="K1382">
        <v>69781.320000000007</v>
      </c>
      <c r="L1382" t="str">
        <f>IF(Workforce[[#This Row],[Salary]]&lt;50000,"30k-49k",IF(Workforce[[#This Row],[Salary]]&lt;70000,"50k-69k",IF(Workforce[[#This Row],[Salary]]&lt;90000,"70k-89k","90k+")))</f>
        <v>50k-69k</v>
      </c>
      <c r="M1382" t="s">
        <v>9964</v>
      </c>
      <c r="N1382">
        <f t="shared" ca="1" si="86"/>
        <v>10</v>
      </c>
      <c r="O1382" t="str">
        <f t="shared" ca="1" si="87"/>
        <v>Senior level</v>
      </c>
    </row>
    <row r="1383" spans="1:15" x14ac:dyDescent="0.3">
      <c r="A1383" t="s">
        <v>9965</v>
      </c>
      <c r="B1383" t="s">
        <v>9966</v>
      </c>
      <c r="C1383" t="s">
        <v>44</v>
      </c>
      <c r="D1383" t="s">
        <v>9967</v>
      </c>
      <c r="E1383" t="s">
        <v>9968</v>
      </c>
      <c r="F1383" t="s">
        <v>998</v>
      </c>
      <c r="G1383" t="s">
        <v>9969</v>
      </c>
      <c r="H1383" t="s">
        <v>9970</v>
      </c>
      <c r="I1383">
        <f t="shared" ca="1" si="84"/>
        <v>47</v>
      </c>
      <c r="J1383" t="str">
        <f t="shared" ca="1" si="85"/>
        <v>40-49</v>
      </c>
      <c r="K1383">
        <v>31863.27</v>
      </c>
      <c r="L1383" t="str">
        <f>IF(Workforce[[#This Row],[Salary]]&lt;50000,"30k-49k",IF(Workforce[[#This Row],[Salary]]&lt;70000,"50k-69k",IF(Workforce[[#This Row],[Salary]]&lt;90000,"70k-89k","90k+")))</f>
        <v>30k-49k</v>
      </c>
      <c r="M1383" t="s">
        <v>9971</v>
      </c>
      <c r="N1383">
        <f t="shared" ca="1" si="86"/>
        <v>1</v>
      </c>
      <c r="O1383" t="str">
        <f t="shared" ca="1" si="87"/>
        <v>Beginner</v>
      </c>
    </row>
    <row r="1384" spans="1:15" x14ac:dyDescent="0.3">
      <c r="A1384" t="s">
        <v>9972</v>
      </c>
      <c r="B1384" t="s">
        <v>9973</v>
      </c>
      <c r="C1384" t="s">
        <v>178</v>
      </c>
      <c r="D1384" t="s">
        <v>9974</v>
      </c>
      <c r="E1384" t="s">
        <v>9975</v>
      </c>
      <c r="F1384" t="s">
        <v>426</v>
      </c>
      <c r="G1384" t="s">
        <v>9976</v>
      </c>
      <c r="H1384" t="s">
        <v>9977</v>
      </c>
      <c r="I1384">
        <f t="shared" ca="1" si="84"/>
        <v>45</v>
      </c>
      <c r="J1384" t="str">
        <f t="shared" ca="1" si="85"/>
        <v>40-49</v>
      </c>
      <c r="K1384">
        <v>45159.51</v>
      </c>
      <c r="L1384" t="str">
        <f>IF(Workforce[[#This Row],[Salary]]&lt;50000,"30k-49k",IF(Workforce[[#This Row],[Salary]]&lt;70000,"50k-69k",IF(Workforce[[#This Row],[Salary]]&lt;90000,"70k-89k","90k+")))</f>
        <v>30k-49k</v>
      </c>
      <c r="M1384" t="s">
        <v>9978</v>
      </c>
      <c r="N1384">
        <f t="shared" ca="1" si="86"/>
        <v>3</v>
      </c>
      <c r="O1384" t="str">
        <f t="shared" ca="1" si="87"/>
        <v>Intermediate level</v>
      </c>
    </row>
    <row r="1385" spans="1:15" x14ac:dyDescent="0.3">
      <c r="A1385" t="s">
        <v>9979</v>
      </c>
      <c r="B1385" t="s">
        <v>9980</v>
      </c>
      <c r="C1385" t="s">
        <v>160</v>
      </c>
      <c r="D1385" t="s">
        <v>9981</v>
      </c>
      <c r="E1385" t="s">
        <v>9982</v>
      </c>
      <c r="F1385" t="s">
        <v>6876</v>
      </c>
      <c r="G1385" t="s">
        <v>9983</v>
      </c>
      <c r="H1385" t="s">
        <v>9984</v>
      </c>
      <c r="I1385">
        <f t="shared" ca="1" si="84"/>
        <v>25</v>
      </c>
      <c r="J1385" t="str">
        <f t="shared" ca="1" si="85"/>
        <v>18-29</v>
      </c>
      <c r="K1385">
        <v>81335.960000000006</v>
      </c>
      <c r="L1385" t="str">
        <f>IF(Workforce[[#This Row],[Salary]]&lt;50000,"30k-49k",IF(Workforce[[#This Row],[Salary]]&lt;70000,"50k-69k",IF(Workforce[[#This Row],[Salary]]&lt;90000,"70k-89k","90k+")))</f>
        <v>70k-89k</v>
      </c>
      <c r="M1385" t="s">
        <v>9985</v>
      </c>
      <c r="N1385">
        <f t="shared" ca="1" si="86"/>
        <v>9</v>
      </c>
      <c r="O1385" t="str">
        <f t="shared" ca="1" si="87"/>
        <v>Senior level</v>
      </c>
    </row>
    <row r="1386" spans="1:15" x14ac:dyDescent="0.3">
      <c r="A1386" t="s">
        <v>9986</v>
      </c>
      <c r="B1386" t="s">
        <v>9987</v>
      </c>
      <c r="C1386" t="s">
        <v>133</v>
      </c>
      <c r="D1386" t="s">
        <v>9988</v>
      </c>
      <c r="E1386" t="s">
        <v>9989</v>
      </c>
      <c r="F1386" t="s">
        <v>2953</v>
      </c>
      <c r="G1386" t="s">
        <v>9990</v>
      </c>
      <c r="H1386" t="s">
        <v>9991</v>
      </c>
      <c r="I1386">
        <f t="shared" ca="1" si="84"/>
        <v>36</v>
      </c>
      <c r="J1386" t="str">
        <f t="shared" ca="1" si="85"/>
        <v>30-39</v>
      </c>
      <c r="K1386">
        <v>86996.52</v>
      </c>
      <c r="L1386" t="str">
        <f>IF(Workforce[[#This Row],[Salary]]&lt;50000,"30k-49k",IF(Workforce[[#This Row],[Salary]]&lt;70000,"50k-69k",IF(Workforce[[#This Row],[Salary]]&lt;90000,"70k-89k","90k+")))</f>
        <v>70k-89k</v>
      </c>
      <c r="M1386" t="s">
        <v>9992</v>
      </c>
      <c r="N1386">
        <f t="shared" ca="1" si="86"/>
        <v>6</v>
      </c>
      <c r="O1386" t="str">
        <f t="shared" ca="1" si="87"/>
        <v>Intermediate level</v>
      </c>
    </row>
    <row r="1387" spans="1:15" x14ac:dyDescent="0.3">
      <c r="A1387" t="s">
        <v>9993</v>
      </c>
      <c r="B1387" t="s">
        <v>9994</v>
      </c>
      <c r="C1387" t="s">
        <v>61</v>
      </c>
      <c r="D1387" t="s">
        <v>9995</v>
      </c>
      <c r="E1387" t="s">
        <v>9996</v>
      </c>
      <c r="F1387" t="s">
        <v>1194</v>
      </c>
      <c r="G1387" t="s">
        <v>9997</v>
      </c>
      <c r="H1387" t="s">
        <v>9998</v>
      </c>
      <c r="I1387">
        <f t="shared" ca="1" si="84"/>
        <v>57</v>
      </c>
      <c r="J1387" t="str">
        <f t="shared" ca="1" si="85"/>
        <v>50-59</v>
      </c>
      <c r="K1387">
        <v>74464.460000000006</v>
      </c>
      <c r="L1387" t="str">
        <f>IF(Workforce[[#This Row],[Salary]]&lt;50000,"30k-49k",IF(Workforce[[#This Row],[Salary]]&lt;70000,"50k-69k",IF(Workforce[[#This Row],[Salary]]&lt;90000,"70k-89k","90k+")))</f>
        <v>70k-89k</v>
      </c>
      <c r="M1387" t="s">
        <v>9999</v>
      </c>
      <c r="N1387">
        <f t="shared" ca="1" si="86"/>
        <v>1</v>
      </c>
      <c r="O1387" t="str">
        <f t="shared" ca="1" si="87"/>
        <v>Beginner</v>
      </c>
    </row>
    <row r="1388" spans="1:15" x14ac:dyDescent="0.3">
      <c r="A1388" t="s">
        <v>10000</v>
      </c>
      <c r="B1388" t="s">
        <v>10001</v>
      </c>
      <c r="C1388" t="s">
        <v>284</v>
      </c>
      <c r="D1388" t="s">
        <v>10002</v>
      </c>
      <c r="E1388" t="s">
        <v>10003</v>
      </c>
      <c r="F1388" t="s">
        <v>815</v>
      </c>
      <c r="G1388" t="s">
        <v>10004</v>
      </c>
      <c r="H1388" t="s">
        <v>10005</v>
      </c>
      <c r="I1388">
        <f t="shared" ca="1" si="84"/>
        <v>29</v>
      </c>
      <c r="J1388" t="str">
        <f t="shared" ca="1" si="85"/>
        <v>18-29</v>
      </c>
      <c r="K1388">
        <v>65331.06</v>
      </c>
      <c r="L1388" t="str">
        <f>IF(Workforce[[#This Row],[Salary]]&lt;50000,"30k-49k",IF(Workforce[[#This Row],[Salary]]&lt;70000,"50k-69k",IF(Workforce[[#This Row],[Salary]]&lt;90000,"70k-89k","90k+")))</f>
        <v>50k-69k</v>
      </c>
      <c r="M1388" t="s">
        <v>10006</v>
      </c>
      <c r="N1388">
        <f t="shared" ca="1" si="86"/>
        <v>1</v>
      </c>
      <c r="O1388" t="str">
        <f t="shared" ca="1" si="87"/>
        <v>Beginner</v>
      </c>
    </row>
    <row r="1389" spans="1:15" x14ac:dyDescent="0.3">
      <c r="A1389" t="s">
        <v>10007</v>
      </c>
      <c r="B1389" t="s">
        <v>10008</v>
      </c>
      <c r="C1389" t="s">
        <v>580</v>
      </c>
      <c r="D1389" t="s">
        <v>10009</v>
      </c>
      <c r="E1389" t="s">
        <v>10010</v>
      </c>
      <c r="F1389" t="s">
        <v>8200</v>
      </c>
      <c r="G1389" t="s">
        <v>10011</v>
      </c>
      <c r="H1389" t="s">
        <v>10012</v>
      </c>
      <c r="I1389">
        <f t="shared" ca="1" si="84"/>
        <v>61</v>
      </c>
      <c r="J1389" t="str">
        <f t="shared" ca="1" si="85"/>
        <v>60+</v>
      </c>
      <c r="K1389">
        <v>104437.21</v>
      </c>
      <c r="L1389" t="str">
        <f>IF(Workforce[[#This Row],[Salary]]&lt;50000,"30k-49k",IF(Workforce[[#This Row],[Salary]]&lt;70000,"50k-69k",IF(Workforce[[#This Row],[Salary]]&lt;90000,"70k-89k","90k+")))</f>
        <v>90k+</v>
      </c>
      <c r="M1389" t="s">
        <v>10013</v>
      </c>
      <c r="N1389">
        <f t="shared" ca="1" si="86"/>
        <v>10</v>
      </c>
      <c r="O1389" t="str">
        <f t="shared" ca="1" si="87"/>
        <v>Senior level</v>
      </c>
    </row>
    <row r="1390" spans="1:15" x14ac:dyDescent="0.3">
      <c r="A1390" t="s">
        <v>10014</v>
      </c>
      <c r="B1390" t="s">
        <v>10015</v>
      </c>
      <c r="C1390" t="s">
        <v>70</v>
      </c>
      <c r="D1390" t="s">
        <v>10016</v>
      </c>
      <c r="E1390" t="s">
        <v>10017</v>
      </c>
      <c r="F1390" t="s">
        <v>1241</v>
      </c>
      <c r="G1390" t="s">
        <v>10018</v>
      </c>
      <c r="H1390" t="s">
        <v>10019</v>
      </c>
      <c r="I1390">
        <f t="shared" ca="1" si="84"/>
        <v>38</v>
      </c>
      <c r="J1390" t="str">
        <f t="shared" ca="1" si="85"/>
        <v>30-39</v>
      </c>
      <c r="K1390">
        <v>112349.37</v>
      </c>
      <c r="L1390" t="str">
        <f>IF(Workforce[[#This Row],[Salary]]&lt;50000,"30k-49k",IF(Workforce[[#This Row],[Salary]]&lt;70000,"50k-69k",IF(Workforce[[#This Row],[Salary]]&lt;90000,"70k-89k","90k+")))</f>
        <v>90k+</v>
      </c>
      <c r="M1390" t="s">
        <v>10020</v>
      </c>
      <c r="N1390">
        <f t="shared" ca="1" si="86"/>
        <v>6</v>
      </c>
      <c r="O1390" t="str">
        <f t="shared" ca="1" si="87"/>
        <v>Intermediate level</v>
      </c>
    </row>
    <row r="1391" spans="1:15" x14ac:dyDescent="0.3">
      <c r="A1391" t="s">
        <v>10021</v>
      </c>
      <c r="B1391" t="s">
        <v>10022</v>
      </c>
      <c r="C1391" t="s">
        <v>539</v>
      </c>
      <c r="D1391" t="s">
        <v>10023</v>
      </c>
      <c r="E1391" t="s">
        <v>10024</v>
      </c>
      <c r="F1391" t="s">
        <v>7079</v>
      </c>
      <c r="G1391" t="s">
        <v>10025</v>
      </c>
      <c r="H1391" t="s">
        <v>10026</v>
      </c>
      <c r="I1391">
        <f t="shared" ca="1" si="84"/>
        <v>21</v>
      </c>
      <c r="J1391" t="str">
        <f t="shared" ca="1" si="85"/>
        <v>18-29</v>
      </c>
      <c r="K1391">
        <v>85945.11</v>
      </c>
      <c r="L1391" t="str">
        <f>IF(Workforce[[#This Row],[Salary]]&lt;50000,"30k-49k",IF(Workforce[[#This Row],[Salary]]&lt;70000,"50k-69k",IF(Workforce[[#This Row],[Salary]]&lt;90000,"70k-89k","90k+")))</f>
        <v>70k-89k</v>
      </c>
      <c r="M1391" t="s">
        <v>1354</v>
      </c>
      <c r="N1391">
        <f t="shared" ca="1" si="86"/>
        <v>7</v>
      </c>
      <c r="O1391" t="str">
        <f t="shared" ca="1" si="87"/>
        <v>Senior level</v>
      </c>
    </row>
    <row r="1392" spans="1:15" x14ac:dyDescent="0.3">
      <c r="A1392" t="s">
        <v>10027</v>
      </c>
      <c r="B1392" t="s">
        <v>10028</v>
      </c>
      <c r="C1392" t="s">
        <v>653</v>
      </c>
      <c r="D1392" t="s">
        <v>10029</v>
      </c>
      <c r="E1392" t="s">
        <v>10030</v>
      </c>
      <c r="F1392" t="s">
        <v>10031</v>
      </c>
      <c r="G1392" t="s">
        <v>10032</v>
      </c>
      <c r="H1392" t="s">
        <v>10033</v>
      </c>
      <c r="I1392">
        <f t="shared" ca="1" si="84"/>
        <v>28</v>
      </c>
      <c r="J1392" t="str">
        <f t="shared" ca="1" si="85"/>
        <v>18-29</v>
      </c>
      <c r="K1392">
        <v>31916.45</v>
      </c>
      <c r="L1392" t="str">
        <f>IF(Workforce[[#This Row],[Salary]]&lt;50000,"30k-49k",IF(Workforce[[#This Row],[Salary]]&lt;70000,"50k-69k",IF(Workforce[[#This Row],[Salary]]&lt;90000,"70k-89k","90k+")))</f>
        <v>30k-49k</v>
      </c>
      <c r="M1392" t="s">
        <v>10034</v>
      </c>
      <c r="N1392">
        <f t="shared" ca="1" si="86"/>
        <v>6</v>
      </c>
      <c r="O1392" t="str">
        <f t="shared" ca="1" si="87"/>
        <v>Intermediate level</v>
      </c>
    </row>
    <row r="1393" spans="1:15" x14ac:dyDescent="0.3">
      <c r="A1393" t="s">
        <v>10035</v>
      </c>
      <c r="B1393" t="s">
        <v>10036</v>
      </c>
      <c r="C1393" t="s">
        <v>44</v>
      </c>
      <c r="D1393" t="s">
        <v>10037</v>
      </c>
      <c r="E1393" t="s">
        <v>10038</v>
      </c>
      <c r="F1393" t="s">
        <v>6275</v>
      </c>
      <c r="G1393" t="s">
        <v>10039</v>
      </c>
      <c r="H1393" t="s">
        <v>10040</v>
      </c>
      <c r="I1393">
        <f t="shared" ca="1" si="84"/>
        <v>49</v>
      </c>
      <c r="J1393" t="str">
        <f t="shared" ca="1" si="85"/>
        <v>40-49</v>
      </c>
      <c r="K1393">
        <v>65588.5</v>
      </c>
      <c r="L1393" t="str">
        <f>IF(Workforce[[#This Row],[Salary]]&lt;50000,"30k-49k",IF(Workforce[[#This Row],[Salary]]&lt;70000,"50k-69k",IF(Workforce[[#This Row],[Salary]]&lt;90000,"70k-89k","90k+")))</f>
        <v>50k-69k</v>
      </c>
      <c r="M1393" t="s">
        <v>10041</v>
      </c>
      <c r="N1393">
        <f t="shared" ca="1" si="86"/>
        <v>5</v>
      </c>
      <c r="O1393" t="str">
        <f t="shared" ca="1" si="87"/>
        <v>Intermediate level</v>
      </c>
    </row>
    <row r="1394" spans="1:15" x14ac:dyDescent="0.3">
      <c r="A1394" t="s">
        <v>10042</v>
      </c>
      <c r="B1394" t="s">
        <v>10043</v>
      </c>
      <c r="C1394" t="s">
        <v>160</v>
      </c>
      <c r="D1394" t="s">
        <v>10044</v>
      </c>
      <c r="E1394" t="s">
        <v>10045</v>
      </c>
      <c r="F1394" t="s">
        <v>2267</v>
      </c>
      <c r="G1394" t="s">
        <v>10046</v>
      </c>
      <c r="H1394" t="s">
        <v>10047</v>
      </c>
      <c r="I1394">
        <f t="shared" ca="1" si="84"/>
        <v>39</v>
      </c>
      <c r="J1394" t="str">
        <f t="shared" ca="1" si="85"/>
        <v>30-39</v>
      </c>
      <c r="K1394">
        <v>116152.13</v>
      </c>
      <c r="L1394" t="str">
        <f>IF(Workforce[[#This Row],[Salary]]&lt;50000,"30k-49k",IF(Workforce[[#This Row],[Salary]]&lt;70000,"50k-69k",IF(Workforce[[#This Row],[Salary]]&lt;90000,"70k-89k","90k+")))</f>
        <v>90k+</v>
      </c>
      <c r="M1394" t="s">
        <v>10048</v>
      </c>
      <c r="N1394">
        <f t="shared" ca="1" si="86"/>
        <v>8</v>
      </c>
      <c r="O1394" t="str">
        <f t="shared" ca="1" si="87"/>
        <v>Senior level</v>
      </c>
    </row>
    <row r="1395" spans="1:15" x14ac:dyDescent="0.3">
      <c r="A1395" t="s">
        <v>10049</v>
      </c>
      <c r="B1395" t="s">
        <v>10050</v>
      </c>
      <c r="C1395" t="s">
        <v>17</v>
      </c>
      <c r="D1395" t="s">
        <v>10051</v>
      </c>
      <c r="E1395" t="s">
        <v>10052</v>
      </c>
      <c r="F1395" t="s">
        <v>7271</v>
      </c>
      <c r="G1395" t="s">
        <v>10053</v>
      </c>
      <c r="H1395" t="s">
        <v>10054</v>
      </c>
      <c r="I1395">
        <f t="shared" ca="1" si="84"/>
        <v>26</v>
      </c>
      <c r="J1395" t="str">
        <f t="shared" ca="1" si="85"/>
        <v>18-29</v>
      </c>
      <c r="K1395">
        <v>61784.94</v>
      </c>
      <c r="L1395" t="str">
        <f>IF(Workforce[[#This Row],[Salary]]&lt;50000,"30k-49k",IF(Workforce[[#This Row],[Salary]]&lt;70000,"50k-69k",IF(Workforce[[#This Row],[Salary]]&lt;90000,"70k-89k","90k+")))</f>
        <v>50k-69k</v>
      </c>
      <c r="M1395" t="s">
        <v>6664</v>
      </c>
      <c r="N1395">
        <f t="shared" ca="1" si="86"/>
        <v>1</v>
      </c>
      <c r="O1395" t="str">
        <f t="shared" ca="1" si="87"/>
        <v>Beginner</v>
      </c>
    </row>
    <row r="1396" spans="1:15" x14ac:dyDescent="0.3">
      <c r="A1396" t="s">
        <v>10055</v>
      </c>
      <c r="B1396" t="s">
        <v>10056</v>
      </c>
      <c r="C1396" t="s">
        <v>326</v>
      </c>
      <c r="D1396" t="s">
        <v>10057</v>
      </c>
      <c r="E1396" t="s">
        <v>10058</v>
      </c>
      <c r="F1396" t="s">
        <v>4821</v>
      </c>
      <c r="G1396" t="s">
        <v>10059</v>
      </c>
      <c r="H1396" t="s">
        <v>10060</v>
      </c>
      <c r="I1396">
        <f t="shared" ca="1" si="84"/>
        <v>26</v>
      </c>
      <c r="J1396" t="str">
        <f t="shared" ca="1" si="85"/>
        <v>18-29</v>
      </c>
      <c r="K1396">
        <v>112909.29</v>
      </c>
      <c r="L1396" t="str">
        <f>IF(Workforce[[#This Row],[Salary]]&lt;50000,"30k-49k",IF(Workforce[[#This Row],[Salary]]&lt;70000,"50k-69k",IF(Workforce[[#This Row],[Salary]]&lt;90000,"70k-89k","90k+")))</f>
        <v>90k+</v>
      </c>
      <c r="M1396" t="s">
        <v>8712</v>
      </c>
      <c r="N1396">
        <f t="shared" ca="1" si="86"/>
        <v>1</v>
      </c>
      <c r="O1396" t="str">
        <f t="shared" ca="1" si="87"/>
        <v>Beginner</v>
      </c>
    </row>
    <row r="1397" spans="1:15" x14ac:dyDescent="0.3">
      <c r="A1397" t="s">
        <v>10061</v>
      </c>
      <c r="B1397" t="s">
        <v>10062</v>
      </c>
      <c r="C1397" t="s">
        <v>44</v>
      </c>
      <c r="D1397" t="s">
        <v>10063</v>
      </c>
      <c r="E1397" t="s">
        <v>10064</v>
      </c>
      <c r="F1397" t="s">
        <v>10065</v>
      </c>
      <c r="G1397" t="s">
        <v>10066</v>
      </c>
      <c r="H1397" t="s">
        <v>10067</v>
      </c>
      <c r="I1397">
        <f t="shared" ca="1" si="84"/>
        <v>20</v>
      </c>
      <c r="J1397" t="str">
        <f t="shared" ca="1" si="85"/>
        <v>18-29</v>
      </c>
      <c r="K1397">
        <v>47757.07</v>
      </c>
      <c r="L1397" t="str">
        <f>IF(Workforce[[#This Row],[Salary]]&lt;50000,"30k-49k",IF(Workforce[[#This Row],[Salary]]&lt;70000,"50k-69k",IF(Workforce[[#This Row],[Salary]]&lt;90000,"70k-89k","90k+")))</f>
        <v>30k-49k</v>
      </c>
      <c r="M1397" t="s">
        <v>10068</v>
      </c>
      <c r="N1397">
        <f t="shared" ca="1" si="86"/>
        <v>4</v>
      </c>
      <c r="O1397" t="str">
        <f t="shared" ca="1" si="87"/>
        <v>Intermediate level</v>
      </c>
    </row>
    <row r="1398" spans="1:15" x14ac:dyDescent="0.3">
      <c r="A1398" t="s">
        <v>10069</v>
      </c>
      <c r="B1398" t="s">
        <v>10070</v>
      </c>
      <c r="C1398" t="s">
        <v>2086</v>
      </c>
      <c r="D1398" t="s">
        <v>10071</v>
      </c>
      <c r="E1398" t="s">
        <v>10072</v>
      </c>
      <c r="F1398" t="s">
        <v>10073</v>
      </c>
      <c r="G1398" t="s">
        <v>10074</v>
      </c>
      <c r="H1398" t="s">
        <v>10075</v>
      </c>
      <c r="I1398">
        <f t="shared" ca="1" si="84"/>
        <v>41</v>
      </c>
      <c r="J1398" t="str">
        <f t="shared" ca="1" si="85"/>
        <v>40-49</v>
      </c>
      <c r="K1398">
        <v>38258.980000000003</v>
      </c>
      <c r="L1398" t="str">
        <f>IF(Workforce[[#This Row],[Salary]]&lt;50000,"30k-49k",IF(Workforce[[#This Row],[Salary]]&lt;70000,"50k-69k",IF(Workforce[[#This Row],[Salary]]&lt;90000,"70k-89k","90k+")))</f>
        <v>30k-49k</v>
      </c>
      <c r="M1398" t="s">
        <v>3881</v>
      </c>
      <c r="N1398">
        <f t="shared" ca="1" si="86"/>
        <v>0</v>
      </c>
      <c r="O1398" t="str">
        <f t="shared" ca="1" si="87"/>
        <v>Beginner</v>
      </c>
    </row>
    <row r="1399" spans="1:15" x14ac:dyDescent="0.3">
      <c r="A1399" t="s">
        <v>10076</v>
      </c>
      <c r="B1399" t="s">
        <v>10077</v>
      </c>
      <c r="C1399" t="s">
        <v>133</v>
      </c>
      <c r="D1399" t="s">
        <v>10078</v>
      </c>
      <c r="E1399" t="s">
        <v>10079</v>
      </c>
      <c r="F1399" t="s">
        <v>10080</v>
      </c>
      <c r="G1399" t="s">
        <v>10081</v>
      </c>
      <c r="H1399" t="s">
        <v>10082</v>
      </c>
      <c r="I1399">
        <f t="shared" ca="1" si="84"/>
        <v>35</v>
      </c>
      <c r="J1399" t="str">
        <f t="shared" ca="1" si="85"/>
        <v>30-39</v>
      </c>
      <c r="K1399">
        <v>53595.51</v>
      </c>
      <c r="L1399" t="str">
        <f>IF(Workforce[[#This Row],[Salary]]&lt;50000,"30k-49k",IF(Workforce[[#This Row],[Salary]]&lt;70000,"50k-69k",IF(Workforce[[#This Row],[Salary]]&lt;90000,"70k-89k","90k+")))</f>
        <v>50k-69k</v>
      </c>
      <c r="M1399" t="s">
        <v>10083</v>
      </c>
      <c r="N1399">
        <f t="shared" ca="1" si="86"/>
        <v>2</v>
      </c>
      <c r="O1399" t="str">
        <f t="shared" ca="1" si="87"/>
        <v>Beginner</v>
      </c>
    </row>
    <row r="1400" spans="1:15" x14ac:dyDescent="0.3">
      <c r="A1400" t="s">
        <v>10084</v>
      </c>
      <c r="B1400" t="s">
        <v>10085</v>
      </c>
      <c r="C1400" t="s">
        <v>774</v>
      </c>
      <c r="D1400" t="s">
        <v>10086</v>
      </c>
      <c r="E1400" t="s">
        <v>10087</v>
      </c>
      <c r="F1400" t="s">
        <v>1665</v>
      </c>
      <c r="G1400" t="s">
        <v>10088</v>
      </c>
      <c r="H1400" t="s">
        <v>10089</v>
      </c>
      <c r="I1400">
        <f t="shared" ca="1" si="84"/>
        <v>44</v>
      </c>
      <c r="J1400" t="str">
        <f t="shared" ca="1" si="85"/>
        <v>40-49</v>
      </c>
      <c r="K1400">
        <v>85002.74</v>
      </c>
      <c r="L1400" t="str">
        <f>IF(Workforce[[#This Row],[Salary]]&lt;50000,"30k-49k",IF(Workforce[[#This Row],[Salary]]&lt;70000,"50k-69k",IF(Workforce[[#This Row],[Salary]]&lt;90000,"70k-89k","90k+")))</f>
        <v>70k-89k</v>
      </c>
      <c r="M1400" t="s">
        <v>10090</v>
      </c>
      <c r="N1400">
        <f t="shared" ca="1" si="86"/>
        <v>5</v>
      </c>
      <c r="O1400" t="str">
        <f t="shared" ca="1" si="87"/>
        <v>Intermediate level</v>
      </c>
    </row>
    <row r="1401" spans="1:15" x14ac:dyDescent="0.3">
      <c r="A1401" t="s">
        <v>10091</v>
      </c>
      <c r="B1401" t="s">
        <v>10092</v>
      </c>
      <c r="C1401" t="s">
        <v>351</v>
      </c>
      <c r="D1401" t="s">
        <v>10093</v>
      </c>
      <c r="E1401" t="s">
        <v>10094</v>
      </c>
      <c r="F1401" t="s">
        <v>10095</v>
      </c>
      <c r="G1401" t="s">
        <v>10096</v>
      </c>
      <c r="H1401" t="s">
        <v>10097</v>
      </c>
      <c r="I1401">
        <f t="shared" ca="1" si="84"/>
        <v>54</v>
      </c>
      <c r="J1401" t="str">
        <f t="shared" ca="1" si="85"/>
        <v>50-59</v>
      </c>
      <c r="K1401">
        <v>119539.64</v>
      </c>
      <c r="L1401" t="str">
        <f>IF(Workforce[[#This Row],[Salary]]&lt;50000,"30k-49k",IF(Workforce[[#This Row],[Salary]]&lt;70000,"50k-69k",IF(Workforce[[#This Row],[Salary]]&lt;90000,"70k-89k","90k+")))</f>
        <v>90k+</v>
      </c>
      <c r="M1401" t="s">
        <v>10098</v>
      </c>
      <c r="N1401">
        <f t="shared" ca="1" si="86"/>
        <v>5</v>
      </c>
      <c r="O1401" t="str">
        <f t="shared" ca="1" si="87"/>
        <v>Intermediate level</v>
      </c>
    </row>
    <row r="1402" spans="1:15" x14ac:dyDescent="0.3">
      <c r="A1402" t="s">
        <v>10099</v>
      </c>
      <c r="B1402" t="s">
        <v>10100</v>
      </c>
      <c r="C1402" t="s">
        <v>213</v>
      </c>
      <c r="D1402" t="s">
        <v>10101</v>
      </c>
      <c r="E1402" t="s">
        <v>10102</v>
      </c>
      <c r="F1402" t="s">
        <v>5293</v>
      </c>
      <c r="G1402" t="s">
        <v>10103</v>
      </c>
      <c r="H1402" t="s">
        <v>10104</v>
      </c>
      <c r="I1402">
        <f t="shared" ca="1" si="84"/>
        <v>47</v>
      </c>
      <c r="J1402" t="str">
        <f t="shared" ca="1" si="85"/>
        <v>40-49</v>
      </c>
      <c r="K1402">
        <v>38643.040000000001</v>
      </c>
      <c r="L1402" t="str">
        <f>IF(Workforce[[#This Row],[Salary]]&lt;50000,"30k-49k",IF(Workforce[[#This Row],[Salary]]&lt;70000,"50k-69k",IF(Workforce[[#This Row],[Salary]]&lt;90000,"70k-89k","90k+")))</f>
        <v>30k-49k</v>
      </c>
      <c r="M1402" t="s">
        <v>10105</v>
      </c>
      <c r="N1402">
        <f t="shared" ca="1" si="86"/>
        <v>5</v>
      </c>
      <c r="O1402" t="str">
        <f t="shared" ca="1" si="87"/>
        <v>Intermediate level</v>
      </c>
    </row>
    <row r="1403" spans="1:15" x14ac:dyDescent="0.3">
      <c r="A1403" t="s">
        <v>10106</v>
      </c>
      <c r="B1403" t="s">
        <v>10107</v>
      </c>
      <c r="C1403" t="s">
        <v>774</v>
      </c>
      <c r="D1403" t="s">
        <v>10108</v>
      </c>
      <c r="E1403" t="s">
        <v>10109</v>
      </c>
      <c r="F1403" t="s">
        <v>2673</v>
      </c>
      <c r="G1403" t="s">
        <v>10110</v>
      </c>
      <c r="H1403" t="s">
        <v>10111</v>
      </c>
      <c r="I1403">
        <f t="shared" ca="1" si="84"/>
        <v>65</v>
      </c>
      <c r="J1403" t="str">
        <f t="shared" ca="1" si="85"/>
        <v>60+</v>
      </c>
      <c r="K1403">
        <v>111325.38</v>
      </c>
      <c r="L1403" t="str">
        <f>IF(Workforce[[#This Row],[Salary]]&lt;50000,"30k-49k",IF(Workforce[[#This Row],[Salary]]&lt;70000,"50k-69k",IF(Workforce[[#This Row],[Salary]]&lt;90000,"70k-89k","90k+")))</f>
        <v>90k+</v>
      </c>
      <c r="M1403" t="s">
        <v>9199</v>
      </c>
      <c r="N1403">
        <f t="shared" ca="1" si="86"/>
        <v>9</v>
      </c>
      <c r="O1403" t="str">
        <f t="shared" ca="1" si="87"/>
        <v>Senior level</v>
      </c>
    </row>
    <row r="1404" spans="1:15" x14ac:dyDescent="0.3">
      <c r="A1404" t="s">
        <v>10112</v>
      </c>
      <c r="B1404" t="s">
        <v>10113</v>
      </c>
      <c r="C1404" t="s">
        <v>335</v>
      </c>
      <c r="D1404" t="s">
        <v>10114</v>
      </c>
      <c r="E1404" t="s">
        <v>10115</v>
      </c>
      <c r="F1404" t="s">
        <v>5477</v>
      </c>
      <c r="G1404" t="s">
        <v>10116</v>
      </c>
      <c r="H1404" t="s">
        <v>10117</v>
      </c>
      <c r="I1404">
        <f t="shared" ca="1" si="84"/>
        <v>34</v>
      </c>
      <c r="J1404" t="str">
        <f t="shared" ca="1" si="85"/>
        <v>30-39</v>
      </c>
      <c r="K1404">
        <v>55782.15</v>
      </c>
      <c r="L1404" t="str">
        <f>IF(Workforce[[#This Row],[Salary]]&lt;50000,"30k-49k",IF(Workforce[[#This Row],[Salary]]&lt;70000,"50k-69k",IF(Workforce[[#This Row],[Salary]]&lt;90000,"70k-89k","90k+")))</f>
        <v>50k-69k</v>
      </c>
      <c r="M1404" t="s">
        <v>9193</v>
      </c>
      <c r="N1404">
        <f t="shared" ca="1" si="86"/>
        <v>8</v>
      </c>
      <c r="O1404" t="str">
        <f t="shared" ca="1" si="87"/>
        <v>Senior level</v>
      </c>
    </row>
    <row r="1405" spans="1:15" x14ac:dyDescent="0.3">
      <c r="A1405" t="s">
        <v>10118</v>
      </c>
      <c r="B1405" t="s">
        <v>10119</v>
      </c>
      <c r="C1405" t="s">
        <v>240</v>
      </c>
      <c r="D1405" t="s">
        <v>10120</v>
      </c>
      <c r="E1405" t="s">
        <v>10121</v>
      </c>
      <c r="F1405" t="s">
        <v>5523</v>
      </c>
      <c r="G1405" t="s">
        <v>10122</v>
      </c>
      <c r="H1405" t="s">
        <v>10123</v>
      </c>
      <c r="I1405">
        <f t="shared" ca="1" si="84"/>
        <v>38</v>
      </c>
      <c r="J1405" t="str">
        <f t="shared" ca="1" si="85"/>
        <v>30-39</v>
      </c>
      <c r="K1405">
        <v>89039.51</v>
      </c>
      <c r="L1405" t="str">
        <f>IF(Workforce[[#This Row],[Salary]]&lt;50000,"30k-49k",IF(Workforce[[#This Row],[Salary]]&lt;70000,"50k-69k",IF(Workforce[[#This Row],[Salary]]&lt;90000,"70k-89k","90k+")))</f>
        <v>70k-89k</v>
      </c>
      <c r="M1405" t="s">
        <v>10124</v>
      </c>
      <c r="N1405">
        <f t="shared" ca="1" si="86"/>
        <v>1</v>
      </c>
      <c r="O1405" t="str">
        <f t="shared" ca="1" si="87"/>
        <v>Beginner</v>
      </c>
    </row>
    <row r="1406" spans="1:15" x14ac:dyDescent="0.3">
      <c r="A1406" t="s">
        <v>10125</v>
      </c>
      <c r="B1406" t="s">
        <v>10126</v>
      </c>
      <c r="C1406" t="s">
        <v>604</v>
      </c>
      <c r="D1406" t="s">
        <v>10127</v>
      </c>
      <c r="E1406" t="s">
        <v>10128</v>
      </c>
      <c r="F1406" t="s">
        <v>5379</v>
      </c>
      <c r="G1406" t="s">
        <v>10129</v>
      </c>
      <c r="H1406" t="s">
        <v>10130</v>
      </c>
      <c r="I1406">
        <f t="shared" ca="1" si="84"/>
        <v>38</v>
      </c>
      <c r="J1406" t="str">
        <f t="shared" ca="1" si="85"/>
        <v>30-39</v>
      </c>
      <c r="K1406">
        <v>106189.75</v>
      </c>
      <c r="L1406" t="str">
        <f>IF(Workforce[[#This Row],[Salary]]&lt;50000,"30k-49k",IF(Workforce[[#This Row],[Salary]]&lt;70000,"50k-69k",IF(Workforce[[#This Row],[Salary]]&lt;90000,"70k-89k","90k+")))</f>
        <v>90k+</v>
      </c>
      <c r="M1406" t="s">
        <v>10131</v>
      </c>
      <c r="N1406">
        <f t="shared" ca="1" si="86"/>
        <v>6</v>
      </c>
      <c r="O1406" t="str">
        <f t="shared" ca="1" si="87"/>
        <v>Intermediate level</v>
      </c>
    </row>
    <row r="1407" spans="1:15" x14ac:dyDescent="0.3">
      <c r="A1407" t="s">
        <v>10132</v>
      </c>
      <c r="B1407" t="s">
        <v>10133</v>
      </c>
      <c r="C1407" t="s">
        <v>1004</v>
      </c>
      <c r="D1407" t="s">
        <v>10134</v>
      </c>
      <c r="E1407" t="s">
        <v>10135</v>
      </c>
      <c r="F1407" t="s">
        <v>426</v>
      </c>
      <c r="G1407" t="s">
        <v>10136</v>
      </c>
      <c r="H1407" t="s">
        <v>10137</v>
      </c>
      <c r="I1407">
        <f t="shared" ca="1" si="84"/>
        <v>36</v>
      </c>
      <c r="J1407" t="str">
        <f t="shared" ca="1" si="85"/>
        <v>30-39</v>
      </c>
      <c r="K1407">
        <v>102943.85</v>
      </c>
      <c r="L1407" t="str">
        <f>IF(Workforce[[#This Row],[Salary]]&lt;50000,"30k-49k",IF(Workforce[[#This Row],[Salary]]&lt;70000,"50k-69k",IF(Workforce[[#This Row],[Salary]]&lt;90000,"70k-89k","90k+")))</f>
        <v>90k+</v>
      </c>
      <c r="M1407" t="s">
        <v>7577</v>
      </c>
      <c r="N1407">
        <f t="shared" ca="1" si="86"/>
        <v>2</v>
      </c>
      <c r="O1407" t="str">
        <f t="shared" ca="1" si="87"/>
        <v>Beginner</v>
      </c>
    </row>
    <row r="1408" spans="1:15" x14ac:dyDescent="0.3">
      <c r="A1408" t="s">
        <v>10138</v>
      </c>
      <c r="B1408" t="s">
        <v>10139</v>
      </c>
      <c r="C1408" t="s">
        <v>213</v>
      </c>
      <c r="D1408" t="s">
        <v>10140</v>
      </c>
      <c r="E1408" t="s">
        <v>10141</v>
      </c>
      <c r="F1408" t="s">
        <v>5103</v>
      </c>
      <c r="G1408" t="s">
        <v>10142</v>
      </c>
      <c r="H1408" t="s">
        <v>10143</v>
      </c>
      <c r="I1408">
        <f t="shared" ca="1" si="84"/>
        <v>59</v>
      </c>
      <c r="J1408" t="str">
        <f t="shared" ca="1" si="85"/>
        <v>50-59</v>
      </c>
      <c r="K1408">
        <v>87001.42</v>
      </c>
      <c r="L1408" t="str">
        <f>IF(Workforce[[#This Row],[Salary]]&lt;50000,"30k-49k",IF(Workforce[[#This Row],[Salary]]&lt;70000,"50k-69k",IF(Workforce[[#This Row],[Salary]]&lt;90000,"70k-89k","90k+")))</f>
        <v>70k-89k</v>
      </c>
      <c r="M1408" t="s">
        <v>10144</v>
      </c>
      <c r="N1408">
        <f t="shared" ca="1" si="86"/>
        <v>3</v>
      </c>
      <c r="O1408" t="str">
        <f t="shared" ca="1" si="87"/>
        <v>Intermediate level</v>
      </c>
    </row>
    <row r="1409" spans="1:15" x14ac:dyDescent="0.3">
      <c r="A1409" t="s">
        <v>10145</v>
      </c>
      <c r="B1409" t="s">
        <v>10146</v>
      </c>
      <c r="C1409" t="s">
        <v>35</v>
      </c>
      <c r="D1409" t="s">
        <v>10147</v>
      </c>
      <c r="E1409" t="s">
        <v>10148</v>
      </c>
      <c r="F1409" t="s">
        <v>8083</v>
      </c>
      <c r="G1409" t="s">
        <v>10149</v>
      </c>
      <c r="H1409" t="s">
        <v>3185</v>
      </c>
      <c r="I1409">
        <f t="shared" ca="1" si="84"/>
        <v>30</v>
      </c>
      <c r="J1409" t="str">
        <f t="shared" ca="1" si="85"/>
        <v>30-39</v>
      </c>
      <c r="K1409">
        <v>43698.84</v>
      </c>
      <c r="L1409" t="str">
        <f>IF(Workforce[[#This Row],[Salary]]&lt;50000,"30k-49k",IF(Workforce[[#This Row],[Salary]]&lt;70000,"50k-69k",IF(Workforce[[#This Row],[Salary]]&lt;90000,"70k-89k","90k+")))</f>
        <v>30k-49k</v>
      </c>
      <c r="M1409" t="s">
        <v>10150</v>
      </c>
      <c r="N1409">
        <f t="shared" ca="1" si="86"/>
        <v>10</v>
      </c>
      <c r="O1409" t="str">
        <f t="shared" ca="1" si="87"/>
        <v>Senior level</v>
      </c>
    </row>
    <row r="1410" spans="1:15" x14ac:dyDescent="0.3">
      <c r="A1410" t="s">
        <v>10151</v>
      </c>
      <c r="B1410" t="s">
        <v>10152</v>
      </c>
      <c r="C1410" t="s">
        <v>335</v>
      </c>
      <c r="D1410" t="s">
        <v>10153</v>
      </c>
      <c r="E1410" t="s">
        <v>10154</v>
      </c>
      <c r="F1410" t="s">
        <v>1107</v>
      </c>
      <c r="G1410" t="s">
        <v>10155</v>
      </c>
      <c r="H1410" t="s">
        <v>10156</v>
      </c>
      <c r="I1410">
        <f t="shared" ref="I1410:I1473" ca="1" si="88">DATEDIF(H1410,TODAY(),"y")</f>
        <v>30</v>
      </c>
      <c r="J1410" t="str">
        <f t="shared" ref="J1410:J1473" ca="1" si="89">IF(I1410&lt;30,"18-29",IF(I1410&lt;40,"30-39",IF(I1410&lt;50,"40-49",IF(I1410&lt;60,"50-59","60+"))))</f>
        <v>30-39</v>
      </c>
      <c r="K1410">
        <v>118974.9</v>
      </c>
      <c r="L1410" t="str">
        <f>IF(Workforce[[#This Row],[Salary]]&lt;50000,"30k-49k",IF(Workforce[[#This Row],[Salary]]&lt;70000,"50k-69k",IF(Workforce[[#This Row],[Salary]]&lt;90000,"70k-89k","90k+")))</f>
        <v>90k+</v>
      </c>
      <c r="M1410" t="s">
        <v>3678</v>
      </c>
      <c r="N1410">
        <f t="shared" ref="N1410:N1473" ca="1" si="90">DATEDIF(M1410,TODAY(),"y")</f>
        <v>4</v>
      </c>
      <c r="O1410" t="str">
        <f t="shared" ref="O1410:O1473" ca="1" si="91">IF(N1410&lt;=2,"Beginner",IF(N1410&lt;=6,"Intermediate level","Senior level"))</f>
        <v>Intermediate level</v>
      </c>
    </row>
    <row r="1411" spans="1:15" x14ac:dyDescent="0.3">
      <c r="A1411" t="s">
        <v>10157</v>
      </c>
      <c r="B1411" t="s">
        <v>10158</v>
      </c>
      <c r="C1411" t="s">
        <v>106</v>
      </c>
      <c r="D1411" t="s">
        <v>10159</v>
      </c>
      <c r="E1411" t="s">
        <v>10160</v>
      </c>
      <c r="F1411" t="s">
        <v>3345</v>
      </c>
      <c r="G1411" t="s">
        <v>10161</v>
      </c>
      <c r="H1411" t="s">
        <v>5745</v>
      </c>
      <c r="I1411">
        <f t="shared" ca="1" si="88"/>
        <v>31</v>
      </c>
      <c r="J1411" t="str">
        <f t="shared" ca="1" si="89"/>
        <v>30-39</v>
      </c>
      <c r="K1411">
        <v>32286.51</v>
      </c>
      <c r="L1411" t="str">
        <f>IF(Workforce[[#This Row],[Salary]]&lt;50000,"30k-49k",IF(Workforce[[#This Row],[Salary]]&lt;70000,"50k-69k",IF(Workforce[[#This Row],[Salary]]&lt;90000,"70k-89k","90k+")))</f>
        <v>30k-49k</v>
      </c>
      <c r="M1411" t="s">
        <v>10162</v>
      </c>
      <c r="N1411">
        <f t="shared" ca="1" si="90"/>
        <v>4</v>
      </c>
      <c r="O1411" t="str">
        <f t="shared" ca="1" si="91"/>
        <v>Intermediate level</v>
      </c>
    </row>
    <row r="1412" spans="1:15" x14ac:dyDescent="0.3">
      <c r="A1412" t="s">
        <v>10163</v>
      </c>
      <c r="B1412" t="s">
        <v>10164</v>
      </c>
      <c r="C1412" t="s">
        <v>222</v>
      </c>
      <c r="D1412" t="s">
        <v>10165</v>
      </c>
      <c r="E1412" t="s">
        <v>10166</v>
      </c>
      <c r="F1412" t="s">
        <v>3696</v>
      </c>
      <c r="G1412" t="s">
        <v>10167</v>
      </c>
      <c r="H1412" t="s">
        <v>10168</v>
      </c>
      <c r="I1412">
        <f t="shared" ca="1" si="88"/>
        <v>33</v>
      </c>
      <c r="J1412" t="str">
        <f t="shared" ca="1" si="89"/>
        <v>30-39</v>
      </c>
      <c r="K1412">
        <v>70475.81</v>
      </c>
      <c r="L1412" t="str">
        <f>IF(Workforce[[#This Row],[Salary]]&lt;50000,"30k-49k",IF(Workforce[[#This Row],[Salary]]&lt;70000,"50k-69k",IF(Workforce[[#This Row],[Salary]]&lt;90000,"70k-89k","90k+")))</f>
        <v>70k-89k</v>
      </c>
      <c r="M1412" t="s">
        <v>1391</v>
      </c>
      <c r="N1412">
        <f t="shared" ca="1" si="90"/>
        <v>3</v>
      </c>
      <c r="O1412" t="str">
        <f t="shared" ca="1" si="91"/>
        <v>Intermediate level</v>
      </c>
    </row>
    <row r="1413" spans="1:15" x14ac:dyDescent="0.3">
      <c r="A1413" t="s">
        <v>10169</v>
      </c>
      <c r="B1413" t="s">
        <v>10170</v>
      </c>
      <c r="C1413" t="s">
        <v>275</v>
      </c>
      <c r="D1413" t="s">
        <v>10171</v>
      </c>
      <c r="E1413" t="s">
        <v>10172</v>
      </c>
      <c r="F1413" t="s">
        <v>3028</v>
      </c>
      <c r="G1413" t="s">
        <v>2283</v>
      </c>
      <c r="H1413" t="s">
        <v>10173</v>
      </c>
      <c r="I1413">
        <f t="shared" ca="1" si="88"/>
        <v>63</v>
      </c>
      <c r="J1413" t="str">
        <f t="shared" ca="1" si="89"/>
        <v>60+</v>
      </c>
      <c r="K1413">
        <v>79870.899999999994</v>
      </c>
      <c r="L1413" t="str">
        <f>IF(Workforce[[#This Row],[Salary]]&lt;50000,"30k-49k",IF(Workforce[[#This Row],[Salary]]&lt;70000,"50k-69k",IF(Workforce[[#This Row],[Salary]]&lt;90000,"70k-89k","90k+")))</f>
        <v>70k-89k</v>
      </c>
      <c r="M1413" t="s">
        <v>10174</v>
      </c>
      <c r="N1413">
        <f t="shared" ca="1" si="90"/>
        <v>1</v>
      </c>
      <c r="O1413" t="str">
        <f t="shared" ca="1" si="91"/>
        <v>Beginner</v>
      </c>
    </row>
    <row r="1414" spans="1:15" x14ac:dyDescent="0.3">
      <c r="A1414" t="s">
        <v>10175</v>
      </c>
      <c r="B1414" t="s">
        <v>10176</v>
      </c>
      <c r="C1414" t="s">
        <v>1223</v>
      </c>
      <c r="D1414" t="s">
        <v>10177</v>
      </c>
      <c r="E1414" t="s">
        <v>10178</v>
      </c>
      <c r="F1414" t="s">
        <v>1312</v>
      </c>
      <c r="G1414" t="s">
        <v>10179</v>
      </c>
      <c r="H1414" t="s">
        <v>10180</v>
      </c>
      <c r="I1414">
        <f t="shared" ca="1" si="88"/>
        <v>21</v>
      </c>
      <c r="J1414" t="str">
        <f t="shared" ca="1" si="89"/>
        <v>18-29</v>
      </c>
      <c r="K1414">
        <v>107251.49</v>
      </c>
      <c r="L1414" t="str">
        <f>IF(Workforce[[#This Row],[Salary]]&lt;50000,"30k-49k",IF(Workforce[[#This Row],[Salary]]&lt;70000,"50k-69k",IF(Workforce[[#This Row],[Salary]]&lt;90000,"70k-89k","90k+")))</f>
        <v>90k+</v>
      </c>
      <c r="M1414" t="s">
        <v>10181</v>
      </c>
      <c r="N1414">
        <f t="shared" ca="1" si="90"/>
        <v>10</v>
      </c>
      <c r="O1414" t="str">
        <f t="shared" ca="1" si="91"/>
        <v>Senior level</v>
      </c>
    </row>
    <row r="1415" spans="1:15" x14ac:dyDescent="0.3">
      <c r="A1415" t="s">
        <v>10182</v>
      </c>
      <c r="B1415" t="s">
        <v>10183</v>
      </c>
      <c r="C1415" t="s">
        <v>257</v>
      </c>
      <c r="D1415" t="s">
        <v>10184</v>
      </c>
      <c r="E1415" t="s">
        <v>10185</v>
      </c>
      <c r="F1415" t="s">
        <v>5910</v>
      </c>
      <c r="G1415" t="s">
        <v>10186</v>
      </c>
      <c r="H1415" t="s">
        <v>10187</v>
      </c>
      <c r="I1415">
        <f t="shared" ca="1" si="88"/>
        <v>34</v>
      </c>
      <c r="J1415" t="str">
        <f t="shared" ca="1" si="89"/>
        <v>30-39</v>
      </c>
      <c r="K1415">
        <v>67706.98</v>
      </c>
      <c r="L1415" t="str">
        <f>IF(Workforce[[#This Row],[Salary]]&lt;50000,"30k-49k",IF(Workforce[[#This Row],[Salary]]&lt;70000,"50k-69k",IF(Workforce[[#This Row],[Salary]]&lt;90000,"70k-89k","90k+")))</f>
        <v>50k-69k</v>
      </c>
      <c r="M1415" t="s">
        <v>10188</v>
      </c>
      <c r="N1415">
        <f t="shared" ca="1" si="90"/>
        <v>6</v>
      </c>
      <c r="O1415" t="str">
        <f t="shared" ca="1" si="91"/>
        <v>Intermediate level</v>
      </c>
    </row>
    <row r="1416" spans="1:15" x14ac:dyDescent="0.3">
      <c r="A1416" t="s">
        <v>10189</v>
      </c>
      <c r="B1416" t="s">
        <v>10190</v>
      </c>
      <c r="C1416" t="s">
        <v>26</v>
      </c>
      <c r="D1416" t="s">
        <v>10191</v>
      </c>
      <c r="E1416" t="s">
        <v>10192</v>
      </c>
      <c r="F1416" t="s">
        <v>2562</v>
      </c>
      <c r="G1416" t="s">
        <v>10193</v>
      </c>
      <c r="H1416" t="s">
        <v>10194</v>
      </c>
      <c r="I1416">
        <f t="shared" ca="1" si="88"/>
        <v>60</v>
      </c>
      <c r="J1416" t="str">
        <f t="shared" ca="1" si="89"/>
        <v>60+</v>
      </c>
      <c r="K1416">
        <v>67831.47</v>
      </c>
      <c r="L1416" t="str">
        <f>IF(Workforce[[#This Row],[Salary]]&lt;50000,"30k-49k",IF(Workforce[[#This Row],[Salary]]&lt;70000,"50k-69k",IF(Workforce[[#This Row],[Salary]]&lt;90000,"70k-89k","90k+")))</f>
        <v>50k-69k</v>
      </c>
      <c r="M1416" t="s">
        <v>10195</v>
      </c>
      <c r="N1416">
        <f t="shared" ca="1" si="90"/>
        <v>7</v>
      </c>
      <c r="O1416" t="str">
        <f t="shared" ca="1" si="91"/>
        <v>Senior level</v>
      </c>
    </row>
    <row r="1417" spans="1:15" x14ac:dyDescent="0.3">
      <c r="A1417" t="s">
        <v>10196</v>
      </c>
      <c r="B1417" t="s">
        <v>10197</v>
      </c>
      <c r="C1417" t="s">
        <v>70</v>
      </c>
      <c r="D1417" t="s">
        <v>10198</v>
      </c>
      <c r="E1417" t="s">
        <v>10199</v>
      </c>
      <c r="F1417" t="s">
        <v>672</v>
      </c>
      <c r="G1417" t="s">
        <v>10200</v>
      </c>
      <c r="H1417" t="s">
        <v>4331</v>
      </c>
      <c r="I1417">
        <f t="shared" ca="1" si="88"/>
        <v>58</v>
      </c>
      <c r="J1417" t="str">
        <f t="shared" ca="1" si="89"/>
        <v>50-59</v>
      </c>
      <c r="K1417">
        <v>42420.47</v>
      </c>
      <c r="L1417" t="str">
        <f>IF(Workforce[[#This Row],[Salary]]&lt;50000,"30k-49k",IF(Workforce[[#This Row],[Salary]]&lt;70000,"50k-69k",IF(Workforce[[#This Row],[Salary]]&lt;90000,"70k-89k","90k+")))</f>
        <v>30k-49k</v>
      </c>
      <c r="M1417" t="s">
        <v>3474</v>
      </c>
      <c r="N1417">
        <f t="shared" ca="1" si="90"/>
        <v>9</v>
      </c>
      <c r="O1417" t="str">
        <f t="shared" ca="1" si="91"/>
        <v>Senior level</v>
      </c>
    </row>
    <row r="1418" spans="1:15" x14ac:dyDescent="0.3">
      <c r="A1418" t="s">
        <v>10201</v>
      </c>
      <c r="B1418" t="s">
        <v>10202</v>
      </c>
      <c r="C1418" t="s">
        <v>457</v>
      </c>
      <c r="D1418" t="s">
        <v>10203</v>
      </c>
      <c r="E1418" t="s">
        <v>10204</v>
      </c>
      <c r="F1418" t="s">
        <v>1841</v>
      </c>
      <c r="G1418" t="s">
        <v>10205</v>
      </c>
      <c r="H1418" t="s">
        <v>10206</v>
      </c>
      <c r="I1418">
        <f t="shared" ca="1" si="88"/>
        <v>24</v>
      </c>
      <c r="J1418" t="str">
        <f t="shared" ca="1" si="89"/>
        <v>18-29</v>
      </c>
      <c r="K1418">
        <v>47678.02</v>
      </c>
      <c r="L1418" t="str">
        <f>IF(Workforce[[#This Row],[Salary]]&lt;50000,"30k-49k",IF(Workforce[[#This Row],[Salary]]&lt;70000,"50k-69k",IF(Workforce[[#This Row],[Salary]]&lt;90000,"70k-89k","90k+")))</f>
        <v>30k-49k</v>
      </c>
      <c r="M1418" t="s">
        <v>10207</v>
      </c>
      <c r="N1418">
        <f t="shared" ca="1" si="90"/>
        <v>3</v>
      </c>
      <c r="O1418" t="str">
        <f t="shared" ca="1" si="91"/>
        <v>Intermediate level</v>
      </c>
    </row>
    <row r="1419" spans="1:15" x14ac:dyDescent="0.3">
      <c r="A1419" t="s">
        <v>10208</v>
      </c>
      <c r="B1419" t="s">
        <v>10209</v>
      </c>
      <c r="C1419" t="s">
        <v>748</v>
      </c>
      <c r="D1419" t="s">
        <v>10210</v>
      </c>
      <c r="E1419" t="s">
        <v>10211</v>
      </c>
      <c r="F1419" t="s">
        <v>2080</v>
      </c>
      <c r="G1419" t="s">
        <v>10212</v>
      </c>
      <c r="H1419" t="s">
        <v>10213</v>
      </c>
      <c r="I1419">
        <f t="shared" ca="1" si="88"/>
        <v>56</v>
      </c>
      <c r="J1419" t="str">
        <f t="shared" ca="1" si="89"/>
        <v>50-59</v>
      </c>
      <c r="K1419">
        <v>101372.61</v>
      </c>
      <c r="L1419" t="str">
        <f>IF(Workforce[[#This Row],[Salary]]&lt;50000,"30k-49k",IF(Workforce[[#This Row],[Salary]]&lt;70000,"50k-69k",IF(Workforce[[#This Row],[Salary]]&lt;90000,"70k-89k","90k+")))</f>
        <v>90k+</v>
      </c>
      <c r="M1419" t="s">
        <v>10214</v>
      </c>
      <c r="N1419">
        <f t="shared" ca="1" si="90"/>
        <v>10</v>
      </c>
      <c r="O1419" t="str">
        <f t="shared" ca="1" si="91"/>
        <v>Senior level</v>
      </c>
    </row>
    <row r="1420" spans="1:15" x14ac:dyDescent="0.3">
      <c r="A1420" t="s">
        <v>10215</v>
      </c>
      <c r="B1420" t="s">
        <v>10216</v>
      </c>
      <c r="C1420" t="s">
        <v>1223</v>
      </c>
      <c r="D1420" t="s">
        <v>10217</v>
      </c>
      <c r="E1420" t="s">
        <v>10218</v>
      </c>
      <c r="F1420" t="s">
        <v>1896</v>
      </c>
      <c r="G1420" t="s">
        <v>10219</v>
      </c>
      <c r="H1420" t="s">
        <v>10220</v>
      </c>
      <c r="I1420">
        <f t="shared" ca="1" si="88"/>
        <v>42</v>
      </c>
      <c r="J1420" t="str">
        <f t="shared" ca="1" si="89"/>
        <v>40-49</v>
      </c>
      <c r="K1420">
        <v>85431.89</v>
      </c>
      <c r="L1420" t="str">
        <f>IF(Workforce[[#This Row],[Salary]]&lt;50000,"30k-49k",IF(Workforce[[#This Row],[Salary]]&lt;70000,"50k-69k",IF(Workforce[[#This Row],[Salary]]&lt;90000,"70k-89k","90k+")))</f>
        <v>70k-89k</v>
      </c>
      <c r="M1420" t="s">
        <v>193</v>
      </c>
      <c r="N1420">
        <f t="shared" ca="1" si="90"/>
        <v>1</v>
      </c>
      <c r="O1420" t="str">
        <f t="shared" ca="1" si="91"/>
        <v>Beginner</v>
      </c>
    </row>
    <row r="1421" spans="1:15" x14ac:dyDescent="0.3">
      <c r="A1421" t="s">
        <v>10221</v>
      </c>
      <c r="B1421" t="s">
        <v>10222</v>
      </c>
      <c r="C1421" t="s">
        <v>133</v>
      </c>
      <c r="D1421" t="s">
        <v>10223</v>
      </c>
      <c r="E1421" t="s">
        <v>10224</v>
      </c>
      <c r="F1421" t="s">
        <v>10225</v>
      </c>
      <c r="G1421" t="s">
        <v>10226</v>
      </c>
      <c r="H1421" t="s">
        <v>6627</v>
      </c>
      <c r="I1421">
        <f t="shared" ca="1" si="88"/>
        <v>33</v>
      </c>
      <c r="J1421" t="str">
        <f t="shared" ca="1" si="89"/>
        <v>30-39</v>
      </c>
      <c r="K1421">
        <v>70867.520000000004</v>
      </c>
      <c r="L1421" t="str">
        <f>IF(Workforce[[#This Row],[Salary]]&lt;50000,"30k-49k",IF(Workforce[[#This Row],[Salary]]&lt;70000,"50k-69k",IF(Workforce[[#This Row],[Salary]]&lt;90000,"70k-89k","90k+")))</f>
        <v>70k-89k</v>
      </c>
      <c r="M1421" t="s">
        <v>10227</v>
      </c>
      <c r="N1421">
        <f t="shared" ca="1" si="90"/>
        <v>4</v>
      </c>
      <c r="O1421" t="str">
        <f t="shared" ca="1" si="91"/>
        <v>Intermediate level</v>
      </c>
    </row>
    <row r="1422" spans="1:15" x14ac:dyDescent="0.3">
      <c r="A1422" t="s">
        <v>10228</v>
      </c>
      <c r="B1422" t="s">
        <v>10229</v>
      </c>
      <c r="C1422" t="s">
        <v>482</v>
      </c>
      <c r="D1422" t="s">
        <v>10230</v>
      </c>
      <c r="E1422" t="s">
        <v>10231</v>
      </c>
      <c r="F1422" t="s">
        <v>10232</v>
      </c>
      <c r="G1422" t="s">
        <v>10233</v>
      </c>
      <c r="H1422" t="s">
        <v>10234</v>
      </c>
      <c r="I1422">
        <f t="shared" ca="1" si="88"/>
        <v>49</v>
      </c>
      <c r="J1422" t="str">
        <f t="shared" ca="1" si="89"/>
        <v>40-49</v>
      </c>
      <c r="K1422">
        <v>49269.07</v>
      </c>
      <c r="L1422" t="str">
        <f>IF(Workforce[[#This Row],[Salary]]&lt;50000,"30k-49k",IF(Workforce[[#This Row],[Salary]]&lt;70000,"50k-69k",IF(Workforce[[#This Row],[Salary]]&lt;90000,"70k-89k","90k+")))</f>
        <v>30k-49k</v>
      </c>
      <c r="M1422" t="s">
        <v>7517</v>
      </c>
      <c r="N1422">
        <f t="shared" ca="1" si="90"/>
        <v>3</v>
      </c>
      <c r="O1422" t="str">
        <f t="shared" ca="1" si="91"/>
        <v>Intermediate level</v>
      </c>
    </row>
    <row r="1423" spans="1:15" x14ac:dyDescent="0.3">
      <c r="A1423" t="s">
        <v>10235</v>
      </c>
      <c r="B1423" t="s">
        <v>10236</v>
      </c>
      <c r="C1423" t="s">
        <v>844</v>
      </c>
      <c r="D1423" t="s">
        <v>10237</v>
      </c>
      <c r="E1423" t="s">
        <v>10238</v>
      </c>
      <c r="F1423" t="s">
        <v>3345</v>
      </c>
      <c r="G1423" t="s">
        <v>6234</v>
      </c>
      <c r="H1423" t="s">
        <v>10239</v>
      </c>
      <c r="I1423">
        <f t="shared" ca="1" si="88"/>
        <v>45</v>
      </c>
      <c r="J1423" t="str">
        <f t="shared" ca="1" si="89"/>
        <v>40-49</v>
      </c>
      <c r="K1423">
        <v>58675.99</v>
      </c>
      <c r="L1423" t="str">
        <f>IF(Workforce[[#This Row],[Salary]]&lt;50000,"30k-49k",IF(Workforce[[#This Row],[Salary]]&lt;70000,"50k-69k",IF(Workforce[[#This Row],[Salary]]&lt;90000,"70k-89k","90k+")))</f>
        <v>50k-69k</v>
      </c>
      <c r="M1423" t="s">
        <v>10240</v>
      </c>
      <c r="N1423">
        <f t="shared" ca="1" si="90"/>
        <v>5</v>
      </c>
      <c r="O1423" t="str">
        <f t="shared" ca="1" si="91"/>
        <v>Intermediate level</v>
      </c>
    </row>
    <row r="1424" spans="1:15" x14ac:dyDescent="0.3">
      <c r="A1424" t="s">
        <v>10241</v>
      </c>
      <c r="B1424" t="s">
        <v>10242</v>
      </c>
      <c r="C1424" t="s">
        <v>35</v>
      </c>
      <c r="D1424" t="s">
        <v>10243</v>
      </c>
      <c r="E1424" t="s">
        <v>10244</v>
      </c>
      <c r="F1424" t="s">
        <v>8200</v>
      </c>
      <c r="G1424" t="s">
        <v>10245</v>
      </c>
      <c r="H1424" t="s">
        <v>10246</v>
      </c>
      <c r="I1424">
        <f t="shared" ca="1" si="88"/>
        <v>28</v>
      </c>
      <c r="J1424" t="str">
        <f t="shared" ca="1" si="89"/>
        <v>18-29</v>
      </c>
      <c r="K1424">
        <v>89153</v>
      </c>
      <c r="L1424" t="str">
        <f>IF(Workforce[[#This Row],[Salary]]&lt;50000,"30k-49k",IF(Workforce[[#This Row],[Salary]]&lt;70000,"50k-69k",IF(Workforce[[#This Row],[Salary]]&lt;90000,"70k-89k","90k+")))</f>
        <v>70k-89k</v>
      </c>
      <c r="M1424" t="s">
        <v>103</v>
      </c>
      <c r="N1424">
        <f t="shared" ca="1" si="90"/>
        <v>9</v>
      </c>
      <c r="O1424" t="str">
        <f t="shared" ca="1" si="91"/>
        <v>Senior level</v>
      </c>
    </row>
    <row r="1425" spans="1:15" x14ac:dyDescent="0.3">
      <c r="A1425" t="s">
        <v>10247</v>
      </c>
      <c r="B1425" t="s">
        <v>10248</v>
      </c>
      <c r="C1425" t="s">
        <v>187</v>
      </c>
      <c r="D1425" t="s">
        <v>10249</v>
      </c>
      <c r="E1425" t="s">
        <v>10250</v>
      </c>
      <c r="F1425" t="s">
        <v>1757</v>
      </c>
      <c r="G1425" t="s">
        <v>10251</v>
      </c>
      <c r="H1425" t="s">
        <v>10252</v>
      </c>
      <c r="I1425">
        <f t="shared" ca="1" si="88"/>
        <v>54</v>
      </c>
      <c r="J1425" t="str">
        <f t="shared" ca="1" si="89"/>
        <v>50-59</v>
      </c>
      <c r="K1425">
        <v>88028.86</v>
      </c>
      <c r="L1425" t="str">
        <f>IF(Workforce[[#This Row],[Salary]]&lt;50000,"30k-49k",IF(Workforce[[#This Row],[Salary]]&lt;70000,"50k-69k",IF(Workforce[[#This Row],[Salary]]&lt;90000,"70k-89k","90k+")))</f>
        <v>70k-89k</v>
      </c>
      <c r="M1425" t="s">
        <v>10253</v>
      </c>
      <c r="N1425">
        <f t="shared" ca="1" si="90"/>
        <v>4</v>
      </c>
      <c r="O1425" t="str">
        <f t="shared" ca="1" si="91"/>
        <v>Intermediate level</v>
      </c>
    </row>
    <row r="1426" spans="1:15" x14ac:dyDescent="0.3">
      <c r="A1426" t="s">
        <v>10254</v>
      </c>
      <c r="B1426" t="s">
        <v>10255</v>
      </c>
      <c r="C1426" t="s">
        <v>222</v>
      </c>
      <c r="D1426" t="s">
        <v>10256</v>
      </c>
      <c r="E1426" t="s">
        <v>10257</v>
      </c>
      <c r="F1426" t="s">
        <v>1803</v>
      </c>
      <c r="G1426" t="s">
        <v>4322</v>
      </c>
      <c r="H1426" t="s">
        <v>10258</v>
      </c>
      <c r="I1426">
        <f t="shared" ca="1" si="88"/>
        <v>40</v>
      </c>
      <c r="J1426" t="str">
        <f t="shared" ca="1" si="89"/>
        <v>40-49</v>
      </c>
      <c r="K1426">
        <v>119301.77</v>
      </c>
      <c r="L1426" t="str">
        <f>IF(Workforce[[#This Row],[Salary]]&lt;50000,"30k-49k",IF(Workforce[[#This Row],[Salary]]&lt;70000,"50k-69k",IF(Workforce[[#This Row],[Salary]]&lt;90000,"70k-89k","90k+")))</f>
        <v>90k+</v>
      </c>
      <c r="M1426" t="s">
        <v>10259</v>
      </c>
      <c r="N1426">
        <f t="shared" ca="1" si="90"/>
        <v>5</v>
      </c>
      <c r="O1426" t="str">
        <f t="shared" ca="1" si="91"/>
        <v>Intermediate level</v>
      </c>
    </row>
    <row r="1427" spans="1:15" x14ac:dyDescent="0.3">
      <c r="A1427" t="s">
        <v>10260</v>
      </c>
      <c r="B1427" t="s">
        <v>10261</v>
      </c>
      <c r="C1427" t="s">
        <v>335</v>
      </c>
      <c r="D1427" t="s">
        <v>10262</v>
      </c>
      <c r="E1427" t="s">
        <v>10263</v>
      </c>
      <c r="F1427" t="s">
        <v>6556</v>
      </c>
      <c r="G1427" t="s">
        <v>10264</v>
      </c>
      <c r="H1427" t="s">
        <v>10265</v>
      </c>
      <c r="I1427">
        <f t="shared" ca="1" si="88"/>
        <v>27</v>
      </c>
      <c r="J1427" t="str">
        <f t="shared" ca="1" si="89"/>
        <v>18-29</v>
      </c>
      <c r="K1427">
        <v>48356.14</v>
      </c>
      <c r="L1427" t="str">
        <f>IF(Workforce[[#This Row],[Salary]]&lt;50000,"30k-49k",IF(Workforce[[#This Row],[Salary]]&lt;70000,"50k-69k",IF(Workforce[[#This Row],[Salary]]&lt;90000,"70k-89k","90k+")))</f>
        <v>30k-49k</v>
      </c>
      <c r="M1427" t="s">
        <v>8517</v>
      </c>
      <c r="N1427">
        <f t="shared" ca="1" si="90"/>
        <v>7</v>
      </c>
      <c r="O1427" t="str">
        <f t="shared" ca="1" si="91"/>
        <v>Senior level</v>
      </c>
    </row>
    <row r="1428" spans="1:15" x14ac:dyDescent="0.3">
      <c r="A1428" t="s">
        <v>10266</v>
      </c>
      <c r="B1428" t="s">
        <v>10267</v>
      </c>
      <c r="C1428" t="s">
        <v>2086</v>
      </c>
      <c r="D1428" t="s">
        <v>10268</v>
      </c>
      <c r="E1428" t="s">
        <v>10269</v>
      </c>
      <c r="F1428" t="s">
        <v>5439</v>
      </c>
      <c r="G1428" t="s">
        <v>10270</v>
      </c>
      <c r="H1428" t="s">
        <v>10271</v>
      </c>
      <c r="I1428">
        <f t="shared" ca="1" si="88"/>
        <v>39</v>
      </c>
      <c r="J1428" t="str">
        <f t="shared" ca="1" si="89"/>
        <v>30-39</v>
      </c>
      <c r="K1428">
        <v>66750.63</v>
      </c>
      <c r="L1428" t="str">
        <f>IF(Workforce[[#This Row],[Salary]]&lt;50000,"30k-49k",IF(Workforce[[#This Row],[Salary]]&lt;70000,"50k-69k",IF(Workforce[[#This Row],[Salary]]&lt;90000,"70k-89k","90k+")))</f>
        <v>50k-69k</v>
      </c>
      <c r="M1428" t="s">
        <v>10272</v>
      </c>
      <c r="N1428">
        <f t="shared" ca="1" si="90"/>
        <v>9</v>
      </c>
      <c r="O1428" t="str">
        <f t="shared" ca="1" si="91"/>
        <v>Senior level</v>
      </c>
    </row>
    <row r="1429" spans="1:15" x14ac:dyDescent="0.3">
      <c r="A1429" t="s">
        <v>10273</v>
      </c>
      <c r="B1429" t="s">
        <v>10274</v>
      </c>
      <c r="C1429" t="s">
        <v>240</v>
      </c>
      <c r="D1429" t="s">
        <v>10275</v>
      </c>
      <c r="E1429" t="s">
        <v>10276</v>
      </c>
      <c r="F1429" t="s">
        <v>989</v>
      </c>
      <c r="G1429" t="s">
        <v>10277</v>
      </c>
      <c r="H1429" t="s">
        <v>10278</v>
      </c>
      <c r="I1429">
        <f t="shared" ca="1" si="88"/>
        <v>63</v>
      </c>
      <c r="J1429" t="str">
        <f t="shared" ca="1" si="89"/>
        <v>60+</v>
      </c>
      <c r="K1429">
        <v>70702.16</v>
      </c>
      <c r="L1429" t="str">
        <f>IF(Workforce[[#This Row],[Salary]]&lt;50000,"30k-49k",IF(Workforce[[#This Row],[Salary]]&lt;70000,"50k-69k",IF(Workforce[[#This Row],[Salary]]&lt;90000,"70k-89k","90k+")))</f>
        <v>70k-89k</v>
      </c>
      <c r="M1429" t="s">
        <v>10279</v>
      </c>
      <c r="N1429">
        <f t="shared" ca="1" si="90"/>
        <v>1</v>
      </c>
      <c r="O1429" t="str">
        <f t="shared" ca="1" si="91"/>
        <v>Beginner</v>
      </c>
    </row>
    <row r="1430" spans="1:15" x14ac:dyDescent="0.3">
      <c r="A1430" t="s">
        <v>10280</v>
      </c>
      <c r="B1430" t="s">
        <v>10281</v>
      </c>
      <c r="C1430" t="s">
        <v>44</v>
      </c>
      <c r="D1430" t="s">
        <v>10282</v>
      </c>
      <c r="E1430" t="s">
        <v>10283</v>
      </c>
      <c r="F1430" t="s">
        <v>10284</v>
      </c>
      <c r="G1430" t="s">
        <v>10285</v>
      </c>
      <c r="H1430" t="s">
        <v>10286</v>
      </c>
      <c r="I1430">
        <f t="shared" ca="1" si="88"/>
        <v>24</v>
      </c>
      <c r="J1430" t="str">
        <f t="shared" ca="1" si="89"/>
        <v>18-29</v>
      </c>
      <c r="K1430">
        <v>102914.74</v>
      </c>
      <c r="L1430" t="str">
        <f>IF(Workforce[[#This Row],[Salary]]&lt;50000,"30k-49k",IF(Workforce[[#This Row],[Salary]]&lt;70000,"50k-69k",IF(Workforce[[#This Row],[Salary]]&lt;90000,"70k-89k","90k+")))</f>
        <v>90k+</v>
      </c>
      <c r="M1430" t="s">
        <v>10287</v>
      </c>
      <c r="N1430">
        <f t="shared" ca="1" si="90"/>
        <v>3</v>
      </c>
      <c r="O1430" t="str">
        <f t="shared" ca="1" si="91"/>
        <v>Intermediate level</v>
      </c>
    </row>
    <row r="1431" spans="1:15" x14ac:dyDescent="0.3">
      <c r="A1431" t="s">
        <v>10288</v>
      </c>
      <c r="B1431" t="s">
        <v>10289</v>
      </c>
      <c r="C1431" t="s">
        <v>440</v>
      </c>
      <c r="D1431" t="s">
        <v>10290</v>
      </c>
      <c r="E1431" t="s">
        <v>10291</v>
      </c>
      <c r="F1431" t="s">
        <v>3929</v>
      </c>
      <c r="G1431" t="s">
        <v>10292</v>
      </c>
      <c r="H1431" t="s">
        <v>10293</v>
      </c>
      <c r="I1431">
        <f t="shared" ca="1" si="88"/>
        <v>19</v>
      </c>
      <c r="J1431" t="str">
        <f t="shared" ca="1" si="89"/>
        <v>18-29</v>
      </c>
      <c r="K1431">
        <v>66817.02</v>
      </c>
      <c r="L1431" t="str">
        <f>IF(Workforce[[#This Row],[Salary]]&lt;50000,"30k-49k",IF(Workforce[[#This Row],[Salary]]&lt;70000,"50k-69k",IF(Workforce[[#This Row],[Salary]]&lt;90000,"70k-89k","90k+")))</f>
        <v>50k-69k</v>
      </c>
      <c r="M1431" t="s">
        <v>10294</v>
      </c>
      <c r="N1431">
        <f t="shared" ca="1" si="90"/>
        <v>5</v>
      </c>
      <c r="O1431" t="str">
        <f t="shared" ca="1" si="91"/>
        <v>Intermediate level</v>
      </c>
    </row>
    <row r="1432" spans="1:15" x14ac:dyDescent="0.3">
      <c r="A1432" t="s">
        <v>10295</v>
      </c>
      <c r="B1432" t="s">
        <v>10296</v>
      </c>
      <c r="C1432" t="s">
        <v>317</v>
      </c>
      <c r="D1432" t="s">
        <v>10297</v>
      </c>
      <c r="E1432" t="s">
        <v>10298</v>
      </c>
      <c r="F1432" t="s">
        <v>7729</v>
      </c>
      <c r="G1432" t="s">
        <v>10299</v>
      </c>
      <c r="H1432" t="s">
        <v>10300</v>
      </c>
      <c r="I1432">
        <f t="shared" ca="1" si="88"/>
        <v>23</v>
      </c>
      <c r="J1432" t="str">
        <f t="shared" ca="1" si="89"/>
        <v>18-29</v>
      </c>
      <c r="K1432">
        <v>116327.55</v>
      </c>
      <c r="L1432" t="str">
        <f>IF(Workforce[[#This Row],[Salary]]&lt;50000,"30k-49k",IF(Workforce[[#This Row],[Salary]]&lt;70000,"50k-69k",IF(Workforce[[#This Row],[Salary]]&lt;90000,"70k-89k","90k+")))</f>
        <v>90k+</v>
      </c>
      <c r="M1432" t="s">
        <v>10301</v>
      </c>
      <c r="N1432">
        <f t="shared" ca="1" si="90"/>
        <v>8</v>
      </c>
      <c r="O1432" t="str">
        <f t="shared" ca="1" si="91"/>
        <v>Senior level</v>
      </c>
    </row>
    <row r="1433" spans="1:15" x14ac:dyDescent="0.3">
      <c r="A1433" t="s">
        <v>10302</v>
      </c>
      <c r="B1433" t="s">
        <v>10303</v>
      </c>
      <c r="C1433" t="s">
        <v>275</v>
      </c>
      <c r="D1433" t="s">
        <v>10304</v>
      </c>
      <c r="E1433" t="s">
        <v>10305</v>
      </c>
      <c r="F1433" t="s">
        <v>10306</v>
      </c>
      <c r="G1433" t="s">
        <v>10307</v>
      </c>
      <c r="H1433" t="s">
        <v>10308</v>
      </c>
      <c r="I1433">
        <f t="shared" ca="1" si="88"/>
        <v>21</v>
      </c>
      <c r="J1433" t="str">
        <f t="shared" ca="1" si="89"/>
        <v>18-29</v>
      </c>
      <c r="K1433">
        <v>112404.85</v>
      </c>
      <c r="L1433" t="str">
        <f>IF(Workforce[[#This Row],[Salary]]&lt;50000,"30k-49k",IF(Workforce[[#This Row],[Salary]]&lt;70000,"50k-69k",IF(Workforce[[#This Row],[Salary]]&lt;90000,"70k-89k","90k+")))</f>
        <v>90k+</v>
      </c>
      <c r="M1433" t="s">
        <v>6437</v>
      </c>
      <c r="N1433">
        <f t="shared" ca="1" si="90"/>
        <v>7</v>
      </c>
      <c r="O1433" t="str">
        <f t="shared" ca="1" si="91"/>
        <v>Senior level</v>
      </c>
    </row>
    <row r="1434" spans="1:15" x14ac:dyDescent="0.3">
      <c r="A1434" t="s">
        <v>1414</v>
      </c>
      <c r="B1434" t="s">
        <v>10309</v>
      </c>
      <c r="C1434" t="s">
        <v>169</v>
      </c>
      <c r="D1434" t="s">
        <v>10310</v>
      </c>
      <c r="E1434" t="s">
        <v>10311</v>
      </c>
      <c r="F1434" t="s">
        <v>2856</v>
      </c>
      <c r="G1434" t="s">
        <v>10312</v>
      </c>
      <c r="H1434" t="s">
        <v>10313</v>
      </c>
      <c r="I1434">
        <f t="shared" ca="1" si="88"/>
        <v>40</v>
      </c>
      <c r="J1434" t="str">
        <f t="shared" ca="1" si="89"/>
        <v>40-49</v>
      </c>
      <c r="K1434">
        <v>43361.4</v>
      </c>
      <c r="L1434" t="str">
        <f>IF(Workforce[[#This Row],[Salary]]&lt;50000,"30k-49k",IF(Workforce[[#This Row],[Salary]]&lt;70000,"50k-69k",IF(Workforce[[#This Row],[Salary]]&lt;90000,"70k-89k","90k+")))</f>
        <v>30k-49k</v>
      </c>
      <c r="M1434" t="s">
        <v>10314</v>
      </c>
      <c r="N1434">
        <f t="shared" ca="1" si="90"/>
        <v>10</v>
      </c>
      <c r="O1434" t="str">
        <f t="shared" ca="1" si="91"/>
        <v>Senior level</v>
      </c>
    </row>
    <row r="1435" spans="1:15" x14ac:dyDescent="0.3">
      <c r="A1435" t="s">
        <v>10315</v>
      </c>
      <c r="B1435" t="s">
        <v>10316</v>
      </c>
      <c r="C1435" t="s">
        <v>257</v>
      </c>
      <c r="D1435" t="s">
        <v>10317</v>
      </c>
      <c r="E1435" t="s">
        <v>10318</v>
      </c>
      <c r="F1435" t="s">
        <v>1681</v>
      </c>
      <c r="G1435" t="s">
        <v>10319</v>
      </c>
      <c r="H1435" t="s">
        <v>10320</v>
      </c>
      <c r="I1435">
        <f t="shared" ca="1" si="88"/>
        <v>53</v>
      </c>
      <c r="J1435" t="str">
        <f t="shared" ca="1" si="89"/>
        <v>50-59</v>
      </c>
      <c r="K1435">
        <v>115738.14</v>
      </c>
      <c r="L1435" t="str">
        <f>IF(Workforce[[#This Row],[Salary]]&lt;50000,"30k-49k",IF(Workforce[[#This Row],[Salary]]&lt;70000,"50k-69k",IF(Workforce[[#This Row],[Salary]]&lt;90000,"70k-89k","90k+")))</f>
        <v>90k+</v>
      </c>
      <c r="M1435" t="s">
        <v>10321</v>
      </c>
      <c r="N1435">
        <f t="shared" ca="1" si="90"/>
        <v>8</v>
      </c>
      <c r="O1435" t="str">
        <f t="shared" ca="1" si="91"/>
        <v>Senior level</v>
      </c>
    </row>
    <row r="1436" spans="1:15" x14ac:dyDescent="0.3">
      <c r="A1436" t="s">
        <v>10322</v>
      </c>
      <c r="B1436" t="s">
        <v>10323</v>
      </c>
      <c r="C1436" t="s">
        <v>142</v>
      </c>
      <c r="D1436" t="s">
        <v>10324</v>
      </c>
      <c r="E1436" t="s">
        <v>10325</v>
      </c>
      <c r="F1436" t="s">
        <v>1981</v>
      </c>
      <c r="G1436" t="s">
        <v>10326</v>
      </c>
      <c r="H1436" t="s">
        <v>10327</v>
      </c>
      <c r="I1436">
        <f t="shared" ca="1" si="88"/>
        <v>57</v>
      </c>
      <c r="J1436" t="str">
        <f t="shared" ca="1" si="89"/>
        <v>50-59</v>
      </c>
      <c r="K1436">
        <v>97202.35</v>
      </c>
      <c r="L1436" t="str">
        <f>IF(Workforce[[#This Row],[Salary]]&lt;50000,"30k-49k",IF(Workforce[[#This Row],[Salary]]&lt;70000,"50k-69k",IF(Workforce[[#This Row],[Salary]]&lt;90000,"70k-89k","90k+")))</f>
        <v>90k+</v>
      </c>
      <c r="M1436" t="s">
        <v>10328</v>
      </c>
      <c r="N1436">
        <f t="shared" ca="1" si="90"/>
        <v>10</v>
      </c>
      <c r="O1436" t="str">
        <f t="shared" ca="1" si="91"/>
        <v>Senior level</v>
      </c>
    </row>
    <row r="1437" spans="1:15" x14ac:dyDescent="0.3">
      <c r="A1437" t="s">
        <v>10329</v>
      </c>
      <c r="B1437" t="s">
        <v>10330</v>
      </c>
      <c r="C1437" t="s">
        <v>124</v>
      </c>
      <c r="D1437" t="s">
        <v>10331</v>
      </c>
      <c r="E1437" t="s">
        <v>10332</v>
      </c>
      <c r="F1437" t="s">
        <v>1289</v>
      </c>
      <c r="G1437" t="s">
        <v>10333</v>
      </c>
      <c r="H1437" t="s">
        <v>10334</v>
      </c>
      <c r="I1437">
        <f t="shared" ca="1" si="88"/>
        <v>64</v>
      </c>
      <c r="J1437" t="str">
        <f t="shared" ca="1" si="89"/>
        <v>60+</v>
      </c>
      <c r="K1437">
        <v>78820.929999999993</v>
      </c>
      <c r="L1437" t="str">
        <f>IF(Workforce[[#This Row],[Salary]]&lt;50000,"30k-49k",IF(Workforce[[#This Row],[Salary]]&lt;70000,"50k-69k",IF(Workforce[[#This Row],[Salary]]&lt;90000,"70k-89k","90k+")))</f>
        <v>70k-89k</v>
      </c>
      <c r="M1437" t="s">
        <v>10335</v>
      </c>
      <c r="N1437">
        <f t="shared" ca="1" si="90"/>
        <v>4</v>
      </c>
      <c r="O1437" t="str">
        <f t="shared" ca="1" si="91"/>
        <v>Intermediate level</v>
      </c>
    </row>
    <row r="1438" spans="1:15" x14ac:dyDescent="0.3">
      <c r="A1438" t="s">
        <v>10336</v>
      </c>
      <c r="B1438" t="s">
        <v>10337</v>
      </c>
      <c r="C1438" t="s">
        <v>187</v>
      </c>
      <c r="D1438" t="s">
        <v>10338</v>
      </c>
      <c r="E1438" t="s">
        <v>10339</v>
      </c>
      <c r="F1438" t="s">
        <v>3264</v>
      </c>
      <c r="G1438" t="s">
        <v>10340</v>
      </c>
      <c r="H1438" t="s">
        <v>10341</v>
      </c>
      <c r="I1438">
        <f t="shared" ca="1" si="88"/>
        <v>37</v>
      </c>
      <c r="J1438" t="str">
        <f t="shared" ca="1" si="89"/>
        <v>30-39</v>
      </c>
      <c r="K1438">
        <v>83381.2</v>
      </c>
      <c r="L1438" t="str">
        <f>IF(Workforce[[#This Row],[Salary]]&lt;50000,"30k-49k",IF(Workforce[[#This Row],[Salary]]&lt;70000,"50k-69k",IF(Workforce[[#This Row],[Salary]]&lt;90000,"70k-89k","90k+")))</f>
        <v>70k-89k</v>
      </c>
      <c r="M1438" t="s">
        <v>10342</v>
      </c>
      <c r="N1438">
        <f t="shared" ca="1" si="90"/>
        <v>3</v>
      </c>
      <c r="O1438" t="str">
        <f t="shared" ca="1" si="91"/>
        <v>Intermediate level</v>
      </c>
    </row>
    <row r="1439" spans="1:15" x14ac:dyDescent="0.3">
      <c r="A1439" t="s">
        <v>10343</v>
      </c>
      <c r="B1439" t="s">
        <v>10344</v>
      </c>
      <c r="C1439" t="s">
        <v>995</v>
      </c>
      <c r="D1439" t="s">
        <v>10345</v>
      </c>
      <c r="E1439" t="s">
        <v>10346</v>
      </c>
      <c r="F1439" t="s">
        <v>10347</v>
      </c>
      <c r="G1439" t="s">
        <v>10348</v>
      </c>
      <c r="H1439" t="s">
        <v>10349</v>
      </c>
      <c r="I1439">
        <f t="shared" ca="1" si="88"/>
        <v>56</v>
      </c>
      <c r="J1439" t="str">
        <f t="shared" ca="1" si="89"/>
        <v>50-59</v>
      </c>
      <c r="K1439">
        <v>74797.25</v>
      </c>
      <c r="L1439" t="str">
        <f>IF(Workforce[[#This Row],[Salary]]&lt;50000,"30k-49k",IF(Workforce[[#This Row],[Salary]]&lt;70000,"50k-69k",IF(Workforce[[#This Row],[Salary]]&lt;90000,"70k-89k","90k+")))</f>
        <v>70k-89k</v>
      </c>
      <c r="M1439" t="s">
        <v>10350</v>
      </c>
      <c r="N1439">
        <f t="shared" ca="1" si="90"/>
        <v>1</v>
      </c>
      <c r="O1439" t="str">
        <f t="shared" ca="1" si="91"/>
        <v>Beginner</v>
      </c>
    </row>
    <row r="1440" spans="1:15" x14ac:dyDescent="0.3">
      <c r="A1440" t="s">
        <v>10351</v>
      </c>
      <c r="B1440" t="s">
        <v>10352</v>
      </c>
      <c r="C1440" t="s">
        <v>482</v>
      </c>
      <c r="D1440" t="s">
        <v>10353</v>
      </c>
      <c r="E1440" t="s">
        <v>10354</v>
      </c>
      <c r="F1440" t="s">
        <v>5307</v>
      </c>
      <c r="G1440" t="s">
        <v>10355</v>
      </c>
      <c r="H1440" t="s">
        <v>10356</v>
      </c>
      <c r="I1440">
        <f t="shared" ca="1" si="88"/>
        <v>59</v>
      </c>
      <c r="J1440" t="str">
        <f t="shared" ca="1" si="89"/>
        <v>50-59</v>
      </c>
      <c r="K1440">
        <v>105753.06</v>
      </c>
      <c r="L1440" t="str">
        <f>IF(Workforce[[#This Row],[Salary]]&lt;50000,"30k-49k",IF(Workforce[[#This Row],[Salary]]&lt;70000,"50k-69k",IF(Workforce[[#This Row],[Salary]]&lt;90000,"70k-89k","90k+")))</f>
        <v>90k+</v>
      </c>
      <c r="M1440" t="s">
        <v>10357</v>
      </c>
      <c r="N1440">
        <f t="shared" ca="1" si="90"/>
        <v>6</v>
      </c>
      <c r="O1440" t="str">
        <f t="shared" ca="1" si="91"/>
        <v>Intermediate level</v>
      </c>
    </row>
    <row r="1441" spans="1:15" x14ac:dyDescent="0.3">
      <c r="A1441" t="s">
        <v>10358</v>
      </c>
      <c r="B1441" t="s">
        <v>10359</v>
      </c>
      <c r="C1441" t="s">
        <v>2086</v>
      </c>
      <c r="D1441" t="s">
        <v>10360</v>
      </c>
      <c r="E1441" t="s">
        <v>10361</v>
      </c>
      <c r="F1441" t="s">
        <v>4941</v>
      </c>
      <c r="G1441" t="s">
        <v>10362</v>
      </c>
      <c r="H1441" t="s">
        <v>10363</v>
      </c>
      <c r="I1441">
        <f t="shared" ca="1" si="88"/>
        <v>42</v>
      </c>
      <c r="J1441" t="str">
        <f t="shared" ca="1" si="89"/>
        <v>40-49</v>
      </c>
      <c r="K1441">
        <v>53790</v>
      </c>
      <c r="L1441" t="str">
        <f>IF(Workforce[[#This Row],[Salary]]&lt;50000,"30k-49k",IF(Workforce[[#This Row],[Salary]]&lt;70000,"50k-69k",IF(Workforce[[#This Row],[Salary]]&lt;90000,"70k-89k","90k+")))</f>
        <v>50k-69k</v>
      </c>
      <c r="M1441" t="s">
        <v>4853</v>
      </c>
      <c r="N1441">
        <f t="shared" ca="1" si="90"/>
        <v>1</v>
      </c>
      <c r="O1441" t="str">
        <f t="shared" ca="1" si="91"/>
        <v>Beginner</v>
      </c>
    </row>
    <row r="1442" spans="1:15" x14ac:dyDescent="0.3">
      <c r="A1442" t="s">
        <v>10364</v>
      </c>
      <c r="B1442" t="s">
        <v>10365</v>
      </c>
      <c r="C1442" t="s">
        <v>748</v>
      </c>
      <c r="D1442" t="s">
        <v>10366</v>
      </c>
      <c r="E1442" t="s">
        <v>10367</v>
      </c>
      <c r="F1442" t="s">
        <v>2923</v>
      </c>
      <c r="G1442" t="s">
        <v>10368</v>
      </c>
      <c r="H1442" t="s">
        <v>10369</v>
      </c>
      <c r="I1442">
        <f t="shared" ca="1" si="88"/>
        <v>56</v>
      </c>
      <c r="J1442" t="str">
        <f t="shared" ca="1" si="89"/>
        <v>50-59</v>
      </c>
      <c r="K1442">
        <v>95806.399999999994</v>
      </c>
      <c r="L1442" t="str">
        <f>IF(Workforce[[#This Row],[Salary]]&lt;50000,"30k-49k",IF(Workforce[[#This Row],[Salary]]&lt;70000,"50k-69k",IF(Workforce[[#This Row],[Salary]]&lt;90000,"70k-89k","90k+")))</f>
        <v>90k+</v>
      </c>
      <c r="M1442" t="s">
        <v>10370</v>
      </c>
      <c r="N1442">
        <f t="shared" ca="1" si="90"/>
        <v>4</v>
      </c>
      <c r="O1442" t="str">
        <f t="shared" ca="1" si="91"/>
        <v>Intermediate level</v>
      </c>
    </row>
    <row r="1443" spans="1:15" x14ac:dyDescent="0.3">
      <c r="A1443" t="s">
        <v>10371</v>
      </c>
      <c r="B1443" t="s">
        <v>10372</v>
      </c>
      <c r="C1443" t="s">
        <v>169</v>
      </c>
      <c r="D1443" t="s">
        <v>10373</v>
      </c>
      <c r="E1443" t="s">
        <v>10374</v>
      </c>
      <c r="F1443" t="s">
        <v>5191</v>
      </c>
      <c r="G1443" t="s">
        <v>10375</v>
      </c>
      <c r="H1443" t="s">
        <v>10376</v>
      </c>
      <c r="I1443">
        <f t="shared" ca="1" si="88"/>
        <v>37</v>
      </c>
      <c r="J1443" t="str">
        <f t="shared" ca="1" si="89"/>
        <v>30-39</v>
      </c>
      <c r="K1443">
        <v>114771.23</v>
      </c>
      <c r="L1443" t="str">
        <f>IF(Workforce[[#This Row],[Salary]]&lt;50000,"30k-49k",IF(Workforce[[#This Row],[Salary]]&lt;70000,"50k-69k",IF(Workforce[[#This Row],[Salary]]&lt;90000,"70k-89k","90k+")))</f>
        <v>90k+</v>
      </c>
      <c r="M1443" t="s">
        <v>9662</v>
      </c>
      <c r="N1443">
        <f t="shared" ca="1" si="90"/>
        <v>4</v>
      </c>
      <c r="O1443" t="str">
        <f t="shared" ca="1" si="91"/>
        <v>Intermediate level</v>
      </c>
    </row>
    <row r="1444" spans="1:15" x14ac:dyDescent="0.3">
      <c r="A1444" t="s">
        <v>10377</v>
      </c>
      <c r="B1444" t="s">
        <v>10378</v>
      </c>
      <c r="C1444" t="s">
        <v>17</v>
      </c>
      <c r="D1444" t="s">
        <v>10379</v>
      </c>
      <c r="E1444" t="s">
        <v>10380</v>
      </c>
      <c r="F1444" t="s">
        <v>3141</v>
      </c>
      <c r="G1444" t="s">
        <v>10381</v>
      </c>
      <c r="H1444" t="s">
        <v>10382</v>
      </c>
      <c r="I1444">
        <f t="shared" ca="1" si="88"/>
        <v>23</v>
      </c>
      <c r="J1444" t="str">
        <f t="shared" ca="1" si="89"/>
        <v>18-29</v>
      </c>
      <c r="K1444">
        <v>104341.38</v>
      </c>
      <c r="L1444" t="str">
        <f>IF(Workforce[[#This Row],[Salary]]&lt;50000,"30k-49k",IF(Workforce[[#This Row],[Salary]]&lt;70000,"50k-69k",IF(Workforce[[#This Row],[Salary]]&lt;90000,"70k-89k","90k+")))</f>
        <v>90k+</v>
      </c>
      <c r="M1444" t="s">
        <v>4628</v>
      </c>
      <c r="N1444">
        <f t="shared" ca="1" si="90"/>
        <v>5</v>
      </c>
      <c r="O1444" t="str">
        <f t="shared" ca="1" si="91"/>
        <v>Intermediate level</v>
      </c>
    </row>
    <row r="1445" spans="1:15" x14ac:dyDescent="0.3">
      <c r="A1445" t="s">
        <v>10383</v>
      </c>
      <c r="B1445" t="s">
        <v>10384</v>
      </c>
      <c r="C1445" t="s">
        <v>1159</v>
      </c>
      <c r="D1445" t="s">
        <v>10385</v>
      </c>
      <c r="E1445" t="s">
        <v>10386</v>
      </c>
      <c r="F1445" t="s">
        <v>2365</v>
      </c>
      <c r="G1445" t="s">
        <v>10387</v>
      </c>
      <c r="H1445" t="s">
        <v>10388</v>
      </c>
      <c r="I1445">
        <f t="shared" ca="1" si="88"/>
        <v>58</v>
      </c>
      <c r="J1445" t="str">
        <f t="shared" ca="1" si="89"/>
        <v>50-59</v>
      </c>
      <c r="K1445">
        <v>45194.87</v>
      </c>
      <c r="L1445" t="str">
        <f>IF(Workforce[[#This Row],[Salary]]&lt;50000,"30k-49k",IF(Workforce[[#This Row],[Salary]]&lt;70000,"50k-69k",IF(Workforce[[#This Row],[Salary]]&lt;90000,"70k-89k","90k+")))</f>
        <v>30k-49k</v>
      </c>
      <c r="M1445" t="s">
        <v>9565</v>
      </c>
      <c r="N1445">
        <f t="shared" ca="1" si="90"/>
        <v>9</v>
      </c>
      <c r="O1445" t="str">
        <f t="shared" ca="1" si="91"/>
        <v>Senior level</v>
      </c>
    </row>
    <row r="1446" spans="1:15" x14ac:dyDescent="0.3">
      <c r="A1446" t="s">
        <v>10389</v>
      </c>
      <c r="B1446" t="s">
        <v>10390</v>
      </c>
      <c r="C1446" t="s">
        <v>97</v>
      </c>
      <c r="D1446" t="s">
        <v>10391</v>
      </c>
      <c r="E1446" t="s">
        <v>10392</v>
      </c>
      <c r="F1446" t="s">
        <v>4502</v>
      </c>
      <c r="G1446" t="s">
        <v>10393</v>
      </c>
      <c r="H1446" t="s">
        <v>10394</v>
      </c>
      <c r="I1446">
        <f t="shared" ca="1" si="88"/>
        <v>28</v>
      </c>
      <c r="J1446" t="str">
        <f t="shared" ca="1" si="89"/>
        <v>18-29</v>
      </c>
      <c r="K1446">
        <v>84536.24</v>
      </c>
      <c r="L1446" t="str">
        <f>IF(Workforce[[#This Row],[Salary]]&lt;50000,"30k-49k",IF(Workforce[[#This Row],[Salary]]&lt;70000,"50k-69k",IF(Workforce[[#This Row],[Salary]]&lt;90000,"70k-89k","90k+")))</f>
        <v>70k-89k</v>
      </c>
      <c r="M1446" t="s">
        <v>10395</v>
      </c>
      <c r="N1446">
        <f t="shared" ca="1" si="90"/>
        <v>3</v>
      </c>
      <c r="O1446" t="str">
        <f t="shared" ca="1" si="91"/>
        <v>Intermediate level</v>
      </c>
    </row>
    <row r="1447" spans="1:15" x14ac:dyDescent="0.3">
      <c r="A1447" t="s">
        <v>10396</v>
      </c>
      <c r="B1447" t="s">
        <v>10397</v>
      </c>
      <c r="C1447" t="s">
        <v>35</v>
      </c>
      <c r="D1447" t="s">
        <v>10398</v>
      </c>
      <c r="E1447" t="s">
        <v>10399</v>
      </c>
      <c r="F1447" t="s">
        <v>6448</v>
      </c>
      <c r="G1447" t="s">
        <v>10400</v>
      </c>
      <c r="H1447" t="s">
        <v>10401</v>
      </c>
      <c r="I1447">
        <f t="shared" ca="1" si="88"/>
        <v>39</v>
      </c>
      <c r="J1447" t="str">
        <f t="shared" ca="1" si="89"/>
        <v>30-39</v>
      </c>
      <c r="K1447">
        <v>38046.639999999999</v>
      </c>
      <c r="L1447" t="str">
        <f>IF(Workforce[[#This Row],[Salary]]&lt;50000,"30k-49k",IF(Workforce[[#This Row],[Salary]]&lt;70000,"50k-69k",IF(Workforce[[#This Row],[Salary]]&lt;90000,"70k-89k","90k+")))</f>
        <v>30k-49k</v>
      </c>
      <c r="M1447" t="s">
        <v>10402</v>
      </c>
      <c r="N1447">
        <f t="shared" ca="1" si="90"/>
        <v>10</v>
      </c>
      <c r="O1447" t="str">
        <f t="shared" ca="1" si="91"/>
        <v>Senior level</v>
      </c>
    </row>
    <row r="1448" spans="1:15" x14ac:dyDescent="0.3">
      <c r="A1448" t="s">
        <v>10403</v>
      </c>
      <c r="B1448" t="s">
        <v>10404</v>
      </c>
      <c r="C1448" t="s">
        <v>1043</v>
      </c>
      <c r="D1448" t="s">
        <v>10405</v>
      </c>
      <c r="E1448" t="s">
        <v>10406</v>
      </c>
      <c r="F1448" t="s">
        <v>3653</v>
      </c>
      <c r="G1448" t="s">
        <v>10407</v>
      </c>
      <c r="H1448" t="s">
        <v>6228</v>
      </c>
      <c r="I1448">
        <f t="shared" ca="1" si="88"/>
        <v>24</v>
      </c>
      <c r="J1448" t="str">
        <f t="shared" ca="1" si="89"/>
        <v>18-29</v>
      </c>
      <c r="K1448">
        <v>118393.91</v>
      </c>
      <c r="L1448" t="str">
        <f>IF(Workforce[[#This Row],[Salary]]&lt;50000,"30k-49k",IF(Workforce[[#This Row],[Salary]]&lt;70000,"50k-69k",IF(Workforce[[#This Row],[Salary]]&lt;90000,"70k-89k","90k+")))</f>
        <v>90k+</v>
      </c>
      <c r="M1448" t="s">
        <v>10408</v>
      </c>
      <c r="N1448">
        <f t="shared" ca="1" si="90"/>
        <v>3</v>
      </c>
      <c r="O1448" t="str">
        <f t="shared" ca="1" si="91"/>
        <v>Intermediate level</v>
      </c>
    </row>
    <row r="1449" spans="1:15" x14ac:dyDescent="0.3">
      <c r="A1449" t="s">
        <v>10409</v>
      </c>
      <c r="B1449" t="s">
        <v>10410</v>
      </c>
      <c r="C1449" t="s">
        <v>115</v>
      </c>
      <c r="D1449" t="s">
        <v>10411</v>
      </c>
      <c r="E1449" t="s">
        <v>10412</v>
      </c>
      <c r="F1449" t="s">
        <v>1320</v>
      </c>
      <c r="G1449" t="s">
        <v>10413</v>
      </c>
      <c r="H1449" t="s">
        <v>10414</v>
      </c>
      <c r="I1449">
        <f t="shared" ca="1" si="88"/>
        <v>48</v>
      </c>
      <c r="J1449" t="str">
        <f t="shared" ca="1" si="89"/>
        <v>40-49</v>
      </c>
      <c r="K1449">
        <v>106049.66</v>
      </c>
      <c r="L1449" t="str">
        <f>IF(Workforce[[#This Row],[Salary]]&lt;50000,"30k-49k",IF(Workforce[[#This Row],[Salary]]&lt;70000,"50k-69k",IF(Workforce[[#This Row],[Salary]]&lt;90000,"70k-89k","90k+")))</f>
        <v>90k+</v>
      </c>
      <c r="M1449" t="s">
        <v>10415</v>
      </c>
      <c r="N1449">
        <f t="shared" ca="1" si="90"/>
        <v>4</v>
      </c>
      <c r="O1449" t="str">
        <f t="shared" ca="1" si="91"/>
        <v>Intermediate level</v>
      </c>
    </row>
    <row r="1450" spans="1:15" x14ac:dyDescent="0.3">
      <c r="A1450" t="s">
        <v>10416</v>
      </c>
      <c r="B1450" t="s">
        <v>10417</v>
      </c>
      <c r="C1450" t="s">
        <v>213</v>
      </c>
      <c r="D1450" t="s">
        <v>10418</v>
      </c>
      <c r="E1450" t="s">
        <v>10419</v>
      </c>
      <c r="F1450" t="s">
        <v>1896</v>
      </c>
      <c r="G1450" t="s">
        <v>10420</v>
      </c>
      <c r="H1450" t="s">
        <v>10421</v>
      </c>
      <c r="I1450">
        <f t="shared" ca="1" si="88"/>
        <v>53</v>
      </c>
      <c r="J1450" t="str">
        <f t="shared" ca="1" si="89"/>
        <v>50-59</v>
      </c>
      <c r="K1450">
        <v>106517.33</v>
      </c>
      <c r="L1450" t="str">
        <f>IF(Workforce[[#This Row],[Salary]]&lt;50000,"30k-49k",IF(Workforce[[#This Row],[Salary]]&lt;70000,"50k-69k",IF(Workforce[[#This Row],[Salary]]&lt;90000,"70k-89k","90k+")))</f>
        <v>90k+</v>
      </c>
      <c r="M1450" t="s">
        <v>10422</v>
      </c>
      <c r="N1450">
        <f t="shared" ca="1" si="90"/>
        <v>9</v>
      </c>
      <c r="O1450" t="str">
        <f t="shared" ca="1" si="91"/>
        <v>Senior level</v>
      </c>
    </row>
    <row r="1451" spans="1:15" x14ac:dyDescent="0.3">
      <c r="A1451" t="s">
        <v>10423</v>
      </c>
      <c r="B1451" t="s">
        <v>10424</v>
      </c>
      <c r="C1451" t="s">
        <v>115</v>
      </c>
      <c r="D1451" t="s">
        <v>10425</v>
      </c>
      <c r="E1451" t="s">
        <v>10426</v>
      </c>
      <c r="F1451" t="s">
        <v>6570</v>
      </c>
      <c r="G1451" t="s">
        <v>10427</v>
      </c>
      <c r="H1451" t="s">
        <v>7955</v>
      </c>
      <c r="I1451">
        <f t="shared" ca="1" si="88"/>
        <v>31</v>
      </c>
      <c r="J1451" t="str">
        <f t="shared" ca="1" si="89"/>
        <v>30-39</v>
      </c>
      <c r="K1451">
        <v>31964.26</v>
      </c>
      <c r="L1451" t="str">
        <f>IF(Workforce[[#This Row],[Salary]]&lt;50000,"30k-49k",IF(Workforce[[#This Row],[Salary]]&lt;70000,"50k-69k",IF(Workforce[[#This Row],[Salary]]&lt;90000,"70k-89k","90k+")))</f>
        <v>30k-49k</v>
      </c>
      <c r="M1451" t="s">
        <v>10428</v>
      </c>
      <c r="N1451">
        <f t="shared" ca="1" si="90"/>
        <v>7</v>
      </c>
      <c r="O1451" t="str">
        <f t="shared" ca="1" si="91"/>
        <v>Senior level</v>
      </c>
    </row>
    <row r="1452" spans="1:15" x14ac:dyDescent="0.3">
      <c r="A1452" t="s">
        <v>10429</v>
      </c>
      <c r="B1452" t="s">
        <v>10430</v>
      </c>
      <c r="C1452" t="s">
        <v>275</v>
      </c>
      <c r="D1452" t="s">
        <v>10431</v>
      </c>
      <c r="E1452" t="s">
        <v>10432</v>
      </c>
      <c r="F1452" t="s">
        <v>3183</v>
      </c>
      <c r="G1452" t="s">
        <v>10433</v>
      </c>
      <c r="H1452" t="s">
        <v>10434</v>
      </c>
      <c r="I1452">
        <f t="shared" ca="1" si="88"/>
        <v>23</v>
      </c>
      <c r="J1452" t="str">
        <f t="shared" ca="1" si="89"/>
        <v>18-29</v>
      </c>
      <c r="K1452">
        <v>103828.52</v>
      </c>
      <c r="L1452" t="str">
        <f>IF(Workforce[[#This Row],[Salary]]&lt;50000,"30k-49k",IF(Workforce[[#This Row],[Salary]]&lt;70000,"50k-69k",IF(Workforce[[#This Row],[Salary]]&lt;90000,"70k-89k","90k+")))</f>
        <v>90k+</v>
      </c>
      <c r="M1452" t="s">
        <v>10435</v>
      </c>
      <c r="N1452">
        <f t="shared" ca="1" si="90"/>
        <v>8</v>
      </c>
      <c r="O1452" t="str">
        <f t="shared" ca="1" si="91"/>
        <v>Senior level</v>
      </c>
    </row>
    <row r="1453" spans="1:15" x14ac:dyDescent="0.3">
      <c r="A1453" t="s">
        <v>10436</v>
      </c>
      <c r="B1453" t="s">
        <v>10437</v>
      </c>
      <c r="C1453" t="s">
        <v>231</v>
      </c>
      <c r="D1453" t="s">
        <v>10438</v>
      </c>
      <c r="E1453" t="s">
        <v>10439</v>
      </c>
      <c r="F1453" t="s">
        <v>6132</v>
      </c>
      <c r="G1453" t="s">
        <v>10440</v>
      </c>
      <c r="H1453" t="s">
        <v>10441</v>
      </c>
      <c r="I1453">
        <f t="shared" ca="1" si="88"/>
        <v>66</v>
      </c>
      <c r="J1453" t="str">
        <f t="shared" ca="1" si="89"/>
        <v>60+</v>
      </c>
      <c r="K1453">
        <v>95558.66</v>
      </c>
      <c r="L1453" t="str">
        <f>IF(Workforce[[#This Row],[Salary]]&lt;50000,"30k-49k",IF(Workforce[[#This Row],[Salary]]&lt;70000,"50k-69k",IF(Workforce[[#This Row],[Salary]]&lt;90000,"70k-89k","90k+")))</f>
        <v>90k+</v>
      </c>
      <c r="M1453" t="s">
        <v>10442</v>
      </c>
      <c r="N1453">
        <f t="shared" ca="1" si="90"/>
        <v>3</v>
      </c>
      <c r="O1453" t="str">
        <f t="shared" ca="1" si="91"/>
        <v>Intermediate level</v>
      </c>
    </row>
    <row r="1454" spans="1:15" x14ac:dyDescent="0.3">
      <c r="A1454" t="s">
        <v>10443</v>
      </c>
      <c r="B1454" t="s">
        <v>10444</v>
      </c>
      <c r="C1454" t="s">
        <v>196</v>
      </c>
      <c r="D1454" t="s">
        <v>10445</v>
      </c>
      <c r="E1454" t="s">
        <v>10446</v>
      </c>
      <c r="F1454" t="s">
        <v>2358</v>
      </c>
      <c r="G1454" t="s">
        <v>10447</v>
      </c>
      <c r="H1454" t="s">
        <v>10448</v>
      </c>
      <c r="I1454">
        <f t="shared" ca="1" si="88"/>
        <v>33</v>
      </c>
      <c r="J1454" t="str">
        <f t="shared" ca="1" si="89"/>
        <v>30-39</v>
      </c>
      <c r="K1454">
        <v>69682.11</v>
      </c>
      <c r="L1454" t="str">
        <f>IF(Workforce[[#This Row],[Salary]]&lt;50000,"30k-49k",IF(Workforce[[#This Row],[Salary]]&lt;70000,"50k-69k",IF(Workforce[[#This Row],[Salary]]&lt;90000,"70k-89k","90k+")))</f>
        <v>50k-69k</v>
      </c>
      <c r="M1454" t="s">
        <v>10449</v>
      </c>
      <c r="N1454">
        <f t="shared" ca="1" si="90"/>
        <v>9</v>
      </c>
      <c r="O1454" t="str">
        <f t="shared" ca="1" si="91"/>
        <v>Senior level</v>
      </c>
    </row>
    <row r="1455" spans="1:15" x14ac:dyDescent="0.3">
      <c r="A1455" t="s">
        <v>10450</v>
      </c>
      <c r="B1455" t="s">
        <v>10451</v>
      </c>
      <c r="C1455" t="s">
        <v>351</v>
      </c>
      <c r="D1455" t="s">
        <v>10452</v>
      </c>
      <c r="E1455" t="s">
        <v>10453</v>
      </c>
      <c r="F1455" t="s">
        <v>2526</v>
      </c>
      <c r="G1455" t="s">
        <v>10454</v>
      </c>
      <c r="H1455" t="s">
        <v>10455</v>
      </c>
      <c r="I1455">
        <f t="shared" ca="1" si="88"/>
        <v>39</v>
      </c>
      <c r="J1455" t="str">
        <f t="shared" ca="1" si="89"/>
        <v>30-39</v>
      </c>
      <c r="K1455">
        <v>56537.64</v>
      </c>
      <c r="L1455" t="str">
        <f>IF(Workforce[[#This Row],[Salary]]&lt;50000,"30k-49k",IF(Workforce[[#This Row],[Salary]]&lt;70000,"50k-69k",IF(Workforce[[#This Row],[Salary]]&lt;90000,"70k-89k","90k+")))</f>
        <v>50k-69k</v>
      </c>
      <c r="M1455" t="s">
        <v>969</v>
      </c>
      <c r="N1455">
        <f t="shared" ca="1" si="90"/>
        <v>1</v>
      </c>
      <c r="O1455" t="str">
        <f t="shared" ca="1" si="91"/>
        <v>Beginner</v>
      </c>
    </row>
    <row r="1456" spans="1:15" x14ac:dyDescent="0.3">
      <c r="A1456" t="s">
        <v>10456</v>
      </c>
      <c r="B1456" t="s">
        <v>10457</v>
      </c>
      <c r="C1456" t="s">
        <v>79</v>
      </c>
      <c r="D1456" t="s">
        <v>10458</v>
      </c>
      <c r="E1456" t="s">
        <v>10459</v>
      </c>
      <c r="F1456" t="s">
        <v>3360</v>
      </c>
      <c r="G1456" t="s">
        <v>10460</v>
      </c>
      <c r="H1456" t="s">
        <v>10461</v>
      </c>
      <c r="I1456">
        <f t="shared" ca="1" si="88"/>
        <v>50</v>
      </c>
      <c r="J1456" t="str">
        <f t="shared" ca="1" si="89"/>
        <v>50-59</v>
      </c>
      <c r="K1456">
        <v>36119.4</v>
      </c>
      <c r="L1456" t="str">
        <f>IF(Workforce[[#This Row],[Salary]]&lt;50000,"30k-49k",IF(Workforce[[#This Row],[Salary]]&lt;70000,"50k-69k",IF(Workforce[[#This Row],[Salary]]&lt;90000,"70k-89k","90k+")))</f>
        <v>30k-49k</v>
      </c>
      <c r="M1456" t="s">
        <v>5554</v>
      </c>
      <c r="N1456">
        <f t="shared" ca="1" si="90"/>
        <v>9</v>
      </c>
      <c r="O1456" t="str">
        <f t="shared" ca="1" si="91"/>
        <v>Senior level</v>
      </c>
    </row>
    <row r="1457" spans="1:15" x14ac:dyDescent="0.3">
      <c r="A1457" t="s">
        <v>10462</v>
      </c>
      <c r="B1457" t="s">
        <v>10463</v>
      </c>
      <c r="C1457" t="s">
        <v>79</v>
      </c>
      <c r="D1457" t="s">
        <v>10464</v>
      </c>
      <c r="E1457" t="s">
        <v>10465</v>
      </c>
      <c r="F1457" t="s">
        <v>1689</v>
      </c>
      <c r="G1457" t="s">
        <v>10466</v>
      </c>
      <c r="H1457" t="s">
        <v>10467</v>
      </c>
      <c r="I1457">
        <f t="shared" ca="1" si="88"/>
        <v>35</v>
      </c>
      <c r="J1457" t="str">
        <f t="shared" ca="1" si="89"/>
        <v>30-39</v>
      </c>
      <c r="K1457">
        <v>73146.759999999995</v>
      </c>
      <c r="L1457" t="str">
        <f>IF(Workforce[[#This Row],[Salary]]&lt;50000,"30k-49k",IF(Workforce[[#This Row],[Salary]]&lt;70000,"50k-69k",IF(Workforce[[#This Row],[Salary]]&lt;90000,"70k-89k","90k+")))</f>
        <v>70k-89k</v>
      </c>
      <c r="M1457" t="s">
        <v>10468</v>
      </c>
      <c r="N1457">
        <f t="shared" ca="1" si="90"/>
        <v>6</v>
      </c>
      <c r="O1457" t="str">
        <f t="shared" ca="1" si="91"/>
        <v>Intermediate level</v>
      </c>
    </row>
    <row r="1458" spans="1:15" x14ac:dyDescent="0.3">
      <c r="A1458" t="s">
        <v>10469</v>
      </c>
      <c r="B1458" t="s">
        <v>10470</v>
      </c>
      <c r="C1458" t="s">
        <v>604</v>
      </c>
      <c r="D1458" t="s">
        <v>10471</v>
      </c>
      <c r="E1458" t="s">
        <v>10472</v>
      </c>
      <c r="F1458" t="s">
        <v>4757</v>
      </c>
      <c r="G1458" t="s">
        <v>10473</v>
      </c>
      <c r="H1458" t="s">
        <v>10474</v>
      </c>
      <c r="I1458">
        <f t="shared" ca="1" si="88"/>
        <v>32</v>
      </c>
      <c r="J1458" t="str">
        <f t="shared" ca="1" si="89"/>
        <v>30-39</v>
      </c>
      <c r="K1458">
        <v>42523.54</v>
      </c>
      <c r="L1458" t="str">
        <f>IF(Workforce[[#This Row],[Salary]]&lt;50000,"30k-49k",IF(Workforce[[#This Row],[Salary]]&lt;70000,"50k-69k",IF(Workforce[[#This Row],[Salary]]&lt;90000,"70k-89k","90k+")))</f>
        <v>30k-49k</v>
      </c>
      <c r="M1458" t="s">
        <v>10475</v>
      </c>
      <c r="N1458">
        <f t="shared" ca="1" si="90"/>
        <v>8</v>
      </c>
      <c r="O1458" t="str">
        <f t="shared" ca="1" si="91"/>
        <v>Senior level</v>
      </c>
    </row>
    <row r="1459" spans="1:15" x14ac:dyDescent="0.3">
      <c r="A1459" t="s">
        <v>10476</v>
      </c>
      <c r="B1459" t="s">
        <v>10477</v>
      </c>
      <c r="C1459" t="s">
        <v>196</v>
      </c>
      <c r="D1459" t="s">
        <v>10478</v>
      </c>
      <c r="E1459" t="s">
        <v>10479</v>
      </c>
      <c r="F1459" t="s">
        <v>1996</v>
      </c>
      <c r="G1459" t="s">
        <v>10480</v>
      </c>
      <c r="H1459" t="s">
        <v>10481</v>
      </c>
      <c r="I1459">
        <f t="shared" ca="1" si="88"/>
        <v>45</v>
      </c>
      <c r="J1459" t="str">
        <f t="shared" ca="1" si="89"/>
        <v>40-49</v>
      </c>
      <c r="K1459">
        <v>38059.199999999997</v>
      </c>
      <c r="L1459" t="str">
        <f>IF(Workforce[[#This Row],[Salary]]&lt;50000,"30k-49k",IF(Workforce[[#This Row],[Salary]]&lt;70000,"50k-69k",IF(Workforce[[#This Row],[Salary]]&lt;90000,"70k-89k","90k+")))</f>
        <v>30k-49k</v>
      </c>
      <c r="M1459" t="s">
        <v>10482</v>
      </c>
      <c r="N1459">
        <f t="shared" ca="1" si="90"/>
        <v>3</v>
      </c>
      <c r="O1459" t="str">
        <f t="shared" ca="1" si="91"/>
        <v>Intermediate level</v>
      </c>
    </row>
    <row r="1460" spans="1:15" x14ac:dyDescent="0.3">
      <c r="A1460" t="s">
        <v>10483</v>
      </c>
      <c r="B1460" t="s">
        <v>10484</v>
      </c>
      <c r="C1460" t="s">
        <v>440</v>
      </c>
      <c r="D1460" t="s">
        <v>10485</v>
      </c>
      <c r="E1460" t="s">
        <v>10486</v>
      </c>
      <c r="F1460" t="s">
        <v>4941</v>
      </c>
      <c r="G1460" t="s">
        <v>9339</v>
      </c>
      <c r="H1460" t="s">
        <v>10487</v>
      </c>
      <c r="I1460">
        <f t="shared" ca="1" si="88"/>
        <v>36</v>
      </c>
      <c r="J1460" t="str">
        <f t="shared" ca="1" si="89"/>
        <v>30-39</v>
      </c>
      <c r="K1460">
        <v>49873.47</v>
      </c>
      <c r="L1460" t="str">
        <f>IF(Workforce[[#This Row],[Salary]]&lt;50000,"30k-49k",IF(Workforce[[#This Row],[Salary]]&lt;70000,"50k-69k",IF(Workforce[[#This Row],[Salary]]&lt;90000,"70k-89k","90k+")))</f>
        <v>30k-49k</v>
      </c>
      <c r="M1460" t="s">
        <v>10488</v>
      </c>
      <c r="N1460">
        <f t="shared" ca="1" si="90"/>
        <v>4</v>
      </c>
      <c r="O1460" t="str">
        <f t="shared" ca="1" si="91"/>
        <v>Intermediate level</v>
      </c>
    </row>
    <row r="1461" spans="1:15" x14ac:dyDescent="0.3">
      <c r="A1461" t="s">
        <v>10489</v>
      </c>
      <c r="B1461" t="s">
        <v>10490</v>
      </c>
      <c r="C1461" t="s">
        <v>151</v>
      </c>
      <c r="D1461" t="s">
        <v>10491</v>
      </c>
      <c r="E1461" t="s">
        <v>10492</v>
      </c>
      <c r="F1461" t="s">
        <v>2117</v>
      </c>
      <c r="G1461" t="s">
        <v>10493</v>
      </c>
      <c r="H1461" t="s">
        <v>10494</v>
      </c>
      <c r="I1461">
        <f t="shared" ca="1" si="88"/>
        <v>41</v>
      </c>
      <c r="J1461" t="str">
        <f t="shared" ca="1" si="89"/>
        <v>40-49</v>
      </c>
      <c r="K1461">
        <v>68030.289999999994</v>
      </c>
      <c r="L1461" t="str">
        <f>IF(Workforce[[#This Row],[Salary]]&lt;50000,"30k-49k",IF(Workforce[[#This Row],[Salary]]&lt;70000,"50k-69k",IF(Workforce[[#This Row],[Salary]]&lt;90000,"70k-89k","90k+")))</f>
        <v>50k-69k</v>
      </c>
      <c r="M1461" t="s">
        <v>9951</v>
      </c>
      <c r="N1461">
        <f t="shared" ca="1" si="90"/>
        <v>5</v>
      </c>
      <c r="O1461" t="str">
        <f t="shared" ca="1" si="91"/>
        <v>Intermediate level</v>
      </c>
    </row>
    <row r="1462" spans="1:15" x14ac:dyDescent="0.3">
      <c r="A1462" t="s">
        <v>10495</v>
      </c>
      <c r="B1462" t="s">
        <v>10496</v>
      </c>
      <c r="C1462" t="s">
        <v>400</v>
      </c>
      <c r="D1462" t="s">
        <v>10497</v>
      </c>
      <c r="E1462" t="s">
        <v>10498</v>
      </c>
      <c r="F1462" t="s">
        <v>5345</v>
      </c>
      <c r="G1462" t="s">
        <v>10499</v>
      </c>
      <c r="H1462" t="s">
        <v>10500</v>
      </c>
      <c r="I1462">
        <f t="shared" ca="1" si="88"/>
        <v>61</v>
      </c>
      <c r="J1462" t="str">
        <f t="shared" ca="1" si="89"/>
        <v>60+</v>
      </c>
      <c r="K1462">
        <v>89826.48</v>
      </c>
      <c r="L1462" t="str">
        <f>IF(Workforce[[#This Row],[Salary]]&lt;50000,"30k-49k",IF(Workforce[[#This Row],[Salary]]&lt;70000,"50k-69k",IF(Workforce[[#This Row],[Salary]]&lt;90000,"70k-89k","90k+")))</f>
        <v>70k-89k</v>
      </c>
      <c r="M1462" t="s">
        <v>10501</v>
      </c>
      <c r="N1462">
        <f t="shared" ca="1" si="90"/>
        <v>8</v>
      </c>
      <c r="O1462" t="str">
        <f t="shared" ca="1" si="91"/>
        <v>Senior level</v>
      </c>
    </row>
    <row r="1463" spans="1:15" x14ac:dyDescent="0.3">
      <c r="A1463" t="s">
        <v>10502</v>
      </c>
      <c r="B1463" t="s">
        <v>10503</v>
      </c>
      <c r="C1463" t="s">
        <v>44</v>
      </c>
      <c r="D1463" t="s">
        <v>10504</v>
      </c>
      <c r="E1463" t="s">
        <v>10505</v>
      </c>
      <c r="F1463" t="s">
        <v>5365</v>
      </c>
      <c r="G1463" t="s">
        <v>10506</v>
      </c>
      <c r="H1463" t="s">
        <v>10507</v>
      </c>
      <c r="I1463">
        <f t="shared" ca="1" si="88"/>
        <v>50</v>
      </c>
      <c r="J1463" t="str">
        <f t="shared" ca="1" si="89"/>
        <v>50-59</v>
      </c>
      <c r="K1463">
        <v>44234.92</v>
      </c>
      <c r="L1463" t="str">
        <f>IF(Workforce[[#This Row],[Salary]]&lt;50000,"30k-49k",IF(Workforce[[#This Row],[Salary]]&lt;70000,"50k-69k",IF(Workforce[[#This Row],[Salary]]&lt;90000,"70k-89k","90k+")))</f>
        <v>30k-49k</v>
      </c>
      <c r="M1463" t="s">
        <v>3867</v>
      </c>
      <c r="N1463">
        <f t="shared" ca="1" si="90"/>
        <v>8</v>
      </c>
      <c r="O1463" t="str">
        <f t="shared" ca="1" si="91"/>
        <v>Senior level</v>
      </c>
    </row>
    <row r="1464" spans="1:15" x14ac:dyDescent="0.3">
      <c r="A1464" t="s">
        <v>10508</v>
      </c>
      <c r="B1464" t="s">
        <v>10509</v>
      </c>
      <c r="C1464" t="s">
        <v>169</v>
      </c>
      <c r="D1464" t="s">
        <v>10510</v>
      </c>
      <c r="E1464" t="s">
        <v>10511</v>
      </c>
      <c r="F1464" t="s">
        <v>726</v>
      </c>
      <c r="G1464" t="s">
        <v>10512</v>
      </c>
      <c r="H1464" t="s">
        <v>10513</v>
      </c>
      <c r="I1464">
        <f t="shared" ca="1" si="88"/>
        <v>56</v>
      </c>
      <c r="J1464" t="str">
        <f t="shared" ca="1" si="89"/>
        <v>50-59</v>
      </c>
      <c r="K1464">
        <v>42628.47</v>
      </c>
      <c r="L1464" t="str">
        <f>IF(Workforce[[#This Row],[Salary]]&lt;50000,"30k-49k",IF(Workforce[[#This Row],[Salary]]&lt;70000,"50k-69k",IF(Workforce[[#This Row],[Salary]]&lt;90000,"70k-89k","90k+")))</f>
        <v>30k-49k</v>
      </c>
      <c r="M1464" t="s">
        <v>7490</v>
      </c>
      <c r="N1464">
        <f t="shared" ca="1" si="90"/>
        <v>5</v>
      </c>
      <c r="O1464" t="str">
        <f t="shared" ca="1" si="91"/>
        <v>Intermediate level</v>
      </c>
    </row>
    <row r="1465" spans="1:15" x14ac:dyDescent="0.3">
      <c r="A1465" t="s">
        <v>10514</v>
      </c>
      <c r="B1465" t="s">
        <v>10515</v>
      </c>
      <c r="C1465" t="s">
        <v>1004</v>
      </c>
      <c r="D1465" t="s">
        <v>10516</v>
      </c>
      <c r="E1465" t="s">
        <v>10517</v>
      </c>
      <c r="F1465" t="s">
        <v>4941</v>
      </c>
      <c r="G1465" t="s">
        <v>10518</v>
      </c>
      <c r="H1465" t="s">
        <v>10519</v>
      </c>
      <c r="I1465">
        <f t="shared" ca="1" si="88"/>
        <v>44</v>
      </c>
      <c r="J1465" t="str">
        <f t="shared" ca="1" si="89"/>
        <v>40-49</v>
      </c>
      <c r="K1465">
        <v>96116.1</v>
      </c>
      <c r="L1465" t="str">
        <f>IF(Workforce[[#This Row],[Salary]]&lt;50000,"30k-49k",IF(Workforce[[#This Row],[Salary]]&lt;70000,"50k-69k",IF(Workforce[[#This Row],[Salary]]&lt;90000,"70k-89k","90k+")))</f>
        <v>90k+</v>
      </c>
      <c r="M1465" t="s">
        <v>10520</v>
      </c>
      <c r="N1465">
        <f t="shared" ca="1" si="90"/>
        <v>10</v>
      </c>
      <c r="O1465" t="str">
        <f t="shared" ca="1" si="91"/>
        <v>Senior level</v>
      </c>
    </row>
    <row r="1466" spans="1:15" x14ac:dyDescent="0.3">
      <c r="A1466" t="s">
        <v>10521</v>
      </c>
      <c r="B1466" t="s">
        <v>10522</v>
      </c>
      <c r="C1466" t="s">
        <v>266</v>
      </c>
      <c r="D1466" t="s">
        <v>10523</v>
      </c>
      <c r="E1466" t="s">
        <v>10524</v>
      </c>
      <c r="F1466" t="s">
        <v>260</v>
      </c>
      <c r="G1466" t="s">
        <v>10525</v>
      </c>
      <c r="H1466" t="s">
        <v>10526</v>
      </c>
      <c r="I1466">
        <f t="shared" ca="1" si="88"/>
        <v>43</v>
      </c>
      <c r="J1466" t="str">
        <f t="shared" ca="1" si="89"/>
        <v>40-49</v>
      </c>
      <c r="K1466">
        <v>94215.47</v>
      </c>
      <c r="L1466" t="str">
        <f>IF(Workforce[[#This Row],[Salary]]&lt;50000,"30k-49k",IF(Workforce[[#This Row],[Salary]]&lt;70000,"50k-69k",IF(Workforce[[#This Row],[Salary]]&lt;90000,"70k-89k","90k+")))</f>
        <v>90k+</v>
      </c>
      <c r="M1466" t="s">
        <v>10527</v>
      </c>
      <c r="N1466">
        <f t="shared" ca="1" si="90"/>
        <v>2</v>
      </c>
      <c r="O1466" t="str">
        <f t="shared" ca="1" si="91"/>
        <v>Beginner</v>
      </c>
    </row>
    <row r="1467" spans="1:15" x14ac:dyDescent="0.3">
      <c r="A1467" t="s">
        <v>10528</v>
      </c>
      <c r="B1467" t="s">
        <v>10529</v>
      </c>
      <c r="C1467" t="s">
        <v>88</v>
      </c>
      <c r="D1467" t="s">
        <v>10530</v>
      </c>
      <c r="E1467" t="s">
        <v>10531</v>
      </c>
      <c r="F1467" t="s">
        <v>8264</v>
      </c>
      <c r="G1467" t="s">
        <v>10532</v>
      </c>
      <c r="H1467" t="s">
        <v>10533</v>
      </c>
      <c r="I1467">
        <f t="shared" ca="1" si="88"/>
        <v>27</v>
      </c>
      <c r="J1467" t="str">
        <f t="shared" ca="1" si="89"/>
        <v>18-29</v>
      </c>
      <c r="K1467">
        <v>105738.39</v>
      </c>
      <c r="L1467" t="str">
        <f>IF(Workforce[[#This Row],[Salary]]&lt;50000,"30k-49k",IF(Workforce[[#This Row],[Salary]]&lt;70000,"50k-69k",IF(Workforce[[#This Row],[Salary]]&lt;90000,"70k-89k","90k+")))</f>
        <v>90k+</v>
      </c>
      <c r="M1467" t="s">
        <v>4295</v>
      </c>
      <c r="N1467">
        <f t="shared" ca="1" si="90"/>
        <v>9</v>
      </c>
      <c r="O1467" t="str">
        <f t="shared" ca="1" si="91"/>
        <v>Senior level</v>
      </c>
    </row>
    <row r="1468" spans="1:15" x14ac:dyDescent="0.3">
      <c r="A1468" t="s">
        <v>10534</v>
      </c>
      <c r="B1468" t="s">
        <v>10535</v>
      </c>
      <c r="C1468" t="s">
        <v>124</v>
      </c>
      <c r="D1468" t="s">
        <v>10536</v>
      </c>
      <c r="E1468" t="s">
        <v>10537</v>
      </c>
      <c r="F1468" t="s">
        <v>10538</v>
      </c>
      <c r="G1468" t="s">
        <v>10539</v>
      </c>
      <c r="H1468" t="s">
        <v>10540</v>
      </c>
      <c r="I1468">
        <f t="shared" ca="1" si="88"/>
        <v>19</v>
      </c>
      <c r="J1468" t="str">
        <f t="shared" ca="1" si="89"/>
        <v>18-29</v>
      </c>
      <c r="K1468">
        <v>98079.55</v>
      </c>
      <c r="L1468" t="str">
        <f>IF(Workforce[[#This Row],[Salary]]&lt;50000,"30k-49k",IF(Workforce[[#This Row],[Salary]]&lt;70000,"50k-69k",IF(Workforce[[#This Row],[Salary]]&lt;90000,"70k-89k","90k+")))</f>
        <v>90k+</v>
      </c>
      <c r="M1468" t="s">
        <v>2212</v>
      </c>
      <c r="N1468">
        <f t="shared" ca="1" si="90"/>
        <v>4</v>
      </c>
      <c r="O1468" t="str">
        <f t="shared" ca="1" si="91"/>
        <v>Intermediate level</v>
      </c>
    </row>
    <row r="1469" spans="1:15" x14ac:dyDescent="0.3">
      <c r="A1469" t="s">
        <v>10541</v>
      </c>
      <c r="B1469" t="s">
        <v>10542</v>
      </c>
      <c r="C1469" t="s">
        <v>79</v>
      </c>
      <c r="D1469" t="s">
        <v>10543</v>
      </c>
      <c r="E1469" t="s">
        <v>10544</v>
      </c>
      <c r="F1469" t="s">
        <v>6290</v>
      </c>
      <c r="G1469" t="s">
        <v>10545</v>
      </c>
      <c r="H1469" t="s">
        <v>10546</v>
      </c>
      <c r="I1469">
        <f t="shared" ca="1" si="88"/>
        <v>42</v>
      </c>
      <c r="J1469" t="str">
        <f t="shared" ca="1" si="89"/>
        <v>40-49</v>
      </c>
      <c r="K1469">
        <v>83778.44</v>
      </c>
      <c r="L1469" t="str">
        <f>IF(Workforce[[#This Row],[Salary]]&lt;50000,"30k-49k",IF(Workforce[[#This Row],[Salary]]&lt;70000,"50k-69k",IF(Workforce[[#This Row],[Salary]]&lt;90000,"70k-89k","90k+")))</f>
        <v>70k-89k</v>
      </c>
      <c r="M1469" t="s">
        <v>10547</v>
      </c>
      <c r="N1469">
        <f t="shared" ca="1" si="90"/>
        <v>4</v>
      </c>
      <c r="O1469" t="str">
        <f t="shared" ca="1" si="91"/>
        <v>Intermediate level</v>
      </c>
    </row>
    <row r="1470" spans="1:15" x14ac:dyDescent="0.3">
      <c r="A1470" t="s">
        <v>10548</v>
      </c>
      <c r="B1470" t="s">
        <v>10549</v>
      </c>
      <c r="C1470" t="s">
        <v>844</v>
      </c>
      <c r="D1470" t="s">
        <v>10550</v>
      </c>
      <c r="E1470" t="s">
        <v>10551</v>
      </c>
      <c r="F1470" t="s">
        <v>4170</v>
      </c>
      <c r="G1470" t="s">
        <v>10552</v>
      </c>
      <c r="H1470" t="s">
        <v>10553</v>
      </c>
      <c r="I1470">
        <f t="shared" ca="1" si="88"/>
        <v>28</v>
      </c>
      <c r="J1470" t="str">
        <f t="shared" ca="1" si="89"/>
        <v>18-29</v>
      </c>
      <c r="K1470">
        <v>108350</v>
      </c>
      <c r="L1470" t="str">
        <f>IF(Workforce[[#This Row],[Salary]]&lt;50000,"30k-49k",IF(Workforce[[#This Row],[Salary]]&lt;70000,"50k-69k",IF(Workforce[[#This Row],[Salary]]&lt;90000,"70k-89k","90k+")))</f>
        <v>90k+</v>
      </c>
      <c r="M1470" t="s">
        <v>10554</v>
      </c>
      <c r="N1470">
        <f t="shared" ca="1" si="90"/>
        <v>6</v>
      </c>
      <c r="O1470" t="str">
        <f t="shared" ca="1" si="91"/>
        <v>Intermediate level</v>
      </c>
    </row>
    <row r="1471" spans="1:15" x14ac:dyDescent="0.3">
      <c r="A1471" t="s">
        <v>10555</v>
      </c>
      <c r="B1471" t="s">
        <v>10556</v>
      </c>
      <c r="C1471" t="s">
        <v>133</v>
      </c>
      <c r="D1471" t="s">
        <v>10557</v>
      </c>
      <c r="E1471" t="s">
        <v>10558</v>
      </c>
      <c r="F1471" t="s">
        <v>1099</v>
      </c>
      <c r="G1471" t="s">
        <v>10559</v>
      </c>
      <c r="H1471" t="s">
        <v>10560</v>
      </c>
      <c r="I1471">
        <f t="shared" ca="1" si="88"/>
        <v>51</v>
      </c>
      <c r="J1471" t="str">
        <f t="shared" ca="1" si="89"/>
        <v>50-59</v>
      </c>
      <c r="K1471">
        <v>30007.55</v>
      </c>
      <c r="L1471" t="str">
        <f>IF(Workforce[[#This Row],[Salary]]&lt;50000,"30k-49k",IF(Workforce[[#This Row],[Salary]]&lt;70000,"50k-69k",IF(Workforce[[#This Row],[Salary]]&lt;90000,"70k-89k","90k+")))</f>
        <v>30k-49k</v>
      </c>
      <c r="M1471" t="s">
        <v>10561</v>
      </c>
      <c r="N1471">
        <f t="shared" ca="1" si="90"/>
        <v>3</v>
      </c>
      <c r="O1471" t="str">
        <f t="shared" ca="1" si="91"/>
        <v>Intermediate level</v>
      </c>
    </row>
    <row r="1472" spans="1:15" x14ac:dyDescent="0.3">
      <c r="A1472" t="s">
        <v>10562</v>
      </c>
      <c r="B1472" t="s">
        <v>10563</v>
      </c>
      <c r="C1472" t="s">
        <v>70</v>
      </c>
      <c r="D1472" t="s">
        <v>10564</v>
      </c>
      <c r="E1472" t="s">
        <v>10565</v>
      </c>
      <c r="F1472" t="s">
        <v>6008</v>
      </c>
      <c r="G1472" t="s">
        <v>10566</v>
      </c>
      <c r="H1472" t="s">
        <v>10567</v>
      </c>
      <c r="I1472">
        <f t="shared" ca="1" si="88"/>
        <v>39</v>
      </c>
      <c r="J1472" t="str">
        <f t="shared" ca="1" si="89"/>
        <v>30-39</v>
      </c>
      <c r="K1472">
        <v>53303.82</v>
      </c>
      <c r="L1472" t="str">
        <f>IF(Workforce[[#This Row],[Salary]]&lt;50000,"30k-49k",IF(Workforce[[#This Row],[Salary]]&lt;70000,"50k-69k",IF(Workforce[[#This Row],[Salary]]&lt;90000,"70k-89k","90k+")))</f>
        <v>50k-69k</v>
      </c>
      <c r="M1472" t="s">
        <v>10568</v>
      </c>
      <c r="N1472">
        <f t="shared" ca="1" si="90"/>
        <v>5</v>
      </c>
      <c r="O1472" t="str">
        <f t="shared" ca="1" si="91"/>
        <v>Intermediate level</v>
      </c>
    </row>
    <row r="1473" spans="1:15" x14ac:dyDescent="0.3">
      <c r="A1473" t="s">
        <v>10569</v>
      </c>
      <c r="B1473" t="s">
        <v>10570</v>
      </c>
      <c r="C1473" t="s">
        <v>240</v>
      </c>
      <c r="D1473" t="s">
        <v>10571</v>
      </c>
      <c r="E1473" t="s">
        <v>10572</v>
      </c>
      <c r="F1473" t="s">
        <v>6763</v>
      </c>
      <c r="G1473" t="s">
        <v>10573</v>
      </c>
      <c r="H1473" t="s">
        <v>10574</v>
      </c>
      <c r="I1473">
        <f t="shared" ca="1" si="88"/>
        <v>48</v>
      </c>
      <c r="J1473" t="str">
        <f t="shared" ca="1" si="89"/>
        <v>40-49</v>
      </c>
      <c r="K1473">
        <v>113286.63</v>
      </c>
      <c r="L1473" t="str">
        <f>IF(Workforce[[#This Row],[Salary]]&lt;50000,"30k-49k",IF(Workforce[[#This Row],[Salary]]&lt;70000,"50k-69k",IF(Workforce[[#This Row],[Salary]]&lt;90000,"70k-89k","90k+")))</f>
        <v>90k+</v>
      </c>
      <c r="M1473" t="s">
        <v>10575</v>
      </c>
      <c r="N1473">
        <f t="shared" ca="1" si="90"/>
        <v>9</v>
      </c>
      <c r="O1473" t="str">
        <f t="shared" ca="1" si="91"/>
        <v>Senior level</v>
      </c>
    </row>
    <row r="1474" spans="1:15" x14ac:dyDescent="0.3">
      <c r="A1474" t="s">
        <v>10576</v>
      </c>
      <c r="B1474" t="s">
        <v>10577</v>
      </c>
      <c r="C1474" t="s">
        <v>757</v>
      </c>
      <c r="D1474" t="s">
        <v>10578</v>
      </c>
      <c r="E1474" t="s">
        <v>10579</v>
      </c>
      <c r="F1474" t="s">
        <v>100</v>
      </c>
      <c r="G1474" t="s">
        <v>10580</v>
      </c>
      <c r="H1474" t="s">
        <v>10581</v>
      </c>
      <c r="I1474">
        <f t="shared" ref="I1474:I1537" ca="1" si="92">DATEDIF(H1474,TODAY(),"y")</f>
        <v>37</v>
      </c>
      <c r="J1474" t="str">
        <f t="shared" ref="J1474:J1537" ca="1" si="93">IF(I1474&lt;30,"18-29",IF(I1474&lt;40,"30-39",IF(I1474&lt;50,"40-49",IF(I1474&lt;60,"50-59","60+"))))</f>
        <v>30-39</v>
      </c>
      <c r="K1474">
        <v>54273.59</v>
      </c>
      <c r="L1474" t="str">
        <f>IF(Workforce[[#This Row],[Salary]]&lt;50000,"30k-49k",IF(Workforce[[#This Row],[Salary]]&lt;70000,"50k-69k",IF(Workforce[[#This Row],[Salary]]&lt;90000,"70k-89k","90k+")))</f>
        <v>50k-69k</v>
      </c>
      <c r="M1474" t="s">
        <v>7172</v>
      </c>
      <c r="N1474">
        <f t="shared" ref="N1474:N1537" ca="1" si="94">DATEDIF(M1474,TODAY(),"y")</f>
        <v>10</v>
      </c>
      <c r="O1474" t="str">
        <f t="shared" ref="O1474:O1537" ca="1" si="95">IF(N1474&lt;=2,"Beginner",IF(N1474&lt;=6,"Intermediate level","Senior level"))</f>
        <v>Senior level</v>
      </c>
    </row>
    <row r="1475" spans="1:15" x14ac:dyDescent="0.3">
      <c r="A1475" t="s">
        <v>10582</v>
      </c>
      <c r="B1475" t="s">
        <v>10583</v>
      </c>
      <c r="C1475" t="s">
        <v>231</v>
      </c>
      <c r="D1475" t="s">
        <v>10584</v>
      </c>
      <c r="E1475" t="s">
        <v>10585</v>
      </c>
      <c r="F1475" t="s">
        <v>10586</v>
      </c>
      <c r="G1475" t="s">
        <v>10587</v>
      </c>
      <c r="H1475" t="s">
        <v>10588</v>
      </c>
      <c r="I1475">
        <f t="shared" ca="1" si="92"/>
        <v>49</v>
      </c>
      <c r="J1475" t="str">
        <f t="shared" ca="1" si="93"/>
        <v>40-49</v>
      </c>
      <c r="K1475">
        <v>58964.94</v>
      </c>
      <c r="L1475" t="str">
        <f>IF(Workforce[[#This Row],[Salary]]&lt;50000,"30k-49k",IF(Workforce[[#This Row],[Salary]]&lt;70000,"50k-69k",IF(Workforce[[#This Row],[Salary]]&lt;90000,"70k-89k","90k+")))</f>
        <v>50k-69k</v>
      </c>
      <c r="M1475" t="s">
        <v>1429</v>
      </c>
      <c r="N1475">
        <f t="shared" ca="1" si="94"/>
        <v>0</v>
      </c>
      <c r="O1475" t="str">
        <f t="shared" ca="1" si="95"/>
        <v>Beginner</v>
      </c>
    </row>
    <row r="1476" spans="1:15" x14ac:dyDescent="0.3">
      <c r="A1476" t="s">
        <v>10589</v>
      </c>
      <c r="B1476" t="s">
        <v>10590</v>
      </c>
      <c r="C1476" t="s">
        <v>106</v>
      </c>
      <c r="D1476" t="s">
        <v>10591</v>
      </c>
      <c r="E1476" t="s">
        <v>10592</v>
      </c>
      <c r="F1476" t="s">
        <v>1780</v>
      </c>
      <c r="G1476" t="s">
        <v>10593</v>
      </c>
      <c r="H1476" t="s">
        <v>10594</v>
      </c>
      <c r="I1476">
        <f t="shared" ca="1" si="92"/>
        <v>41</v>
      </c>
      <c r="J1476" t="str">
        <f t="shared" ca="1" si="93"/>
        <v>40-49</v>
      </c>
      <c r="K1476">
        <v>112906.98</v>
      </c>
      <c r="L1476" t="str">
        <f>IF(Workforce[[#This Row],[Salary]]&lt;50000,"30k-49k",IF(Workforce[[#This Row],[Salary]]&lt;70000,"50k-69k",IF(Workforce[[#This Row],[Salary]]&lt;90000,"70k-89k","90k+")))</f>
        <v>90k+</v>
      </c>
      <c r="M1476" t="s">
        <v>10595</v>
      </c>
      <c r="N1476">
        <f t="shared" ca="1" si="94"/>
        <v>5</v>
      </c>
      <c r="O1476" t="str">
        <f t="shared" ca="1" si="95"/>
        <v>Intermediate level</v>
      </c>
    </row>
    <row r="1477" spans="1:15" x14ac:dyDescent="0.3">
      <c r="A1477" t="s">
        <v>10596</v>
      </c>
      <c r="B1477" t="s">
        <v>10597</v>
      </c>
      <c r="C1477" t="s">
        <v>580</v>
      </c>
      <c r="D1477" t="s">
        <v>10598</v>
      </c>
      <c r="E1477" t="s">
        <v>10599</v>
      </c>
      <c r="F1477" t="s">
        <v>118</v>
      </c>
      <c r="G1477" t="s">
        <v>10600</v>
      </c>
      <c r="H1477" t="s">
        <v>10601</v>
      </c>
      <c r="I1477">
        <f t="shared" ca="1" si="92"/>
        <v>42</v>
      </c>
      <c r="J1477" t="str">
        <f t="shared" ca="1" si="93"/>
        <v>40-49</v>
      </c>
      <c r="K1477">
        <v>111252.89</v>
      </c>
      <c r="L1477" t="str">
        <f>IF(Workforce[[#This Row],[Salary]]&lt;50000,"30k-49k",IF(Workforce[[#This Row],[Salary]]&lt;70000,"50k-69k",IF(Workforce[[#This Row],[Salary]]&lt;90000,"70k-89k","90k+")))</f>
        <v>90k+</v>
      </c>
      <c r="M1477" t="s">
        <v>10602</v>
      </c>
      <c r="N1477">
        <f t="shared" ca="1" si="94"/>
        <v>6</v>
      </c>
      <c r="O1477" t="str">
        <f t="shared" ca="1" si="95"/>
        <v>Intermediate level</v>
      </c>
    </row>
    <row r="1478" spans="1:15" x14ac:dyDescent="0.3">
      <c r="A1478" t="s">
        <v>10603</v>
      </c>
      <c r="B1478" t="s">
        <v>10604</v>
      </c>
      <c r="C1478" t="s">
        <v>44</v>
      </c>
      <c r="D1478" t="s">
        <v>10605</v>
      </c>
      <c r="E1478" t="s">
        <v>10606</v>
      </c>
      <c r="F1478" t="s">
        <v>1426</v>
      </c>
      <c r="G1478" t="s">
        <v>10607</v>
      </c>
      <c r="H1478" t="s">
        <v>10608</v>
      </c>
      <c r="I1478">
        <f t="shared" ca="1" si="92"/>
        <v>53</v>
      </c>
      <c r="J1478" t="str">
        <f t="shared" ca="1" si="93"/>
        <v>50-59</v>
      </c>
      <c r="K1478">
        <v>99864.14</v>
      </c>
      <c r="L1478" t="str">
        <f>IF(Workforce[[#This Row],[Salary]]&lt;50000,"30k-49k",IF(Workforce[[#This Row],[Salary]]&lt;70000,"50k-69k",IF(Workforce[[#This Row],[Salary]]&lt;90000,"70k-89k","90k+")))</f>
        <v>90k+</v>
      </c>
      <c r="M1478" t="s">
        <v>976</v>
      </c>
      <c r="N1478">
        <f t="shared" ca="1" si="94"/>
        <v>10</v>
      </c>
      <c r="O1478" t="str">
        <f t="shared" ca="1" si="95"/>
        <v>Senior level</v>
      </c>
    </row>
    <row r="1479" spans="1:15" x14ac:dyDescent="0.3">
      <c r="A1479" t="s">
        <v>10609</v>
      </c>
      <c r="B1479" t="s">
        <v>10610</v>
      </c>
      <c r="C1479" t="s">
        <v>160</v>
      </c>
      <c r="D1479" t="s">
        <v>10611</v>
      </c>
      <c r="E1479" t="s">
        <v>10612</v>
      </c>
      <c r="F1479" t="s">
        <v>8285</v>
      </c>
      <c r="G1479" t="s">
        <v>10613</v>
      </c>
      <c r="H1479" t="s">
        <v>10614</v>
      </c>
      <c r="I1479">
        <f t="shared" ca="1" si="92"/>
        <v>38</v>
      </c>
      <c r="J1479" t="str">
        <f t="shared" ca="1" si="93"/>
        <v>30-39</v>
      </c>
      <c r="K1479">
        <v>76351.56</v>
      </c>
      <c r="L1479" t="str">
        <f>IF(Workforce[[#This Row],[Salary]]&lt;50000,"30k-49k",IF(Workforce[[#This Row],[Salary]]&lt;70000,"50k-69k",IF(Workforce[[#This Row],[Salary]]&lt;90000,"70k-89k","90k+")))</f>
        <v>70k-89k</v>
      </c>
      <c r="M1479" t="s">
        <v>10615</v>
      </c>
      <c r="N1479">
        <f t="shared" ca="1" si="94"/>
        <v>9</v>
      </c>
      <c r="O1479" t="str">
        <f t="shared" ca="1" si="95"/>
        <v>Senior level</v>
      </c>
    </row>
    <row r="1480" spans="1:15" x14ac:dyDescent="0.3">
      <c r="A1480" t="s">
        <v>10616</v>
      </c>
      <c r="B1480" t="s">
        <v>10617</v>
      </c>
      <c r="C1480" t="s">
        <v>115</v>
      </c>
      <c r="D1480" t="s">
        <v>10618</v>
      </c>
      <c r="E1480" t="s">
        <v>10619</v>
      </c>
      <c r="F1480" t="s">
        <v>6763</v>
      </c>
      <c r="G1480" t="s">
        <v>10620</v>
      </c>
      <c r="H1480" t="s">
        <v>10621</v>
      </c>
      <c r="I1480">
        <f t="shared" ca="1" si="92"/>
        <v>40</v>
      </c>
      <c r="J1480" t="str">
        <f t="shared" ca="1" si="93"/>
        <v>40-49</v>
      </c>
      <c r="K1480">
        <v>32086.12</v>
      </c>
      <c r="L1480" t="str">
        <f>IF(Workforce[[#This Row],[Salary]]&lt;50000,"30k-49k",IF(Workforce[[#This Row],[Salary]]&lt;70000,"50k-69k",IF(Workforce[[#This Row],[Salary]]&lt;90000,"70k-89k","90k+")))</f>
        <v>30k-49k</v>
      </c>
      <c r="M1480" t="s">
        <v>729</v>
      </c>
      <c r="N1480">
        <f t="shared" ca="1" si="94"/>
        <v>1</v>
      </c>
      <c r="O1480" t="str">
        <f t="shared" ca="1" si="95"/>
        <v>Beginner</v>
      </c>
    </row>
    <row r="1481" spans="1:15" x14ac:dyDescent="0.3">
      <c r="A1481" t="s">
        <v>10622</v>
      </c>
      <c r="B1481" t="s">
        <v>10623</v>
      </c>
      <c r="C1481" t="s">
        <v>133</v>
      </c>
      <c r="D1481" t="s">
        <v>10624</v>
      </c>
      <c r="E1481" t="s">
        <v>10625</v>
      </c>
      <c r="F1481" t="s">
        <v>5516</v>
      </c>
      <c r="G1481" t="s">
        <v>10626</v>
      </c>
      <c r="H1481" t="s">
        <v>10627</v>
      </c>
      <c r="I1481">
        <f t="shared" ca="1" si="92"/>
        <v>65</v>
      </c>
      <c r="J1481" t="str">
        <f t="shared" ca="1" si="93"/>
        <v>60+</v>
      </c>
      <c r="K1481">
        <v>85293.33</v>
      </c>
      <c r="L1481" t="str">
        <f>IF(Workforce[[#This Row],[Salary]]&lt;50000,"30k-49k",IF(Workforce[[#This Row],[Salary]]&lt;70000,"50k-69k",IF(Workforce[[#This Row],[Salary]]&lt;90000,"70k-89k","90k+")))</f>
        <v>70k-89k</v>
      </c>
      <c r="M1481" t="s">
        <v>9918</v>
      </c>
      <c r="N1481">
        <f t="shared" ca="1" si="94"/>
        <v>1</v>
      </c>
      <c r="O1481" t="str">
        <f t="shared" ca="1" si="95"/>
        <v>Beginner</v>
      </c>
    </row>
    <row r="1482" spans="1:15" x14ac:dyDescent="0.3">
      <c r="A1482" t="s">
        <v>10628</v>
      </c>
      <c r="B1482" t="s">
        <v>10629</v>
      </c>
      <c r="C1482" t="s">
        <v>284</v>
      </c>
      <c r="D1482" t="s">
        <v>10630</v>
      </c>
      <c r="E1482" t="s">
        <v>10631</v>
      </c>
      <c r="F1482" t="s">
        <v>190</v>
      </c>
      <c r="G1482" t="s">
        <v>10632</v>
      </c>
      <c r="H1482" t="s">
        <v>9578</v>
      </c>
      <c r="I1482">
        <f t="shared" ca="1" si="92"/>
        <v>45</v>
      </c>
      <c r="J1482" t="str">
        <f t="shared" ca="1" si="93"/>
        <v>40-49</v>
      </c>
      <c r="K1482">
        <v>33622.06</v>
      </c>
      <c r="L1482" t="str">
        <f>IF(Workforce[[#This Row],[Salary]]&lt;50000,"30k-49k",IF(Workforce[[#This Row],[Salary]]&lt;70000,"50k-69k",IF(Workforce[[#This Row],[Salary]]&lt;90000,"70k-89k","90k+")))</f>
        <v>30k-49k</v>
      </c>
      <c r="M1482" t="s">
        <v>5975</v>
      </c>
      <c r="N1482">
        <f t="shared" ca="1" si="94"/>
        <v>3</v>
      </c>
      <c r="O1482" t="str">
        <f t="shared" ca="1" si="95"/>
        <v>Intermediate level</v>
      </c>
    </row>
    <row r="1483" spans="1:15" x14ac:dyDescent="0.3">
      <c r="A1483" t="s">
        <v>10633</v>
      </c>
      <c r="B1483" t="s">
        <v>10634</v>
      </c>
      <c r="C1483" t="s">
        <v>326</v>
      </c>
      <c r="D1483" t="s">
        <v>10635</v>
      </c>
      <c r="E1483" t="s">
        <v>10636</v>
      </c>
      <c r="F1483" t="s">
        <v>823</v>
      </c>
      <c r="G1483" t="s">
        <v>10637</v>
      </c>
      <c r="H1483" t="s">
        <v>10638</v>
      </c>
      <c r="I1483">
        <f t="shared" ca="1" si="92"/>
        <v>37</v>
      </c>
      <c r="J1483" t="str">
        <f t="shared" ca="1" si="93"/>
        <v>30-39</v>
      </c>
      <c r="K1483">
        <v>70341.27</v>
      </c>
      <c r="L1483" t="str">
        <f>IF(Workforce[[#This Row],[Salary]]&lt;50000,"30k-49k",IF(Workforce[[#This Row],[Salary]]&lt;70000,"50k-69k",IF(Workforce[[#This Row],[Salary]]&lt;90000,"70k-89k","90k+")))</f>
        <v>70k-89k</v>
      </c>
      <c r="M1483" t="s">
        <v>8175</v>
      </c>
      <c r="N1483">
        <f t="shared" ca="1" si="94"/>
        <v>9</v>
      </c>
      <c r="O1483" t="str">
        <f t="shared" ca="1" si="95"/>
        <v>Senior level</v>
      </c>
    </row>
    <row r="1484" spans="1:15" x14ac:dyDescent="0.3">
      <c r="A1484" t="s">
        <v>10639</v>
      </c>
      <c r="B1484" t="s">
        <v>10640</v>
      </c>
      <c r="C1484" t="s">
        <v>196</v>
      </c>
      <c r="D1484" t="s">
        <v>10641</v>
      </c>
      <c r="E1484" t="s">
        <v>10642</v>
      </c>
      <c r="F1484" t="s">
        <v>4262</v>
      </c>
      <c r="G1484" t="s">
        <v>10643</v>
      </c>
      <c r="H1484" t="s">
        <v>10644</v>
      </c>
      <c r="I1484">
        <f t="shared" ca="1" si="92"/>
        <v>52</v>
      </c>
      <c r="J1484" t="str">
        <f t="shared" ca="1" si="93"/>
        <v>50-59</v>
      </c>
      <c r="K1484">
        <v>115663.47</v>
      </c>
      <c r="L1484" t="str">
        <f>IF(Workforce[[#This Row],[Salary]]&lt;50000,"30k-49k",IF(Workforce[[#This Row],[Salary]]&lt;70000,"50k-69k",IF(Workforce[[#This Row],[Salary]]&lt;90000,"70k-89k","90k+")))</f>
        <v>90k+</v>
      </c>
      <c r="M1484" t="s">
        <v>10645</v>
      </c>
      <c r="N1484">
        <f t="shared" ca="1" si="94"/>
        <v>8</v>
      </c>
      <c r="O1484" t="str">
        <f t="shared" ca="1" si="95"/>
        <v>Senior level</v>
      </c>
    </row>
    <row r="1485" spans="1:15" x14ac:dyDescent="0.3">
      <c r="A1485" t="s">
        <v>10646</v>
      </c>
      <c r="B1485" t="s">
        <v>10647</v>
      </c>
      <c r="C1485" t="s">
        <v>1004</v>
      </c>
      <c r="D1485" t="s">
        <v>10648</v>
      </c>
      <c r="E1485" t="s">
        <v>10649</v>
      </c>
      <c r="F1485" t="s">
        <v>4030</v>
      </c>
      <c r="G1485" t="s">
        <v>10650</v>
      </c>
      <c r="H1485" t="s">
        <v>10651</v>
      </c>
      <c r="I1485">
        <f t="shared" ca="1" si="92"/>
        <v>53</v>
      </c>
      <c r="J1485" t="str">
        <f t="shared" ca="1" si="93"/>
        <v>50-59</v>
      </c>
      <c r="K1485">
        <v>43624.45</v>
      </c>
      <c r="L1485" t="str">
        <f>IF(Workforce[[#This Row],[Salary]]&lt;50000,"30k-49k",IF(Workforce[[#This Row],[Salary]]&lt;70000,"50k-69k",IF(Workforce[[#This Row],[Salary]]&lt;90000,"70k-89k","90k+")))</f>
        <v>30k-49k</v>
      </c>
      <c r="M1485" t="s">
        <v>2477</v>
      </c>
      <c r="N1485">
        <f t="shared" ca="1" si="94"/>
        <v>9</v>
      </c>
      <c r="O1485" t="str">
        <f t="shared" ca="1" si="95"/>
        <v>Senior level</v>
      </c>
    </row>
    <row r="1486" spans="1:15" x14ac:dyDescent="0.3">
      <c r="A1486" t="s">
        <v>10652</v>
      </c>
      <c r="B1486" t="s">
        <v>10653</v>
      </c>
      <c r="C1486" t="s">
        <v>79</v>
      </c>
      <c r="D1486" t="s">
        <v>10654</v>
      </c>
      <c r="E1486" t="s">
        <v>10655</v>
      </c>
      <c r="F1486" t="s">
        <v>958</v>
      </c>
      <c r="G1486" t="s">
        <v>10656</v>
      </c>
      <c r="H1486" t="s">
        <v>10657</v>
      </c>
      <c r="I1486">
        <f t="shared" ca="1" si="92"/>
        <v>35</v>
      </c>
      <c r="J1486" t="str">
        <f t="shared" ca="1" si="93"/>
        <v>30-39</v>
      </c>
      <c r="K1486">
        <v>112661.04</v>
      </c>
      <c r="L1486" t="str">
        <f>IF(Workforce[[#This Row],[Salary]]&lt;50000,"30k-49k",IF(Workforce[[#This Row],[Salary]]&lt;70000,"50k-69k",IF(Workforce[[#This Row],[Salary]]&lt;90000,"70k-89k","90k+")))</f>
        <v>90k+</v>
      </c>
      <c r="M1486" t="s">
        <v>10658</v>
      </c>
      <c r="N1486">
        <f t="shared" ca="1" si="94"/>
        <v>0</v>
      </c>
      <c r="O1486" t="str">
        <f t="shared" ca="1" si="95"/>
        <v>Beginner</v>
      </c>
    </row>
    <row r="1487" spans="1:15" x14ac:dyDescent="0.3">
      <c r="A1487" t="s">
        <v>10659</v>
      </c>
      <c r="B1487" t="s">
        <v>10660</v>
      </c>
      <c r="C1487" t="s">
        <v>440</v>
      </c>
      <c r="D1487" t="s">
        <v>10661</v>
      </c>
      <c r="E1487" t="s">
        <v>10662</v>
      </c>
      <c r="F1487" t="s">
        <v>118</v>
      </c>
      <c r="G1487" t="s">
        <v>10663</v>
      </c>
      <c r="H1487" t="s">
        <v>10664</v>
      </c>
      <c r="I1487">
        <f t="shared" ca="1" si="92"/>
        <v>26</v>
      </c>
      <c r="J1487" t="str">
        <f t="shared" ca="1" si="93"/>
        <v>18-29</v>
      </c>
      <c r="K1487">
        <v>54509.36</v>
      </c>
      <c r="L1487" t="str">
        <f>IF(Workforce[[#This Row],[Salary]]&lt;50000,"30k-49k",IF(Workforce[[#This Row],[Salary]]&lt;70000,"50k-69k",IF(Workforce[[#This Row],[Salary]]&lt;90000,"70k-89k","90k+")))</f>
        <v>50k-69k</v>
      </c>
      <c r="M1487" t="s">
        <v>10665</v>
      </c>
      <c r="N1487">
        <f t="shared" ca="1" si="94"/>
        <v>6</v>
      </c>
      <c r="O1487" t="str">
        <f t="shared" ca="1" si="95"/>
        <v>Intermediate level</v>
      </c>
    </row>
    <row r="1488" spans="1:15" x14ac:dyDescent="0.3">
      <c r="A1488" t="s">
        <v>10666</v>
      </c>
      <c r="B1488" t="s">
        <v>10667</v>
      </c>
      <c r="C1488" t="s">
        <v>748</v>
      </c>
      <c r="D1488" t="s">
        <v>10668</v>
      </c>
      <c r="E1488" t="s">
        <v>10669</v>
      </c>
      <c r="F1488" t="s">
        <v>10670</v>
      </c>
      <c r="G1488" t="s">
        <v>10671</v>
      </c>
      <c r="H1488" t="s">
        <v>10672</v>
      </c>
      <c r="I1488">
        <f t="shared" ca="1" si="92"/>
        <v>47</v>
      </c>
      <c r="J1488" t="str">
        <f t="shared" ca="1" si="93"/>
        <v>40-49</v>
      </c>
      <c r="K1488">
        <v>104712.28</v>
      </c>
      <c r="L1488" t="str">
        <f>IF(Workforce[[#This Row],[Salary]]&lt;50000,"30k-49k",IF(Workforce[[#This Row],[Salary]]&lt;70000,"50k-69k",IF(Workforce[[#This Row],[Salary]]&lt;90000,"70k-89k","90k+")))</f>
        <v>90k+</v>
      </c>
      <c r="M1488" t="s">
        <v>10673</v>
      </c>
      <c r="N1488">
        <f t="shared" ca="1" si="94"/>
        <v>5</v>
      </c>
      <c r="O1488" t="str">
        <f t="shared" ca="1" si="95"/>
        <v>Intermediate level</v>
      </c>
    </row>
    <row r="1489" spans="1:15" x14ac:dyDescent="0.3">
      <c r="A1489" t="s">
        <v>10674</v>
      </c>
      <c r="B1489" t="s">
        <v>10675</v>
      </c>
      <c r="C1489" t="s">
        <v>178</v>
      </c>
      <c r="D1489" t="s">
        <v>10676</v>
      </c>
      <c r="E1489" t="s">
        <v>10677</v>
      </c>
      <c r="F1489" t="s">
        <v>2526</v>
      </c>
      <c r="G1489" t="s">
        <v>10678</v>
      </c>
      <c r="H1489" t="s">
        <v>10679</v>
      </c>
      <c r="I1489">
        <f t="shared" ca="1" si="92"/>
        <v>56</v>
      </c>
      <c r="J1489" t="str">
        <f t="shared" ca="1" si="93"/>
        <v>50-59</v>
      </c>
      <c r="K1489">
        <v>76984.710000000006</v>
      </c>
      <c r="L1489" t="str">
        <f>IF(Workforce[[#This Row],[Salary]]&lt;50000,"30k-49k",IF(Workforce[[#This Row],[Salary]]&lt;70000,"50k-69k",IF(Workforce[[#This Row],[Salary]]&lt;90000,"70k-89k","90k+")))</f>
        <v>70k-89k</v>
      </c>
      <c r="M1489" t="s">
        <v>8229</v>
      </c>
      <c r="N1489">
        <f t="shared" ca="1" si="94"/>
        <v>1</v>
      </c>
      <c r="O1489" t="str">
        <f t="shared" ca="1" si="95"/>
        <v>Beginner</v>
      </c>
    </row>
    <row r="1490" spans="1:15" x14ac:dyDescent="0.3">
      <c r="A1490" t="s">
        <v>10680</v>
      </c>
      <c r="B1490" t="s">
        <v>10681</v>
      </c>
      <c r="C1490" t="s">
        <v>1223</v>
      </c>
      <c r="D1490" t="s">
        <v>10682</v>
      </c>
      <c r="E1490" t="s">
        <v>10683</v>
      </c>
      <c r="F1490" t="s">
        <v>3820</v>
      </c>
      <c r="G1490" t="s">
        <v>10684</v>
      </c>
      <c r="H1490" t="s">
        <v>10685</v>
      </c>
      <c r="I1490">
        <f t="shared" ca="1" si="92"/>
        <v>61</v>
      </c>
      <c r="J1490" t="str">
        <f t="shared" ca="1" si="93"/>
        <v>60+</v>
      </c>
      <c r="K1490">
        <v>87023.76</v>
      </c>
      <c r="L1490" t="str">
        <f>IF(Workforce[[#This Row],[Salary]]&lt;50000,"30k-49k",IF(Workforce[[#This Row],[Salary]]&lt;70000,"50k-69k",IF(Workforce[[#This Row],[Salary]]&lt;90000,"70k-89k","90k+")))</f>
        <v>70k-89k</v>
      </c>
      <c r="M1490" t="s">
        <v>5389</v>
      </c>
      <c r="N1490">
        <f t="shared" ca="1" si="94"/>
        <v>9</v>
      </c>
      <c r="O1490" t="str">
        <f t="shared" ca="1" si="95"/>
        <v>Senior level</v>
      </c>
    </row>
    <row r="1491" spans="1:15" x14ac:dyDescent="0.3">
      <c r="A1491" t="s">
        <v>10686</v>
      </c>
      <c r="B1491" t="s">
        <v>10687</v>
      </c>
      <c r="C1491" t="s">
        <v>231</v>
      </c>
      <c r="D1491" t="s">
        <v>10688</v>
      </c>
      <c r="E1491" t="s">
        <v>10689</v>
      </c>
      <c r="F1491" t="s">
        <v>4402</v>
      </c>
      <c r="G1491" t="s">
        <v>10690</v>
      </c>
      <c r="H1491" t="s">
        <v>10691</v>
      </c>
      <c r="I1491">
        <f t="shared" ca="1" si="92"/>
        <v>37</v>
      </c>
      <c r="J1491" t="str">
        <f t="shared" ca="1" si="93"/>
        <v>30-39</v>
      </c>
      <c r="K1491">
        <v>47882.21</v>
      </c>
      <c r="L1491" t="str">
        <f>IF(Workforce[[#This Row],[Salary]]&lt;50000,"30k-49k",IF(Workforce[[#This Row],[Salary]]&lt;70000,"50k-69k",IF(Workforce[[#This Row],[Salary]]&lt;90000,"70k-89k","90k+")))</f>
        <v>30k-49k</v>
      </c>
      <c r="M1491" t="s">
        <v>10692</v>
      </c>
      <c r="N1491">
        <f t="shared" ca="1" si="94"/>
        <v>8</v>
      </c>
      <c r="O1491" t="str">
        <f t="shared" ca="1" si="95"/>
        <v>Senior level</v>
      </c>
    </row>
    <row r="1492" spans="1:15" x14ac:dyDescent="0.3">
      <c r="A1492" t="s">
        <v>10693</v>
      </c>
      <c r="B1492" t="s">
        <v>10694</v>
      </c>
      <c r="C1492" t="s">
        <v>231</v>
      </c>
      <c r="D1492" t="s">
        <v>10695</v>
      </c>
      <c r="E1492" t="s">
        <v>10696</v>
      </c>
      <c r="F1492" t="s">
        <v>910</v>
      </c>
      <c r="G1492" t="s">
        <v>10697</v>
      </c>
      <c r="H1492" t="s">
        <v>10698</v>
      </c>
      <c r="I1492">
        <f t="shared" ca="1" si="92"/>
        <v>26</v>
      </c>
      <c r="J1492" t="str">
        <f t="shared" ca="1" si="93"/>
        <v>18-29</v>
      </c>
      <c r="K1492">
        <v>96052.52</v>
      </c>
      <c r="L1492" t="str">
        <f>IF(Workforce[[#This Row],[Salary]]&lt;50000,"30k-49k",IF(Workforce[[#This Row],[Salary]]&lt;70000,"50k-69k",IF(Workforce[[#This Row],[Salary]]&lt;90000,"70k-89k","90k+")))</f>
        <v>90k+</v>
      </c>
      <c r="M1492" t="s">
        <v>3051</v>
      </c>
      <c r="N1492">
        <f t="shared" ca="1" si="94"/>
        <v>9</v>
      </c>
      <c r="O1492" t="str">
        <f t="shared" ca="1" si="95"/>
        <v>Senior level</v>
      </c>
    </row>
    <row r="1493" spans="1:15" x14ac:dyDescent="0.3">
      <c r="A1493" t="s">
        <v>10699</v>
      </c>
      <c r="B1493" t="s">
        <v>10700</v>
      </c>
      <c r="C1493" t="s">
        <v>844</v>
      </c>
      <c r="D1493" t="s">
        <v>10701</v>
      </c>
      <c r="E1493" t="s">
        <v>10702</v>
      </c>
      <c r="F1493" t="s">
        <v>2162</v>
      </c>
      <c r="G1493" t="s">
        <v>10703</v>
      </c>
      <c r="H1493" t="s">
        <v>10704</v>
      </c>
      <c r="I1493">
        <f t="shared" ca="1" si="92"/>
        <v>64</v>
      </c>
      <c r="J1493" t="str">
        <f t="shared" ca="1" si="93"/>
        <v>60+</v>
      </c>
      <c r="K1493">
        <v>104504.46</v>
      </c>
      <c r="L1493" t="str">
        <f>IF(Workforce[[#This Row],[Salary]]&lt;50000,"30k-49k",IF(Workforce[[#This Row],[Salary]]&lt;70000,"50k-69k",IF(Workforce[[#This Row],[Salary]]&lt;90000,"70k-89k","90k+")))</f>
        <v>90k+</v>
      </c>
      <c r="M1493" t="s">
        <v>10705</v>
      </c>
      <c r="N1493">
        <f t="shared" ca="1" si="94"/>
        <v>2</v>
      </c>
      <c r="O1493" t="str">
        <f t="shared" ca="1" si="95"/>
        <v>Beginner</v>
      </c>
    </row>
    <row r="1494" spans="1:15" x14ac:dyDescent="0.3">
      <c r="A1494" t="s">
        <v>10706</v>
      </c>
      <c r="B1494" t="s">
        <v>10707</v>
      </c>
      <c r="C1494" t="s">
        <v>26</v>
      </c>
      <c r="D1494" t="s">
        <v>10708</v>
      </c>
      <c r="E1494" t="s">
        <v>10709</v>
      </c>
      <c r="F1494" t="s">
        <v>2665</v>
      </c>
      <c r="G1494" t="s">
        <v>10710</v>
      </c>
      <c r="H1494" t="s">
        <v>10711</v>
      </c>
      <c r="I1494">
        <f t="shared" ca="1" si="92"/>
        <v>42</v>
      </c>
      <c r="J1494" t="str">
        <f t="shared" ca="1" si="93"/>
        <v>40-49</v>
      </c>
      <c r="K1494">
        <v>38292.33</v>
      </c>
      <c r="L1494" t="str">
        <f>IF(Workforce[[#This Row],[Salary]]&lt;50000,"30k-49k",IF(Workforce[[#This Row],[Salary]]&lt;70000,"50k-69k",IF(Workforce[[#This Row],[Salary]]&lt;90000,"70k-89k","90k+")))</f>
        <v>30k-49k</v>
      </c>
      <c r="M1494" t="s">
        <v>10712</v>
      </c>
      <c r="N1494">
        <f t="shared" ca="1" si="94"/>
        <v>3</v>
      </c>
      <c r="O1494" t="str">
        <f t="shared" ca="1" si="95"/>
        <v>Intermediate level</v>
      </c>
    </row>
    <row r="1495" spans="1:15" x14ac:dyDescent="0.3">
      <c r="A1495" t="s">
        <v>10713</v>
      </c>
      <c r="B1495" t="s">
        <v>10714</v>
      </c>
      <c r="C1495" t="s">
        <v>115</v>
      </c>
      <c r="D1495" t="s">
        <v>10715</v>
      </c>
      <c r="E1495" t="s">
        <v>10716</v>
      </c>
      <c r="F1495" t="s">
        <v>8285</v>
      </c>
      <c r="G1495" t="s">
        <v>10717</v>
      </c>
      <c r="H1495" t="s">
        <v>10718</v>
      </c>
      <c r="I1495">
        <f t="shared" ca="1" si="92"/>
        <v>48</v>
      </c>
      <c r="J1495" t="str">
        <f t="shared" ca="1" si="93"/>
        <v>40-49</v>
      </c>
      <c r="K1495">
        <v>92970.25</v>
      </c>
      <c r="L1495" t="str">
        <f>IF(Workforce[[#This Row],[Salary]]&lt;50000,"30k-49k",IF(Workforce[[#This Row],[Salary]]&lt;70000,"50k-69k",IF(Workforce[[#This Row],[Salary]]&lt;90000,"70k-89k","90k+")))</f>
        <v>90k+</v>
      </c>
      <c r="M1495" t="s">
        <v>10719</v>
      </c>
      <c r="N1495">
        <f t="shared" ca="1" si="94"/>
        <v>6</v>
      </c>
      <c r="O1495" t="str">
        <f t="shared" ca="1" si="95"/>
        <v>Intermediate level</v>
      </c>
    </row>
    <row r="1496" spans="1:15" x14ac:dyDescent="0.3">
      <c r="A1496" t="s">
        <v>10720</v>
      </c>
      <c r="B1496" t="s">
        <v>10721</v>
      </c>
      <c r="C1496" t="s">
        <v>35</v>
      </c>
      <c r="D1496" t="s">
        <v>10722</v>
      </c>
      <c r="E1496" t="s">
        <v>10723</v>
      </c>
      <c r="F1496" t="s">
        <v>2282</v>
      </c>
      <c r="G1496" t="s">
        <v>10724</v>
      </c>
      <c r="H1496" t="s">
        <v>10725</v>
      </c>
      <c r="I1496">
        <f t="shared" ca="1" si="92"/>
        <v>21</v>
      </c>
      <c r="J1496" t="str">
        <f t="shared" ca="1" si="93"/>
        <v>18-29</v>
      </c>
      <c r="K1496">
        <v>53877.37</v>
      </c>
      <c r="L1496" t="str">
        <f>IF(Workforce[[#This Row],[Salary]]&lt;50000,"30k-49k",IF(Workforce[[#This Row],[Salary]]&lt;70000,"50k-69k",IF(Workforce[[#This Row],[Salary]]&lt;90000,"70k-89k","90k+")))</f>
        <v>50k-69k</v>
      </c>
      <c r="M1496" t="s">
        <v>9212</v>
      </c>
      <c r="N1496">
        <f t="shared" ca="1" si="94"/>
        <v>3</v>
      </c>
      <c r="O1496" t="str">
        <f t="shared" ca="1" si="95"/>
        <v>Intermediate level</v>
      </c>
    </row>
    <row r="1497" spans="1:15" x14ac:dyDescent="0.3">
      <c r="A1497" t="s">
        <v>10726</v>
      </c>
      <c r="B1497" t="s">
        <v>10727</v>
      </c>
      <c r="C1497" t="s">
        <v>115</v>
      </c>
      <c r="D1497" t="s">
        <v>10728</v>
      </c>
      <c r="E1497" t="s">
        <v>10729</v>
      </c>
      <c r="F1497" t="s">
        <v>950</v>
      </c>
      <c r="G1497" t="s">
        <v>10730</v>
      </c>
      <c r="H1497" t="s">
        <v>10731</v>
      </c>
      <c r="I1497">
        <f t="shared" ca="1" si="92"/>
        <v>43</v>
      </c>
      <c r="J1497" t="str">
        <f t="shared" ca="1" si="93"/>
        <v>40-49</v>
      </c>
      <c r="K1497">
        <v>93422.62</v>
      </c>
      <c r="L1497" t="str">
        <f>IF(Workforce[[#This Row],[Salary]]&lt;50000,"30k-49k",IF(Workforce[[#This Row],[Salary]]&lt;70000,"50k-69k",IF(Workforce[[#This Row],[Salary]]&lt;90000,"70k-89k","90k+")))</f>
        <v>90k+</v>
      </c>
      <c r="M1497" t="s">
        <v>8612</v>
      </c>
      <c r="N1497">
        <f t="shared" ca="1" si="94"/>
        <v>3</v>
      </c>
      <c r="O1497" t="str">
        <f t="shared" ca="1" si="95"/>
        <v>Intermediate level</v>
      </c>
    </row>
    <row r="1498" spans="1:15" x14ac:dyDescent="0.3">
      <c r="A1498" t="s">
        <v>10732</v>
      </c>
      <c r="B1498" t="s">
        <v>10733</v>
      </c>
      <c r="C1498" t="s">
        <v>124</v>
      </c>
      <c r="D1498" t="s">
        <v>10734</v>
      </c>
      <c r="E1498" t="s">
        <v>10735</v>
      </c>
      <c r="F1498" t="s">
        <v>3900</v>
      </c>
      <c r="G1498" t="s">
        <v>10736</v>
      </c>
      <c r="H1498" t="s">
        <v>10737</v>
      </c>
      <c r="I1498">
        <f t="shared" ca="1" si="92"/>
        <v>30</v>
      </c>
      <c r="J1498" t="str">
        <f t="shared" ca="1" si="93"/>
        <v>30-39</v>
      </c>
      <c r="K1498">
        <v>37121.35</v>
      </c>
      <c r="L1498" t="str">
        <f>IF(Workforce[[#This Row],[Salary]]&lt;50000,"30k-49k",IF(Workforce[[#This Row],[Salary]]&lt;70000,"50k-69k",IF(Workforce[[#This Row],[Salary]]&lt;90000,"70k-89k","90k+")))</f>
        <v>30k-49k</v>
      </c>
      <c r="M1498" t="s">
        <v>5151</v>
      </c>
      <c r="N1498">
        <f t="shared" ca="1" si="94"/>
        <v>0</v>
      </c>
      <c r="O1498" t="str">
        <f t="shared" ca="1" si="95"/>
        <v>Beginner</v>
      </c>
    </row>
    <row r="1499" spans="1:15" x14ac:dyDescent="0.3">
      <c r="A1499" t="s">
        <v>10738</v>
      </c>
      <c r="B1499" t="s">
        <v>10739</v>
      </c>
      <c r="C1499" t="s">
        <v>169</v>
      </c>
      <c r="D1499" t="s">
        <v>10740</v>
      </c>
      <c r="E1499" t="s">
        <v>10741</v>
      </c>
      <c r="F1499" t="s">
        <v>1996</v>
      </c>
      <c r="G1499" t="s">
        <v>10742</v>
      </c>
      <c r="H1499" t="s">
        <v>10743</v>
      </c>
      <c r="I1499">
        <f t="shared" ca="1" si="92"/>
        <v>57</v>
      </c>
      <c r="J1499" t="str">
        <f t="shared" ca="1" si="93"/>
        <v>50-59</v>
      </c>
      <c r="K1499">
        <v>83042.320000000007</v>
      </c>
      <c r="L1499" t="str">
        <f>IF(Workforce[[#This Row],[Salary]]&lt;50000,"30k-49k",IF(Workforce[[#This Row],[Salary]]&lt;70000,"50k-69k",IF(Workforce[[#This Row],[Salary]]&lt;90000,"70k-89k","90k+")))</f>
        <v>70k-89k</v>
      </c>
      <c r="M1499" t="s">
        <v>10744</v>
      </c>
      <c r="N1499">
        <f t="shared" ca="1" si="94"/>
        <v>7</v>
      </c>
      <c r="O1499" t="str">
        <f t="shared" ca="1" si="95"/>
        <v>Senior level</v>
      </c>
    </row>
    <row r="1500" spans="1:15" x14ac:dyDescent="0.3">
      <c r="A1500" t="s">
        <v>10745</v>
      </c>
      <c r="B1500" t="s">
        <v>10746</v>
      </c>
      <c r="C1500" t="s">
        <v>284</v>
      </c>
      <c r="D1500" t="s">
        <v>10747</v>
      </c>
      <c r="E1500" t="s">
        <v>10748</v>
      </c>
      <c r="F1500" t="s">
        <v>4873</v>
      </c>
      <c r="G1500" t="s">
        <v>10749</v>
      </c>
      <c r="H1500" t="s">
        <v>10750</v>
      </c>
      <c r="I1500">
        <f t="shared" ca="1" si="92"/>
        <v>28</v>
      </c>
      <c r="J1500" t="str">
        <f t="shared" ca="1" si="93"/>
        <v>18-29</v>
      </c>
      <c r="K1500">
        <v>115324.51</v>
      </c>
      <c r="L1500" t="str">
        <f>IF(Workforce[[#This Row],[Salary]]&lt;50000,"30k-49k",IF(Workforce[[#This Row],[Salary]]&lt;70000,"50k-69k",IF(Workforce[[#This Row],[Salary]]&lt;90000,"70k-89k","90k+")))</f>
        <v>90k+</v>
      </c>
      <c r="M1500" t="s">
        <v>10751</v>
      </c>
      <c r="N1500">
        <f t="shared" ca="1" si="94"/>
        <v>2</v>
      </c>
      <c r="O1500" t="str">
        <f t="shared" ca="1" si="95"/>
        <v>Beginner</v>
      </c>
    </row>
    <row r="1501" spans="1:15" x14ac:dyDescent="0.3">
      <c r="A1501" t="s">
        <v>10752</v>
      </c>
      <c r="B1501" t="s">
        <v>10753</v>
      </c>
      <c r="C1501" t="s">
        <v>240</v>
      </c>
      <c r="D1501" t="s">
        <v>10754</v>
      </c>
      <c r="E1501" t="s">
        <v>10755</v>
      </c>
      <c r="F1501" t="s">
        <v>2856</v>
      </c>
      <c r="G1501" t="s">
        <v>10756</v>
      </c>
      <c r="H1501" t="s">
        <v>10757</v>
      </c>
      <c r="I1501">
        <f t="shared" ca="1" si="92"/>
        <v>63</v>
      </c>
      <c r="J1501" t="str">
        <f t="shared" ca="1" si="93"/>
        <v>60+</v>
      </c>
      <c r="K1501">
        <v>41195.56</v>
      </c>
      <c r="L1501" t="str">
        <f>IF(Workforce[[#This Row],[Salary]]&lt;50000,"30k-49k",IF(Workforce[[#This Row],[Salary]]&lt;70000,"50k-69k",IF(Workforce[[#This Row],[Salary]]&lt;90000,"70k-89k","90k+")))</f>
        <v>30k-49k</v>
      </c>
      <c r="M1501" t="s">
        <v>10758</v>
      </c>
      <c r="N1501">
        <f t="shared" ca="1" si="94"/>
        <v>3</v>
      </c>
      <c r="O1501" t="str">
        <f t="shared" ca="1" si="95"/>
        <v>Intermediate level</v>
      </c>
    </row>
    <row r="1502" spans="1:15" x14ac:dyDescent="0.3">
      <c r="A1502" t="s">
        <v>10759</v>
      </c>
      <c r="B1502" t="s">
        <v>10760</v>
      </c>
      <c r="C1502" t="s">
        <v>213</v>
      </c>
      <c r="D1502" t="s">
        <v>10761</v>
      </c>
      <c r="E1502" t="s">
        <v>10762</v>
      </c>
      <c r="F1502" t="s">
        <v>4757</v>
      </c>
      <c r="G1502" t="s">
        <v>10763</v>
      </c>
      <c r="H1502" t="s">
        <v>10764</v>
      </c>
      <c r="I1502">
        <f t="shared" ca="1" si="92"/>
        <v>47</v>
      </c>
      <c r="J1502" t="str">
        <f t="shared" ca="1" si="93"/>
        <v>40-49</v>
      </c>
      <c r="K1502">
        <v>56178.86</v>
      </c>
      <c r="L1502" t="str">
        <f>IF(Workforce[[#This Row],[Salary]]&lt;50000,"30k-49k",IF(Workforce[[#This Row],[Salary]]&lt;70000,"50k-69k",IF(Workforce[[#This Row],[Salary]]&lt;90000,"70k-89k","90k+")))</f>
        <v>50k-69k</v>
      </c>
      <c r="M1502" t="s">
        <v>10765</v>
      </c>
      <c r="N1502">
        <f t="shared" ca="1" si="94"/>
        <v>7</v>
      </c>
      <c r="O1502" t="str">
        <f t="shared" ca="1" si="95"/>
        <v>Senior level</v>
      </c>
    </row>
    <row r="1503" spans="1:15" x14ac:dyDescent="0.3">
      <c r="A1503" t="s">
        <v>10766</v>
      </c>
      <c r="B1503" t="s">
        <v>10767</v>
      </c>
      <c r="C1503" t="s">
        <v>196</v>
      </c>
      <c r="D1503" t="s">
        <v>10768</v>
      </c>
      <c r="E1503" t="s">
        <v>10769</v>
      </c>
      <c r="F1503" t="s">
        <v>1388</v>
      </c>
      <c r="G1503" t="s">
        <v>10770</v>
      </c>
      <c r="H1503" t="s">
        <v>10771</v>
      </c>
      <c r="I1503">
        <f t="shared" ca="1" si="92"/>
        <v>35</v>
      </c>
      <c r="J1503" t="str">
        <f t="shared" ca="1" si="93"/>
        <v>30-39</v>
      </c>
      <c r="K1503">
        <v>51504.66</v>
      </c>
      <c r="L1503" t="str">
        <f>IF(Workforce[[#This Row],[Salary]]&lt;50000,"30k-49k",IF(Workforce[[#This Row],[Salary]]&lt;70000,"50k-69k",IF(Workforce[[#This Row],[Salary]]&lt;90000,"70k-89k","90k+")))</f>
        <v>50k-69k</v>
      </c>
      <c r="M1503" t="s">
        <v>10772</v>
      </c>
      <c r="N1503">
        <f t="shared" ca="1" si="94"/>
        <v>6</v>
      </c>
      <c r="O1503" t="str">
        <f t="shared" ca="1" si="95"/>
        <v>Intermediate level</v>
      </c>
    </row>
    <row r="1504" spans="1:15" x14ac:dyDescent="0.3">
      <c r="A1504" t="s">
        <v>10773</v>
      </c>
      <c r="B1504" t="s">
        <v>10774</v>
      </c>
      <c r="C1504" t="s">
        <v>61</v>
      </c>
      <c r="D1504" t="s">
        <v>10775</v>
      </c>
      <c r="E1504" t="s">
        <v>10776</v>
      </c>
      <c r="F1504" t="s">
        <v>3441</v>
      </c>
      <c r="G1504" t="s">
        <v>10777</v>
      </c>
      <c r="H1504" t="s">
        <v>10778</v>
      </c>
      <c r="I1504">
        <f t="shared" ca="1" si="92"/>
        <v>25</v>
      </c>
      <c r="J1504" t="str">
        <f t="shared" ca="1" si="93"/>
        <v>18-29</v>
      </c>
      <c r="K1504">
        <v>114222.05</v>
      </c>
      <c r="L1504" t="str">
        <f>IF(Workforce[[#This Row],[Salary]]&lt;50000,"30k-49k",IF(Workforce[[#This Row],[Salary]]&lt;70000,"50k-69k",IF(Workforce[[#This Row],[Salary]]&lt;90000,"70k-89k","90k+")))</f>
        <v>90k+</v>
      </c>
      <c r="M1504" t="s">
        <v>1899</v>
      </c>
      <c r="N1504">
        <f t="shared" ca="1" si="94"/>
        <v>4</v>
      </c>
      <c r="O1504" t="str">
        <f t="shared" ca="1" si="95"/>
        <v>Intermediate level</v>
      </c>
    </row>
    <row r="1505" spans="1:15" x14ac:dyDescent="0.3">
      <c r="A1505" t="s">
        <v>10779</v>
      </c>
      <c r="B1505" t="s">
        <v>10780</v>
      </c>
      <c r="C1505" t="s">
        <v>97</v>
      </c>
      <c r="D1505" t="s">
        <v>10781</v>
      </c>
      <c r="E1505" t="s">
        <v>10782</v>
      </c>
      <c r="F1505" t="s">
        <v>8891</v>
      </c>
      <c r="G1505" t="s">
        <v>10783</v>
      </c>
      <c r="H1505" t="s">
        <v>10784</v>
      </c>
      <c r="I1505">
        <f t="shared" ca="1" si="92"/>
        <v>36</v>
      </c>
      <c r="J1505" t="str">
        <f t="shared" ca="1" si="93"/>
        <v>30-39</v>
      </c>
      <c r="K1505">
        <v>60687.57</v>
      </c>
      <c r="L1505" t="str">
        <f>IF(Workforce[[#This Row],[Salary]]&lt;50000,"30k-49k",IF(Workforce[[#This Row],[Salary]]&lt;70000,"50k-69k",IF(Workforce[[#This Row],[Salary]]&lt;90000,"70k-89k","90k+")))</f>
        <v>50k-69k</v>
      </c>
      <c r="M1505" t="s">
        <v>10785</v>
      </c>
      <c r="N1505">
        <f t="shared" ca="1" si="94"/>
        <v>8</v>
      </c>
      <c r="O1505" t="str">
        <f t="shared" ca="1" si="95"/>
        <v>Senior level</v>
      </c>
    </row>
    <row r="1506" spans="1:15" x14ac:dyDescent="0.3">
      <c r="A1506" t="s">
        <v>10786</v>
      </c>
      <c r="B1506" t="s">
        <v>10787</v>
      </c>
      <c r="C1506" t="s">
        <v>748</v>
      </c>
      <c r="D1506" t="s">
        <v>10788</v>
      </c>
      <c r="E1506" t="s">
        <v>10789</v>
      </c>
      <c r="F1506" t="s">
        <v>3028</v>
      </c>
      <c r="G1506" t="s">
        <v>10790</v>
      </c>
      <c r="H1506" t="s">
        <v>10791</v>
      </c>
      <c r="I1506">
        <f t="shared" ca="1" si="92"/>
        <v>30</v>
      </c>
      <c r="J1506" t="str">
        <f t="shared" ca="1" si="93"/>
        <v>30-39</v>
      </c>
      <c r="K1506">
        <v>48615.7</v>
      </c>
      <c r="L1506" t="str">
        <f>IF(Workforce[[#This Row],[Salary]]&lt;50000,"30k-49k",IF(Workforce[[#This Row],[Salary]]&lt;70000,"50k-69k",IF(Workforce[[#This Row],[Salary]]&lt;90000,"70k-89k","90k+")))</f>
        <v>30k-49k</v>
      </c>
      <c r="M1506" t="s">
        <v>4209</v>
      </c>
      <c r="N1506">
        <f t="shared" ca="1" si="94"/>
        <v>8</v>
      </c>
      <c r="O1506" t="str">
        <f t="shared" ca="1" si="95"/>
        <v>Senior level</v>
      </c>
    </row>
    <row r="1507" spans="1:15" x14ac:dyDescent="0.3">
      <c r="A1507" t="s">
        <v>10792</v>
      </c>
      <c r="B1507" t="s">
        <v>10793</v>
      </c>
      <c r="C1507" t="s">
        <v>231</v>
      </c>
      <c r="D1507" t="s">
        <v>10794</v>
      </c>
      <c r="E1507" t="s">
        <v>10795</v>
      </c>
      <c r="F1507" t="s">
        <v>2239</v>
      </c>
      <c r="G1507" t="s">
        <v>872</v>
      </c>
      <c r="H1507" t="s">
        <v>10796</v>
      </c>
      <c r="I1507">
        <f t="shared" ca="1" si="92"/>
        <v>43</v>
      </c>
      <c r="J1507" t="str">
        <f t="shared" ca="1" si="93"/>
        <v>40-49</v>
      </c>
      <c r="K1507">
        <v>69200.47</v>
      </c>
      <c r="L1507" t="str">
        <f>IF(Workforce[[#This Row],[Salary]]&lt;50000,"30k-49k",IF(Workforce[[#This Row],[Salary]]&lt;70000,"50k-69k",IF(Workforce[[#This Row],[Salary]]&lt;90000,"70k-89k","90k+")))</f>
        <v>50k-69k</v>
      </c>
      <c r="M1507" t="s">
        <v>10797</v>
      </c>
      <c r="N1507">
        <f t="shared" ca="1" si="94"/>
        <v>9</v>
      </c>
      <c r="O1507" t="str">
        <f t="shared" ca="1" si="95"/>
        <v>Senior level</v>
      </c>
    </row>
    <row r="1508" spans="1:15" x14ac:dyDescent="0.3">
      <c r="A1508" t="s">
        <v>10798</v>
      </c>
      <c r="B1508" t="s">
        <v>10799</v>
      </c>
      <c r="C1508" t="s">
        <v>160</v>
      </c>
      <c r="D1508" t="s">
        <v>10800</v>
      </c>
      <c r="E1508" t="s">
        <v>10801</v>
      </c>
      <c r="F1508" t="s">
        <v>10802</v>
      </c>
      <c r="G1508" t="s">
        <v>10803</v>
      </c>
      <c r="H1508" t="s">
        <v>10804</v>
      </c>
      <c r="I1508">
        <f t="shared" ca="1" si="92"/>
        <v>59</v>
      </c>
      <c r="J1508" t="str">
        <f t="shared" ca="1" si="93"/>
        <v>50-59</v>
      </c>
      <c r="K1508">
        <v>48776.67</v>
      </c>
      <c r="L1508" t="str">
        <f>IF(Workforce[[#This Row],[Salary]]&lt;50000,"30k-49k",IF(Workforce[[#This Row],[Salary]]&lt;70000,"50k-69k",IF(Workforce[[#This Row],[Salary]]&lt;90000,"70k-89k","90k+")))</f>
        <v>30k-49k</v>
      </c>
      <c r="M1508" t="s">
        <v>10805</v>
      </c>
      <c r="N1508">
        <f t="shared" ca="1" si="94"/>
        <v>10</v>
      </c>
      <c r="O1508" t="str">
        <f t="shared" ca="1" si="95"/>
        <v>Senior level</v>
      </c>
    </row>
    <row r="1509" spans="1:15" x14ac:dyDescent="0.3">
      <c r="A1509" t="s">
        <v>10806</v>
      </c>
      <c r="B1509" t="s">
        <v>10807</v>
      </c>
      <c r="C1509" t="s">
        <v>151</v>
      </c>
      <c r="D1509" t="s">
        <v>10808</v>
      </c>
      <c r="E1509" t="s">
        <v>10809</v>
      </c>
      <c r="F1509" t="s">
        <v>8571</v>
      </c>
      <c r="G1509" t="s">
        <v>10810</v>
      </c>
      <c r="H1509" t="s">
        <v>10811</v>
      </c>
      <c r="I1509">
        <f t="shared" ca="1" si="92"/>
        <v>45</v>
      </c>
      <c r="J1509" t="str">
        <f t="shared" ca="1" si="93"/>
        <v>40-49</v>
      </c>
      <c r="K1509">
        <v>43093.71</v>
      </c>
      <c r="L1509" t="str">
        <f>IF(Workforce[[#This Row],[Salary]]&lt;50000,"30k-49k",IF(Workforce[[#This Row],[Salary]]&lt;70000,"50k-69k",IF(Workforce[[#This Row],[Salary]]&lt;90000,"70k-89k","90k+")))</f>
        <v>30k-49k</v>
      </c>
      <c r="M1509" t="s">
        <v>10812</v>
      </c>
      <c r="N1509">
        <f t="shared" ca="1" si="94"/>
        <v>4</v>
      </c>
      <c r="O1509" t="str">
        <f t="shared" ca="1" si="95"/>
        <v>Intermediate level</v>
      </c>
    </row>
    <row r="1510" spans="1:15" x14ac:dyDescent="0.3">
      <c r="A1510" t="s">
        <v>10813</v>
      </c>
      <c r="B1510" t="s">
        <v>10814</v>
      </c>
      <c r="C1510" t="s">
        <v>79</v>
      </c>
      <c r="D1510" t="s">
        <v>10815</v>
      </c>
      <c r="E1510" t="s">
        <v>10816</v>
      </c>
      <c r="F1510" t="s">
        <v>4379</v>
      </c>
      <c r="G1510" t="s">
        <v>10817</v>
      </c>
      <c r="H1510" t="s">
        <v>10818</v>
      </c>
      <c r="I1510">
        <f t="shared" ca="1" si="92"/>
        <v>38</v>
      </c>
      <c r="J1510" t="str">
        <f t="shared" ca="1" si="93"/>
        <v>30-39</v>
      </c>
      <c r="K1510">
        <v>31891.200000000001</v>
      </c>
      <c r="L1510" t="str">
        <f>IF(Workforce[[#This Row],[Salary]]&lt;50000,"30k-49k",IF(Workforce[[#This Row],[Salary]]&lt;70000,"50k-69k",IF(Workforce[[#This Row],[Salary]]&lt;90000,"70k-89k","90k+")))</f>
        <v>30k-49k</v>
      </c>
      <c r="M1510" t="s">
        <v>10819</v>
      </c>
      <c r="N1510">
        <f t="shared" ca="1" si="94"/>
        <v>7</v>
      </c>
      <c r="O1510" t="str">
        <f t="shared" ca="1" si="95"/>
        <v>Senior level</v>
      </c>
    </row>
    <row r="1511" spans="1:15" x14ac:dyDescent="0.3">
      <c r="A1511" t="s">
        <v>10820</v>
      </c>
      <c r="B1511" t="s">
        <v>10821</v>
      </c>
      <c r="C1511" t="s">
        <v>604</v>
      </c>
      <c r="D1511" t="s">
        <v>10822</v>
      </c>
      <c r="E1511" t="s">
        <v>10823</v>
      </c>
      <c r="F1511" t="s">
        <v>1642</v>
      </c>
      <c r="G1511" t="s">
        <v>10824</v>
      </c>
      <c r="H1511" t="s">
        <v>6670</v>
      </c>
      <c r="I1511">
        <f t="shared" ca="1" si="92"/>
        <v>48</v>
      </c>
      <c r="J1511" t="str">
        <f t="shared" ca="1" si="93"/>
        <v>40-49</v>
      </c>
      <c r="K1511">
        <v>34229.31</v>
      </c>
      <c r="L1511" t="str">
        <f>IF(Workforce[[#This Row],[Salary]]&lt;50000,"30k-49k",IF(Workforce[[#This Row],[Salary]]&lt;70000,"50k-69k",IF(Workforce[[#This Row],[Salary]]&lt;90000,"70k-89k","90k+")))</f>
        <v>30k-49k</v>
      </c>
      <c r="M1511" t="s">
        <v>10825</v>
      </c>
      <c r="N1511">
        <f t="shared" ca="1" si="94"/>
        <v>6</v>
      </c>
      <c r="O1511" t="str">
        <f t="shared" ca="1" si="95"/>
        <v>Intermediate level</v>
      </c>
    </row>
    <row r="1512" spans="1:15" x14ac:dyDescent="0.3">
      <c r="A1512" t="s">
        <v>10826</v>
      </c>
      <c r="B1512" t="s">
        <v>10827</v>
      </c>
      <c r="C1512" t="s">
        <v>26</v>
      </c>
      <c r="D1512" t="s">
        <v>10828</v>
      </c>
      <c r="E1512" t="s">
        <v>10829</v>
      </c>
      <c r="F1512" t="s">
        <v>4941</v>
      </c>
      <c r="G1512" t="s">
        <v>10830</v>
      </c>
      <c r="H1512" t="s">
        <v>10831</v>
      </c>
      <c r="I1512">
        <f t="shared" ca="1" si="92"/>
        <v>49</v>
      </c>
      <c r="J1512" t="str">
        <f t="shared" ca="1" si="93"/>
        <v>40-49</v>
      </c>
      <c r="K1512">
        <v>80541.3</v>
      </c>
      <c r="L1512" t="str">
        <f>IF(Workforce[[#This Row],[Salary]]&lt;50000,"30k-49k",IF(Workforce[[#This Row],[Salary]]&lt;70000,"50k-69k",IF(Workforce[[#This Row],[Salary]]&lt;90000,"70k-89k","90k+")))</f>
        <v>70k-89k</v>
      </c>
      <c r="M1512" t="s">
        <v>10832</v>
      </c>
      <c r="N1512">
        <f t="shared" ca="1" si="94"/>
        <v>5</v>
      </c>
      <c r="O1512" t="str">
        <f t="shared" ca="1" si="95"/>
        <v>Intermediate level</v>
      </c>
    </row>
    <row r="1513" spans="1:15" x14ac:dyDescent="0.3">
      <c r="A1513" t="s">
        <v>10833</v>
      </c>
      <c r="B1513" t="s">
        <v>10834</v>
      </c>
      <c r="C1513" t="s">
        <v>35</v>
      </c>
      <c r="D1513" t="s">
        <v>10835</v>
      </c>
      <c r="E1513" t="s">
        <v>10836</v>
      </c>
      <c r="F1513" t="s">
        <v>3598</v>
      </c>
      <c r="G1513" t="s">
        <v>10837</v>
      </c>
      <c r="H1513" t="s">
        <v>10838</v>
      </c>
      <c r="I1513">
        <f t="shared" ca="1" si="92"/>
        <v>21</v>
      </c>
      <c r="J1513" t="str">
        <f t="shared" ca="1" si="93"/>
        <v>18-29</v>
      </c>
      <c r="K1513">
        <v>76218.2</v>
      </c>
      <c r="L1513" t="str">
        <f>IF(Workforce[[#This Row],[Salary]]&lt;50000,"30k-49k",IF(Workforce[[#This Row],[Salary]]&lt;70000,"50k-69k",IF(Workforce[[#This Row],[Salary]]&lt;90000,"70k-89k","90k+")))</f>
        <v>70k-89k</v>
      </c>
      <c r="M1513" t="s">
        <v>10839</v>
      </c>
      <c r="N1513">
        <f t="shared" ca="1" si="94"/>
        <v>8</v>
      </c>
      <c r="O1513" t="str">
        <f t="shared" ca="1" si="95"/>
        <v>Senior level</v>
      </c>
    </row>
    <row r="1514" spans="1:15" x14ac:dyDescent="0.3">
      <c r="A1514" t="s">
        <v>10840</v>
      </c>
      <c r="B1514" t="s">
        <v>10841</v>
      </c>
      <c r="C1514" t="s">
        <v>482</v>
      </c>
      <c r="D1514" t="s">
        <v>10842</v>
      </c>
      <c r="E1514" t="s">
        <v>10843</v>
      </c>
      <c r="F1514" t="s">
        <v>3441</v>
      </c>
      <c r="G1514" t="s">
        <v>10844</v>
      </c>
      <c r="H1514" t="s">
        <v>10845</v>
      </c>
      <c r="I1514">
        <f t="shared" ca="1" si="92"/>
        <v>60</v>
      </c>
      <c r="J1514" t="str">
        <f t="shared" ca="1" si="93"/>
        <v>60+</v>
      </c>
      <c r="K1514">
        <v>75239.899999999994</v>
      </c>
      <c r="L1514" t="str">
        <f>IF(Workforce[[#This Row],[Salary]]&lt;50000,"30k-49k",IF(Workforce[[#This Row],[Salary]]&lt;70000,"50k-69k",IF(Workforce[[#This Row],[Salary]]&lt;90000,"70k-89k","90k+")))</f>
        <v>70k-89k</v>
      </c>
      <c r="M1514" t="s">
        <v>10846</v>
      </c>
      <c r="N1514">
        <f t="shared" ca="1" si="94"/>
        <v>8</v>
      </c>
      <c r="O1514" t="str">
        <f t="shared" ca="1" si="95"/>
        <v>Senior level</v>
      </c>
    </row>
    <row r="1515" spans="1:15" x14ac:dyDescent="0.3">
      <c r="A1515" t="s">
        <v>10847</v>
      </c>
      <c r="B1515" t="s">
        <v>10848</v>
      </c>
      <c r="C1515" t="s">
        <v>178</v>
      </c>
      <c r="D1515" t="s">
        <v>10849</v>
      </c>
      <c r="E1515" t="s">
        <v>10850</v>
      </c>
      <c r="F1515" t="s">
        <v>525</v>
      </c>
      <c r="G1515" t="s">
        <v>10851</v>
      </c>
      <c r="H1515" t="s">
        <v>10852</v>
      </c>
      <c r="I1515">
        <f t="shared" ca="1" si="92"/>
        <v>64</v>
      </c>
      <c r="J1515" t="str">
        <f t="shared" ca="1" si="93"/>
        <v>60+</v>
      </c>
      <c r="K1515">
        <v>104383.67999999999</v>
      </c>
      <c r="L1515" t="str">
        <f>IF(Workforce[[#This Row],[Salary]]&lt;50000,"30k-49k",IF(Workforce[[#This Row],[Salary]]&lt;70000,"50k-69k",IF(Workforce[[#This Row],[Salary]]&lt;90000,"70k-89k","90k+")))</f>
        <v>90k+</v>
      </c>
      <c r="M1515" t="s">
        <v>10853</v>
      </c>
      <c r="N1515">
        <f t="shared" ca="1" si="94"/>
        <v>3</v>
      </c>
      <c r="O1515" t="str">
        <f t="shared" ca="1" si="95"/>
        <v>Intermediate level</v>
      </c>
    </row>
    <row r="1516" spans="1:15" x14ac:dyDescent="0.3">
      <c r="A1516" t="s">
        <v>10854</v>
      </c>
      <c r="B1516" t="s">
        <v>10855</v>
      </c>
      <c r="C1516" t="s">
        <v>1043</v>
      </c>
      <c r="D1516" t="s">
        <v>10856</v>
      </c>
      <c r="E1516" t="s">
        <v>10857</v>
      </c>
      <c r="F1516" t="s">
        <v>2630</v>
      </c>
      <c r="G1516" t="s">
        <v>10858</v>
      </c>
      <c r="H1516" t="s">
        <v>8008</v>
      </c>
      <c r="I1516">
        <f t="shared" ca="1" si="92"/>
        <v>51</v>
      </c>
      <c r="J1516" t="str">
        <f t="shared" ca="1" si="93"/>
        <v>50-59</v>
      </c>
      <c r="K1516">
        <v>60360.74</v>
      </c>
      <c r="L1516" t="str">
        <f>IF(Workforce[[#This Row],[Salary]]&lt;50000,"30k-49k",IF(Workforce[[#This Row],[Salary]]&lt;70000,"50k-69k",IF(Workforce[[#This Row],[Salary]]&lt;90000,"70k-89k","90k+")))</f>
        <v>50k-69k</v>
      </c>
      <c r="M1516" t="s">
        <v>10859</v>
      </c>
      <c r="N1516">
        <f t="shared" ca="1" si="94"/>
        <v>4</v>
      </c>
      <c r="O1516" t="str">
        <f t="shared" ca="1" si="95"/>
        <v>Intermediate level</v>
      </c>
    </row>
    <row r="1517" spans="1:15" x14ac:dyDescent="0.3">
      <c r="A1517" t="s">
        <v>10860</v>
      </c>
      <c r="B1517" t="s">
        <v>10861</v>
      </c>
      <c r="C1517" t="s">
        <v>317</v>
      </c>
      <c r="D1517" t="s">
        <v>10862</v>
      </c>
      <c r="E1517" t="s">
        <v>10863</v>
      </c>
      <c r="F1517" t="s">
        <v>1186</v>
      </c>
      <c r="G1517" t="s">
        <v>10864</v>
      </c>
      <c r="H1517" t="s">
        <v>10865</v>
      </c>
      <c r="I1517">
        <f t="shared" ca="1" si="92"/>
        <v>29</v>
      </c>
      <c r="J1517" t="str">
        <f t="shared" ca="1" si="93"/>
        <v>18-29</v>
      </c>
      <c r="K1517">
        <v>100401.61</v>
      </c>
      <c r="L1517" t="str">
        <f>IF(Workforce[[#This Row],[Salary]]&lt;50000,"30k-49k",IF(Workforce[[#This Row],[Salary]]&lt;70000,"50k-69k",IF(Workforce[[#This Row],[Salary]]&lt;90000,"70k-89k","90k+")))</f>
        <v>90k+</v>
      </c>
      <c r="M1517" t="s">
        <v>10866</v>
      </c>
      <c r="N1517">
        <f t="shared" ca="1" si="94"/>
        <v>6</v>
      </c>
      <c r="O1517" t="str">
        <f t="shared" ca="1" si="95"/>
        <v>Intermediate level</v>
      </c>
    </row>
    <row r="1518" spans="1:15" x14ac:dyDescent="0.3">
      <c r="A1518" t="s">
        <v>10867</v>
      </c>
      <c r="B1518" t="s">
        <v>10868</v>
      </c>
      <c r="C1518" t="s">
        <v>97</v>
      </c>
      <c r="D1518" t="s">
        <v>10869</v>
      </c>
      <c r="E1518" t="s">
        <v>10870</v>
      </c>
      <c r="F1518" t="s">
        <v>792</v>
      </c>
      <c r="G1518" t="s">
        <v>10871</v>
      </c>
      <c r="H1518" t="s">
        <v>10872</v>
      </c>
      <c r="I1518">
        <f t="shared" ca="1" si="92"/>
        <v>62</v>
      </c>
      <c r="J1518" t="str">
        <f t="shared" ca="1" si="93"/>
        <v>60+</v>
      </c>
      <c r="K1518">
        <v>59923.55</v>
      </c>
      <c r="L1518" t="str">
        <f>IF(Workforce[[#This Row],[Salary]]&lt;50000,"30k-49k",IF(Workforce[[#This Row],[Salary]]&lt;70000,"50k-69k",IF(Workforce[[#This Row],[Salary]]&lt;90000,"70k-89k","90k+")))</f>
        <v>50k-69k</v>
      </c>
      <c r="M1518" t="s">
        <v>8982</v>
      </c>
      <c r="N1518">
        <f t="shared" ca="1" si="94"/>
        <v>1</v>
      </c>
      <c r="O1518" t="str">
        <f t="shared" ca="1" si="95"/>
        <v>Beginner</v>
      </c>
    </row>
    <row r="1519" spans="1:15" x14ac:dyDescent="0.3">
      <c r="A1519" t="s">
        <v>10873</v>
      </c>
      <c r="B1519" t="s">
        <v>10874</v>
      </c>
      <c r="C1519" t="s">
        <v>539</v>
      </c>
      <c r="D1519" t="s">
        <v>10875</v>
      </c>
      <c r="E1519" t="s">
        <v>10876</v>
      </c>
      <c r="F1519" t="s">
        <v>8083</v>
      </c>
      <c r="G1519" t="s">
        <v>10877</v>
      </c>
      <c r="H1519" t="s">
        <v>9444</v>
      </c>
      <c r="I1519">
        <f t="shared" ca="1" si="92"/>
        <v>60</v>
      </c>
      <c r="J1519" t="str">
        <f t="shared" ca="1" si="93"/>
        <v>60+</v>
      </c>
      <c r="K1519">
        <v>66046.2</v>
      </c>
      <c r="L1519" t="str">
        <f>IF(Workforce[[#This Row],[Salary]]&lt;50000,"30k-49k",IF(Workforce[[#This Row],[Salary]]&lt;70000,"50k-69k",IF(Workforce[[#This Row],[Salary]]&lt;90000,"70k-89k","90k+")))</f>
        <v>50k-69k</v>
      </c>
      <c r="M1519" t="s">
        <v>5048</v>
      </c>
      <c r="N1519">
        <f t="shared" ca="1" si="94"/>
        <v>1</v>
      </c>
      <c r="O1519" t="str">
        <f t="shared" ca="1" si="95"/>
        <v>Beginner</v>
      </c>
    </row>
    <row r="1520" spans="1:15" x14ac:dyDescent="0.3">
      <c r="A1520" t="s">
        <v>10878</v>
      </c>
      <c r="B1520" t="s">
        <v>10879</v>
      </c>
      <c r="C1520" t="s">
        <v>317</v>
      </c>
      <c r="D1520" t="s">
        <v>10880</v>
      </c>
      <c r="E1520" t="s">
        <v>10881</v>
      </c>
      <c r="F1520" t="s">
        <v>4873</v>
      </c>
      <c r="G1520" t="s">
        <v>10882</v>
      </c>
      <c r="H1520" t="s">
        <v>10883</v>
      </c>
      <c r="I1520">
        <f t="shared" ca="1" si="92"/>
        <v>28</v>
      </c>
      <c r="J1520" t="str">
        <f t="shared" ca="1" si="93"/>
        <v>18-29</v>
      </c>
      <c r="K1520">
        <v>61961.29</v>
      </c>
      <c r="L1520" t="str">
        <f>IF(Workforce[[#This Row],[Salary]]&lt;50000,"30k-49k",IF(Workforce[[#This Row],[Salary]]&lt;70000,"50k-69k",IF(Workforce[[#This Row],[Salary]]&lt;90000,"70k-89k","90k+")))</f>
        <v>50k-69k</v>
      </c>
      <c r="M1520" t="s">
        <v>10884</v>
      </c>
      <c r="N1520">
        <f t="shared" ca="1" si="94"/>
        <v>5</v>
      </c>
      <c r="O1520" t="str">
        <f t="shared" ca="1" si="95"/>
        <v>Intermediate level</v>
      </c>
    </row>
    <row r="1521" spans="1:15" x14ac:dyDescent="0.3">
      <c r="A1521" t="s">
        <v>10885</v>
      </c>
      <c r="B1521" t="s">
        <v>10886</v>
      </c>
      <c r="C1521" t="s">
        <v>97</v>
      </c>
      <c r="D1521" t="s">
        <v>10887</v>
      </c>
      <c r="E1521" t="s">
        <v>10888</v>
      </c>
      <c r="F1521" t="s">
        <v>9460</v>
      </c>
      <c r="G1521" t="s">
        <v>10889</v>
      </c>
      <c r="H1521" t="s">
        <v>10890</v>
      </c>
      <c r="I1521">
        <f t="shared" ca="1" si="92"/>
        <v>32</v>
      </c>
      <c r="J1521" t="str">
        <f t="shared" ca="1" si="93"/>
        <v>30-39</v>
      </c>
      <c r="K1521">
        <v>108321.59</v>
      </c>
      <c r="L1521" t="str">
        <f>IF(Workforce[[#This Row],[Salary]]&lt;50000,"30k-49k",IF(Workforce[[#This Row],[Salary]]&lt;70000,"50k-69k",IF(Workforce[[#This Row],[Salary]]&lt;90000,"70k-89k","90k+")))</f>
        <v>90k+</v>
      </c>
      <c r="M1521" t="s">
        <v>10891</v>
      </c>
      <c r="N1521">
        <f t="shared" ca="1" si="94"/>
        <v>4</v>
      </c>
      <c r="O1521" t="str">
        <f t="shared" ca="1" si="95"/>
        <v>Intermediate level</v>
      </c>
    </row>
    <row r="1522" spans="1:15" x14ac:dyDescent="0.3">
      <c r="A1522" t="s">
        <v>10892</v>
      </c>
      <c r="B1522" t="s">
        <v>10893</v>
      </c>
      <c r="C1522" t="s">
        <v>1159</v>
      </c>
      <c r="D1522" t="s">
        <v>10894</v>
      </c>
      <c r="E1522" t="s">
        <v>10895</v>
      </c>
      <c r="F1522" t="s">
        <v>10586</v>
      </c>
      <c r="G1522" t="s">
        <v>10896</v>
      </c>
      <c r="H1522" t="s">
        <v>10897</v>
      </c>
      <c r="I1522">
        <f t="shared" ca="1" si="92"/>
        <v>53</v>
      </c>
      <c r="J1522" t="str">
        <f t="shared" ca="1" si="93"/>
        <v>50-59</v>
      </c>
      <c r="K1522">
        <v>99718.46</v>
      </c>
      <c r="L1522" t="str">
        <f>IF(Workforce[[#This Row],[Salary]]&lt;50000,"30k-49k",IF(Workforce[[#This Row],[Salary]]&lt;70000,"50k-69k",IF(Workforce[[#This Row],[Salary]]&lt;90000,"70k-89k","90k+")))</f>
        <v>90k+</v>
      </c>
      <c r="M1522" t="s">
        <v>3451</v>
      </c>
      <c r="N1522">
        <f t="shared" ca="1" si="94"/>
        <v>3</v>
      </c>
      <c r="O1522" t="str">
        <f t="shared" ca="1" si="95"/>
        <v>Intermediate level</v>
      </c>
    </row>
    <row r="1523" spans="1:15" x14ac:dyDescent="0.3">
      <c r="A1523" t="s">
        <v>10898</v>
      </c>
      <c r="B1523" t="s">
        <v>10899</v>
      </c>
      <c r="C1523" t="s">
        <v>257</v>
      </c>
      <c r="D1523" t="s">
        <v>10900</v>
      </c>
      <c r="E1523" t="s">
        <v>10901</v>
      </c>
      <c r="F1523" t="s">
        <v>20</v>
      </c>
      <c r="G1523" t="s">
        <v>10902</v>
      </c>
      <c r="H1523" t="s">
        <v>10903</v>
      </c>
      <c r="I1523">
        <f t="shared" ca="1" si="92"/>
        <v>19</v>
      </c>
      <c r="J1523" t="str">
        <f t="shared" ca="1" si="93"/>
        <v>18-29</v>
      </c>
      <c r="K1523">
        <v>56159.46</v>
      </c>
      <c r="L1523" t="str">
        <f>IF(Workforce[[#This Row],[Salary]]&lt;50000,"30k-49k",IF(Workforce[[#This Row],[Salary]]&lt;70000,"50k-69k",IF(Workforce[[#This Row],[Salary]]&lt;90000,"70k-89k","90k+")))</f>
        <v>50k-69k</v>
      </c>
      <c r="M1523" t="s">
        <v>10904</v>
      </c>
      <c r="N1523">
        <f t="shared" ca="1" si="94"/>
        <v>4</v>
      </c>
      <c r="O1523" t="str">
        <f t="shared" ca="1" si="95"/>
        <v>Intermediate level</v>
      </c>
    </row>
    <row r="1524" spans="1:15" x14ac:dyDescent="0.3">
      <c r="A1524" t="s">
        <v>10905</v>
      </c>
      <c r="B1524" t="s">
        <v>10906</v>
      </c>
      <c r="C1524" t="s">
        <v>70</v>
      </c>
      <c r="D1524" t="s">
        <v>10907</v>
      </c>
      <c r="E1524" t="s">
        <v>10908</v>
      </c>
      <c r="F1524" t="s">
        <v>1549</v>
      </c>
      <c r="G1524" t="s">
        <v>10909</v>
      </c>
      <c r="H1524" t="s">
        <v>10910</v>
      </c>
      <c r="I1524">
        <f t="shared" ca="1" si="92"/>
        <v>49</v>
      </c>
      <c r="J1524" t="str">
        <f t="shared" ca="1" si="93"/>
        <v>40-49</v>
      </c>
      <c r="K1524">
        <v>37445.85</v>
      </c>
      <c r="L1524" t="str">
        <f>IF(Workforce[[#This Row],[Salary]]&lt;50000,"30k-49k",IF(Workforce[[#This Row],[Salary]]&lt;70000,"50k-69k",IF(Workforce[[#This Row],[Salary]]&lt;90000,"70k-89k","90k+")))</f>
        <v>30k-49k</v>
      </c>
      <c r="M1524" t="s">
        <v>3363</v>
      </c>
      <c r="N1524">
        <f t="shared" ca="1" si="94"/>
        <v>1</v>
      </c>
      <c r="O1524" t="str">
        <f t="shared" ca="1" si="95"/>
        <v>Beginner</v>
      </c>
    </row>
    <row r="1525" spans="1:15" x14ac:dyDescent="0.3">
      <c r="A1525" t="s">
        <v>10911</v>
      </c>
      <c r="B1525" t="s">
        <v>10912</v>
      </c>
      <c r="C1525" t="s">
        <v>653</v>
      </c>
      <c r="D1525" t="s">
        <v>10913</v>
      </c>
      <c r="E1525" t="s">
        <v>10914</v>
      </c>
      <c r="F1525" t="s">
        <v>2945</v>
      </c>
      <c r="G1525" t="s">
        <v>10915</v>
      </c>
      <c r="H1525" t="s">
        <v>10916</v>
      </c>
      <c r="I1525">
        <f t="shared" ca="1" si="92"/>
        <v>28</v>
      </c>
      <c r="J1525" t="str">
        <f t="shared" ca="1" si="93"/>
        <v>18-29</v>
      </c>
      <c r="K1525">
        <v>109450.65</v>
      </c>
      <c r="L1525" t="str">
        <f>IF(Workforce[[#This Row],[Salary]]&lt;50000,"30k-49k",IF(Workforce[[#This Row],[Salary]]&lt;70000,"50k-69k",IF(Workforce[[#This Row],[Salary]]&lt;90000,"70k-89k","90k+")))</f>
        <v>90k+</v>
      </c>
      <c r="M1525" t="s">
        <v>10917</v>
      </c>
      <c r="N1525">
        <f t="shared" ca="1" si="94"/>
        <v>9</v>
      </c>
      <c r="O1525" t="str">
        <f t="shared" ca="1" si="95"/>
        <v>Senior level</v>
      </c>
    </row>
    <row r="1526" spans="1:15" x14ac:dyDescent="0.3">
      <c r="A1526" t="s">
        <v>10918</v>
      </c>
      <c r="B1526" t="s">
        <v>10919</v>
      </c>
      <c r="C1526" t="s">
        <v>169</v>
      </c>
      <c r="D1526" t="s">
        <v>10920</v>
      </c>
      <c r="E1526" t="s">
        <v>10921</v>
      </c>
      <c r="F1526" t="s">
        <v>4517</v>
      </c>
      <c r="G1526" t="s">
        <v>10922</v>
      </c>
      <c r="H1526" t="s">
        <v>10923</v>
      </c>
      <c r="I1526">
        <f t="shared" ca="1" si="92"/>
        <v>33</v>
      </c>
      <c r="J1526" t="str">
        <f t="shared" ca="1" si="93"/>
        <v>30-39</v>
      </c>
      <c r="K1526">
        <v>100146.9</v>
      </c>
      <c r="L1526" t="str">
        <f>IF(Workforce[[#This Row],[Salary]]&lt;50000,"30k-49k",IF(Workforce[[#This Row],[Salary]]&lt;70000,"50k-69k",IF(Workforce[[#This Row],[Salary]]&lt;90000,"70k-89k","90k+")))</f>
        <v>90k+</v>
      </c>
      <c r="M1526" t="s">
        <v>3575</v>
      </c>
      <c r="N1526">
        <f t="shared" ca="1" si="94"/>
        <v>1</v>
      </c>
      <c r="O1526" t="str">
        <f t="shared" ca="1" si="95"/>
        <v>Beginner</v>
      </c>
    </row>
    <row r="1527" spans="1:15" x14ac:dyDescent="0.3">
      <c r="A1527" t="s">
        <v>10924</v>
      </c>
      <c r="B1527" t="s">
        <v>10925</v>
      </c>
      <c r="C1527" t="s">
        <v>169</v>
      </c>
      <c r="D1527" t="s">
        <v>10926</v>
      </c>
      <c r="E1527" t="s">
        <v>10927</v>
      </c>
      <c r="F1527" t="s">
        <v>1726</v>
      </c>
      <c r="G1527" t="s">
        <v>10928</v>
      </c>
      <c r="H1527" t="s">
        <v>10929</v>
      </c>
      <c r="I1527">
        <f t="shared" ca="1" si="92"/>
        <v>58</v>
      </c>
      <c r="J1527" t="str">
        <f t="shared" ca="1" si="93"/>
        <v>50-59</v>
      </c>
      <c r="K1527">
        <v>94438.36</v>
      </c>
      <c r="L1527" t="str">
        <f>IF(Workforce[[#This Row],[Salary]]&lt;50000,"30k-49k",IF(Workforce[[#This Row],[Salary]]&lt;70000,"50k-69k",IF(Workforce[[#This Row],[Salary]]&lt;90000,"70k-89k","90k+")))</f>
        <v>90k+</v>
      </c>
      <c r="M1527" t="s">
        <v>10930</v>
      </c>
      <c r="N1527">
        <f t="shared" ca="1" si="94"/>
        <v>9</v>
      </c>
      <c r="O1527" t="str">
        <f t="shared" ca="1" si="95"/>
        <v>Senior level</v>
      </c>
    </row>
    <row r="1528" spans="1:15" x14ac:dyDescent="0.3">
      <c r="A1528" t="s">
        <v>10931</v>
      </c>
      <c r="B1528" t="s">
        <v>10932</v>
      </c>
      <c r="C1528" t="s">
        <v>284</v>
      </c>
      <c r="D1528" t="s">
        <v>10933</v>
      </c>
      <c r="E1528" t="s">
        <v>10934</v>
      </c>
      <c r="F1528" t="s">
        <v>3746</v>
      </c>
      <c r="G1528" t="s">
        <v>10935</v>
      </c>
      <c r="H1528" t="s">
        <v>10936</v>
      </c>
      <c r="I1528">
        <f t="shared" ca="1" si="92"/>
        <v>48</v>
      </c>
      <c r="J1528" t="str">
        <f t="shared" ca="1" si="93"/>
        <v>40-49</v>
      </c>
      <c r="K1528">
        <v>76351.67</v>
      </c>
      <c r="L1528" t="str">
        <f>IF(Workforce[[#This Row],[Salary]]&lt;50000,"30k-49k",IF(Workforce[[#This Row],[Salary]]&lt;70000,"50k-69k",IF(Workforce[[#This Row],[Salary]]&lt;90000,"70k-89k","90k+")))</f>
        <v>70k-89k</v>
      </c>
      <c r="M1528" t="s">
        <v>4998</v>
      </c>
      <c r="N1528">
        <f t="shared" ca="1" si="94"/>
        <v>1</v>
      </c>
      <c r="O1528" t="str">
        <f t="shared" ca="1" si="95"/>
        <v>Beginner</v>
      </c>
    </row>
    <row r="1529" spans="1:15" x14ac:dyDescent="0.3">
      <c r="A1529" t="s">
        <v>10937</v>
      </c>
      <c r="B1529" t="s">
        <v>10938</v>
      </c>
      <c r="C1529" t="s">
        <v>995</v>
      </c>
      <c r="D1529" t="s">
        <v>10939</v>
      </c>
      <c r="E1529" t="s">
        <v>10940</v>
      </c>
      <c r="F1529" t="s">
        <v>3381</v>
      </c>
      <c r="G1529" t="s">
        <v>10941</v>
      </c>
      <c r="H1529" t="s">
        <v>7784</v>
      </c>
      <c r="I1529">
        <f t="shared" ca="1" si="92"/>
        <v>19</v>
      </c>
      <c r="J1529" t="str">
        <f t="shared" ca="1" si="93"/>
        <v>18-29</v>
      </c>
      <c r="K1529">
        <v>62218.22</v>
      </c>
      <c r="L1529" t="str">
        <f>IF(Workforce[[#This Row],[Salary]]&lt;50000,"30k-49k",IF(Workforce[[#This Row],[Salary]]&lt;70000,"50k-69k",IF(Workforce[[#This Row],[Salary]]&lt;90000,"70k-89k","90k+")))</f>
        <v>50k-69k</v>
      </c>
      <c r="M1529" t="s">
        <v>10942</v>
      </c>
      <c r="N1529">
        <f t="shared" ca="1" si="94"/>
        <v>9</v>
      </c>
      <c r="O1529" t="str">
        <f t="shared" ca="1" si="95"/>
        <v>Senior level</v>
      </c>
    </row>
    <row r="1530" spans="1:15" x14ac:dyDescent="0.3">
      <c r="A1530" t="s">
        <v>10943</v>
      </c>
      <c r="B1530" t="s">
        <v>5816</v>
      </c>
      <c r="C1530" t="s">
        <v>88</v>
      </c>
      <c r="D1530" t="s">
        <v>10944</v>
      </c>
      <c r="E1530" t="s">
        <v>10945</v>
      </c>
      <c r="F1530" t="s">
        <v>8973</v>
      </c>
      <c r="G1530" t="s">
        <v>3142</v>
      </c>
      <c r="H1530" t="s">
        <v>10946</v>
      </c>
      <c r="I1530">
        <f t="shared" ca="1" si="92"/>
        <v>42</v>
      </c>
      <c r="J1530" t="str">
        <f t="shared" ca="1" si="93"/>
        <v>40-49</v>
      </c>
      <c r="K1530">
        <v>69137.64</v>
      </c>
      <c r="L1530" t="str">
        <f>IF(Workforce[[#This Row],[Salary]]&lt;50000,"30k-49k",IF(Workforce[[#This Row],[Salary]]&lt;70000,"50k-69k",IF(Workforce[[#This Row],[Salary]]&lt;90000,"70k-89k","90k+")))</f>
        <v>50k-69k</v>
      </c>
      <c r="M1530" t="s">
        <v>10947</v>
      </c>
      <c r="N1530">
        <f t="shared" ca="1" si="94"/>
        <v>6</v>
      </c>
      <c r="O1530" t="str">
        <f t="shared" ca="1" si="95"/>
        <v>Intermediate level</v>
      </c>
    </row>
    <row r="1531" spans="1:15" x14ac:dyDescent="0.3">
      <c r="A1531" t="s">
        <v>10948</v>
      </c>
      <c r="B1531" t="s">
        <v>10949</v>
      </c>
      <c r="C1531" t="s">
        <v>17</v>
      </c>
      <c r="D1531" t="s">
        <v>10950</v>
      </c>
      <c r="E1531" t="s">
        <v>10951</v>
      </c>
      <c r="F1531" t="s">
        <v>1091</v>
      </c>
      <c r="G1531" t="s">
        <v>10952</v>
      </c>
      <c r="H1531" t="s">
        <v>10953</v>
      </c>
      <c r="I1531">
        <f t="shared" ca="1" si="92"/>
        <v>34</v>
      </c>
      <c r="J1531" t="str">
        <f t="shared" ca="1" si="93"/>
        <v>30-39</v>
      </c>
      <c r="K1531">
        <v>44530.05</v>
      </c>
      <c r="L1531" t="str">
        <f>IF(Workforce[[#This Row],[Salary]]&lt;50000,"30k-49k",IF(Workforce[[#This Row],[Salary]]&lt;70000,"50k-69k",IF(Workforce[[#This Row],[Salary]]&lt;90000,"70k-89k","90k+")))</f>
        <v>30k-49k</v>
      </c>
      <c r="M1531" t="s">
        <v>10954</v>
      </c>
      <c r="N1531">
        <f t="shared" ca="1" si="94"/>
        <v>7</v>
      </c>
      <c r="O1531" t="str">
        <f t="shared" ca="1" si="95"/>
        <v>Senior level</v>
      </c>
    </row>
    <row r="1532" spans="1:15" x14ac:dyDescent="0.3">
      <c r="A1532" t="s">
        <v>10955</v>
      </c>
      <c r="B1532" t="s">
        <v>10956</v>
      </c>
      <c r="C1532" t="s">
        <v>844</v>
      </c>
      <c r="D1532" t="s">
        <v>10957</v>
      </c>
      <c r="E1532" t="s">
        <v>10958</v>
      </c>
      <c r="F1532" t="s">
        <v>403</v>
      </c>
      <c r="G1532" t="s">
        <v>10959</v>
      </c>
      <c r="H1532" t="s">
        <v>10960</v>
      </c>
      <c r="I1532">
        <f t="shared" ca="1" si="92"/>
        <v>62</v>
      </c>
      <c r="J1532" t="str">
        <f t="shared" ca="1" si="93"/>
        <v>60+</v>
      </c>
      <c r="K1532">
        <v>82348.83</v>
      </c>
      <c r="L1532" t="str">
        <f>IF(Workforce[[#This Row],[Salary]]&lt;50000,"30k-49k",IF(Workforce[[#This Row],[Salary]]&lt;70000,"50k-69k",IF(Workforce[[#This Row],[Salary]]&lt;90000,"70k-89k","90k+")))</f>
        <v>70k-89k</v>
      </c>
      <c r="M1532" t="s">
        <v>10961</v>
      </c>
      <c r="N1532">
        <f t="shared" ca="1" si="94"/>
        <v>10</v>
      </c>
      <c r="O1532" t="str">
        <f t="shared" ca="1" si="95"/>
        <v>Senior level</v>
      </c>
    </row>
    <row r="1533" spans="1:15" x14ac:dyDescent="0.3">
      <c r="A1533" t="s">
        <v>10962</v>
      </c>
      <c r="B1533" t="s">
        <v>10963</v>
      </c>
      <c r="C1533" t="s">
        <v>142</v>
      </c>
      <c r="D1533" t="s">
        <v>10964</v>
      </c>
      <c r="E1533" t="s">
        <v>10965</v>
      </c>
      <c r="F1533" t="s">
        <v>5088</v>
      </c>
      <c r="G1533" t="s">
        <v>10966</v>
      </c>
      <c r="H1533" t="s">
        <v>10967</v>
      </c>
      <c r="I1533">
        <f t="shared" ca="1" si="92"/>
        <v>30</v>
      </c>
      <c r="J1533" t="str">
        <f t="shared" ca="1" si="93"/>
        <v>30-39</v>
      </c>
      <c r="K1533">
        <v>64066.45</v>
      </c>
      <c r="L1533" t="str">
        <f>IF(Workforce[[#This Row],[Salary]]&lt;50000,"30k-49k",IF(Workforce[[#This Row],[Salary]]&lt;70000,"50k-69k",IF(Workforce[[#This Row],[Salary]]&lt;90000,"70k-89k","90k+")))</f>
        <v>50k-69k</v>
      </c>
      <c r="M1533" t="s">
        <v>10314</v>
      </c>
      <c r="N1533">
        <f t="shared" ca="1" si="94"/>
        <v>10</v>
      </c>
      <c r="O1533" t="str">
        <f t="shared" ca="1" si="95"/>
        <v>Senior level</v>
      </c>
    </row>
    <row r="1534" spans="1:15" x14ac:dyDescent="0.3">
      <c r="A1534" t="s">
        <v>10968</v>
      </c>
      <c r="B1534" t="s">
        <v>10969</v>
      </c>
      <c r="C1534" t="s">
        <v>160</v>
      </c>
      <c r="D1534" t="s">
        <v>10970</v>
      </c>
      <c r="E1534" t="s">
        <v>10971</v>
      </c>
      <c r="F1534" t="s">
        <v>10972</v>
      </c>
      <c r="G1534" t="s">
        <v>10973</v>
      </c>
      <c r="H1534" t="s">
        <v>10974</v>
      </c>
      <c r="I1534">
        <f t="shared" ca="1" si="92"/>
        <v>23</v>
      </c>
      <c r="J1534" t="str">
        <f t="shared" ca="1" si="93"/>
        <v>18-29</v>
      </c>
      <c r="K1534">
        <v>63937.98</v>
      </c>
      <c r="L1534" t="str">
        <f>IF(Workforce[[#This Row],[Salary]]&lt;50000,"30k-49k",IF(Workforce[[#This Row],[Salary]]&lt;70000,"50k-69k",IF(Workforce[[#This Row],[Salary]]&lt;90000,"70k-89k","90k+")))</f>
        <v>50k-69k</v>
      </c>
      <c r="M1534" t="s">
        <v>7524</v>
      </c>
      <c r="N1534">
        <f t="shared" ca="1" si="94"/>
        <v>8</v>
      </c>
      <c r="O1534" t="str">
        <f t="shared" ca="1" si="95"/>
        <v>Senior level</v>
      </c>
    </row>
    <row r="1535" spans="1:15" x14ac:dyDescent="0.3">
      <c r="A1535" t="s">
        <v>10975</v>
      </c>
      <c r="B1535" t="s">
        <v>10976</v>
      </c>
      <c r="C1535" t="s">
        <v>351</v>
      </c>
      <c r="D1535" t="s">
        <v>10977</v>
      </c>
      <c r="E1535" t="s">
        <v>10978</v>
      </c>
      <c r="F1535" t="s">
        <v>5345</v>
      </c>
      <c r="G1535" t="s">
        <v>10979</v>
      </c>
      <c r="H1535" t="s">
        <v>10980</v>
      </c>
      <c r="I1535">
        <f t="shared" ca="1" si="92"/>
        <v>59</v>
      </c>
      <c r="J1535" t="str">
        <f t="shared" ca="1" si="93"/>
        <v>50-59</v>
      </c>
      <c r="K1535">
        <v>99084.7</v>
      </c>
      <c r="L1535" t="str">
        <f>IF(Workforce[[#This Row],[Salary]]&lt;50000,"30k-49k",IF(Workforce[[#This Row],[Salary]]&lt;70000,"50k-69k",IF(Workforce[[#This Row],[Salary]]&lt;90000,"70k-89k","90k+")))</f>
        <v>90k+</v>
      </c>
      <c r="M1535" t="s">
        <v>9142</v>
      </c>
      <c r="N1535">
        <f t="shared" ca="1" si="94"/>
        <v>10</v>
      </c>
      <c r="O1535" t="str">
        <f t="shared" ca="1" si="95"/>
        <v>Senior level</v>
      </c>
    </row>
    <row r="1536" spans="1:15" x14ac:dyDescent="0.3">
      <c r="A1536" t="s">
        <v>10981</v>
      </c>
      <c r="B1536" t="s">
        <v>10982</v>
      </c>
      <c r="C1536" t="s">
        <v>178</v>
      </c>
      <c r="D1536" t="s">
        <v>10983</v>
      </c>
      <c r="E1536" t="s">
        <v>10984</v>
      </c>
      <c r="F1536" t="s">
        <v>1673</v>
      </c>
      <c r="G1536" t="s">
        <v>10985</v>
      </c>
      <c r="H1536" t="s">
        <v>10986</v>
      </c>
      <c r="I1536">
        <f t="shared" ca="1" si="92"/>
        <v>50</v>
      </c>
      <c r="J1536" t="str">
        <f t="shared" ca="1" si="93"/>
        <v>50-59</v>
      </c>
      <c r="K1536">
        <v>56175.83</v>
      </c>
      <c r="L1536" t="str">
        <f>IF(Workforce[[#This Row],[Salary]]&lt;50000,"30k-49k",IF(Workforce[[#This Row],[Salary]]&lt;70000,"50k-69k",IF(Workforce[[#This Row],[Salary]]&lt;90000,"70k-89k","90k+")))</f>
        <v>50k-69k</v>
      </c>
      <c r="M1536" t="s">
        <v>10987</v>
      </c>
      <c r="N1536">
        <f t="shared" ca="1" si="94"/>
        <v>2</v>
      </c>
      <c r="O1536" t="str">
        <f t="shared" ca="1" si="95"/>
        <v>Beginner</v>
      </c>
    </row>
    <row r="1537" spans="1:15" x14ac:dyDescent="0.3">
      <c r="A1537" t="s">
        <v>10988</v>
      </c>
      <c r="B1537" t="s">
        <v>10989</v>
      </c>
      <c r="C1537" t="s">
        <v>335</v>
      </c>
      <c r="D1537" t="s">
        <v>10990</v>
      </c>
      <c r="E1537" t="s">
        <v>10991</v>
      </c>
      <c r="F1537" t="s">
        <v>3199</v>
      </c>
      <c r="G1537" t="s">
        <v>10992</v>
      </c>
      <c r="H1537" t="s">
        <v>10993</v>
      </c>
      <c r="I1537">
        <f t="shared" ca="1" si="92"/>
        <v>48</v>
      </c>
      <c r="J1537" t="str">
        <f t="shared" ca="1" si="93"/>
        <v>40-49</v>
      </c>
      <c r="K1537">
        <v>30365.84</v>
      </c>
      <c r="L1537" t="str">
        <f>IF(Workforce[[#This Row],[Salary]]&lt;50000,"30k-49k",IF(Workforce[[#This Row],[Salary]]&lt;70000,"50k-69k",IF(Workforce[[#This Row],[Salary]]&lt;90000,"70k-89k","90k+")))</f>
        <v>30k-49k</v>
      </c>
      <c r="M1537" t="s">
        <v>10994</v>
      </c>
      <c r="N1537">
        <f t="shared" ca="1" si="94"/>
        <v>4</v>
      </c>
      <c r="O1537" t="str">
        <f t="shared" ca="1" si="95"/>
        <v>Intermediate level</v>
      </c>
    </row>
    <row r="1538" spans="1:15" x14ac:dyDescent="0.3">
      <c r="A1538" t="s">
        <v>10995</v>
      </c>
      <c r="B1538" t="s">
        <v>10996</v>
      </c>
      <c r="C1538" t="s">
        <v>169</v>
      </c>
      <c r="D1538" t="s">
        <v>10997</v>
      </c>
      <c r="E1538" t="s">
        <v>10998</v>
      </c>
      <c r="F1538" t="s">
        <v>894</v>
      </c>
      <c r="G1538" t="s">
        <v>10999</v>
      </c>
      <c r="H1538" t="s">
        <v>11000</v>
      </c>
      <c r="I1538">
        <f t="shared" ref="I1538:I1601" ca="1" si="96">DATEDIF(H1538,TODAY(),"y")</f>
        <v>65</v>
      </c>
      <c r="J1538" t="str">
        <f t="shared" ref="J1538:J1601" ca="1" si="97">IF(I1538&lt;30,"18-29",IF(I1538&lt;40,"30-39",IF(I1538&lt;50,"40-49",IF(I1538&lt;60,"50-59","60+"))))</f>
        <v>60+</v>
      </c>
      <c r="K1538">
        <v>62176.83</v>
      </c>
      <c r="L1538" t="str">
        <f>IF(Workforce[[#This Row],[Salary]]&lt;50000,"30k-49k",IF(Workforce[[#This Row],[Salary]]&lt;70000,"50k-69k",IF(Workforce[[#This Row],[Salary]]&lt;90000,"70k-89k","90k+")))</f>
        <v>50k-69k</v>
      </c>
      <c r="M1538" t="s">
        <v>11001</v>
      </c>
      <c r="N1538">
        <f t="shared" ref="N1538:N1601" ca="1" si="98">DATEDIF(M1538,TODAY(),"y")</f>
        <v>3</v>
      </c>
      <c r="O1538" t="str">
        <f t="shared" ref="O1538:O1601" ca="1" si="99">IF(N1538&lt;=2,"Beginner",IF(N1538&lt;=6,"Intermediate level","Senior level"))</f>
        <v>Intermediate level</v>
      </c>
    </row>
    <row r="1539" spans="1:15" x14ac:dyDescent="0.3">
      <c r="A1539" t="s">
        <v>11002</v>
      </c>
      <c r="B1539" t="s">
        <v>11003</v>
      </c>
      <c r="C1539" t="s">
        <v>257</v>
      </c>
      <c r="D1539" t="s">
        <v>11004</v>
      </c>
      <c r="E1539" t="s">
        <v>11005</v>
      </c>
      <c r="F1539" t="s">
        <v>647</v>
      </c>
      <c r="G1539" t="s">
        <v>11006</v>
      </c>
      <c r="H1539" t="s">
        <v>11007</v>
      </c>
      <c r="I1539">
        <f t="shared" ca="1" si="96"/>
        <v>51</v>
      </c>
      <c r="J1539" t="str">
        <f t="shared" ca="1" si="97"/>
        <v>50-59</v>
      </c>
      <c r="K1539">
        <v>54398.83</v>
      </c>
      <c r="L1539" t="str">
        <f>IF(Workforce[[#This Row],[Salary]]&lt;50000,"30k-49k",IF(Workforce[[#This Row],[Salary]]&lt;70000,"50k-69k",IF(Workforce[[#This Row],[Salary]]&lt;90000,"70k-89k","90k+")))</f>
        <v>50k-69k</v>
      </c>
      <c r="M1539" t="s">
        <v>7875</v>
      </c>
      <c r="N1539">
        <f t="shared" ca="1" si="98"/>
        <v>6</v>
      </c>
      <c r="O1539" t="str">
        <f t="shared" ca="1" si="99"/>
        <v>Intermediate level</v>
      </c>
    </row>
    <row r="1540" spans="1:15" x14ac:dyDescent="0.3">
      <c r="A1540" t="s">
        <v>11008</v>
      </c>
      <c r="B1540" t="s">
        <v>11009</v>
      </c>
      <c r="C1540" t="s">
        <v>79</v>
      </c>
      <c r="D1540" t="s">
        <v>11010</v>
      </c>
      <c r="E1540" t="s">
        <v>11011</v>
      </c>
      <c r="F1540" t="s">
        <v>2139</v>
      </c>
      <c r="G1540" t="s">
        <v>11012</v>
      </c>
      <c r="H1540" t="s">
        <v>11013</v>
      </c>
      <c r="I1540">
        <f t="shared" ca="1" si="96"/>
        <v>52</v>
      </c>
      <c r="J1540" t="str">
        <f t="shared" ca="1" si="97"/>
        <v>50-59</v>
      </c>
      <c r="K1540">
        <v>112561.53</v>
      </c>
      <c r="L1540" t="str">
        <f>IF(Workforce[[#This Row],[Salary]]&lt;50000,"30k-49k",IF(Workforce[[#This Row],[Salary]]&lt;70000,"50k-69k",IF(Workforce[[#This Row],[Salary]]&lt;90000,"70k-89k","90k+")))</f>
        <v>90k+</v>
      </c>
      <c r="M1540" t="s">
        <v>7820</v>
      </c>
      <c r="N1540">
        <f t="shared" ca="1" si="98"/>
        <v>3</v>
      </c>
      <c r="O1540" t="str">
        <f t="shared" ca="1" si="99"/>
        <v>Intermediate level</v>
      </c>
    </row>
    <row r="1541" spans="1:15" x14ac:dyDescent="0.3">
      <c r="A1541" t="s">
        <v>11014</v>
      </c>
      <c r="B1541" t="s">
        <v>11015</v>
      </c>
      <c r="C1541" t="s">
        <v>151</v>
      </c>
      <c r="D1541" t="s">
        <v>11016</v>
      </c>
      <c r="E1541" t="s">
        <v>11017</v>
      </c>
      <c r="F1541" t="s">
        <v>623</v>
      </c>
      <c r="G1541" t="s">
        <v>11018</v>
      </c>
      <c r="H1541" t="s">
        <v>11019</v>
      </c>
      <c r="I1541">
        <f t="shared" ca="1" si="96"/>
        <v>38</v>
      </c>
      <c r="J1541" t="str">
        <f t="shared" ca="1" si="97"/>
        <v>30-39</v>
      </c>
      <c r="K1541">
        <v>39338.18</v>
      </c>
      <c r="L1541" t="str">
        <f>IF(Workforce[[#This Row],[Salary]]&lt;50000,"30k-49k",IF(Workforce[[#This Row],[Salary]]&lt;70000,"50k-69k",IF(Workforce[[#This Row],[Salary]]&lt;90000,"70k-89k","90k+")))</f>
        <v>30k-49k</v>
      </c>
      <c r="M1541" t="s">
        <v>11020</v>
      </c>
      <c r="N1541">
        <f t="shared" ca="1" si="98"/>
        <v>1</v>
      </c>
      <c r="O1541" t="str">
        <f t="shared" ca="1" si="99"/>
        <v>Beginner</v>
      </c>
    </row>
    <row r="1542" spans="1:15" x14ac:dyDescent="0.3">
      <c r="A1542" t="s">
        <v>11021</v>
      </c>
      <c r="B1542" t="s">
        <v>11022</v>
      </c>
      <c r="C1542" t="s">
        <v>160</v>
      </c>
      <c r="D1542" t="s">
        <v>11023</v>
      </c>
      <c r="E1542" t="s">
        <v>11024</v>
      </c>
      <c r="F1542" t="s">
        <v>2832</v>
      </c>
      <c r="G1542" t="s">
        <v>11025</v>
      </c>
      <c r="H1542" t="s">
        <v>11026</v>
      </c>
      <c r="I1542">
        <f t="shared" ca="1" si="96"/>
        <v>31</v>
      </c>
      <c r="J1542" t="str">
        <f t="shared" ca="1" si="97"/>
        <v>30-39</v>
      </c>
      <c r="K1542">
        <v>90026.26</v>
      </c>
      <c r="L1542" t="str">
        <f>IF(Workforce[[#This Row],[Salary]]&lt;50000,"30k-49k",IF(Workforce[[#This Row],[Salary]]&lt;70000,"50k-69k",IF(Workforce[[#This Row],[Salary]]&lt;90000,"70k-89k","90k+")))</f>
        <v>90k+</v>
      </c>
      <c r="M1542" t="s">
        <v>1025</v>
      </c>
      <c r="N1542">
        <f t="shared" ca="1" si="98"/>
        <v>3</v>
      </c>
      <c r="O1542" t="str">
        <f t="shared" ca="1" si="99"/>
        <v>Intermediate level</v>
      </c>
    </row>
    <row r="1543" spans="1:15" x14ac:dyDescent="0.3">
      <c r="A1543" t="s">
        <v>11027</v>
      </c>
      <c r="B1543" t="s">
        <v>11028</v>
      </c>
      <c r="C1543" t="s">
        <v>17</v>
      </c>
      <c r="D1543" t="s">
        <v>11029</v>
      </c>
      <c r="E1543" t="s">
        <v>11030</v>
      </c>
      <c r="F1543" t="s">
        <v>6556</v>
      </c>
      <c r="G1543" t="s">
        <v>11031</v>
      </c>
      <c r="H1543" t="s">
        <v>10349</v>
      </c>
      <c r="I1543">
        <f t="shared" ca="1" si="96"/>
        <v>56</v>
      </c>
      <c r="J1543" t="str">
        <f t="shared" ca="1" si="97"/>
        <v>50-59</v>
      </c>
      <c r="K1543">
        <v>47389.77</v>
      </c>
      <c r="L1543" t="str">
        <f>IF(Workforce[[#This Row],[Salary]]&lt;50000,"30k-49k",IF(Workforce[[#This Row],[Salary]]&lt;70000,"50k-69k",IF(Workforce[[#This Row],[Salary]]&lt;90000,"70k-89k","90k+")))</f>
        <v>30k-49k</v>
      </c>
      <c r="M1543" t="s">
        <v>10083</v>
      </c>
      <c r="N1543">
        <f t="shared" ca="1" si="98"/>
        <v>2</v>
      </c>
      <c r="O1543" t="str">
        <f t="shared" ca="1" si="99"/>
        <v>Beginner</v>
      </c>
    </row>
    <row r="1544" spans="1:15" x14ac:dyDescent="0.3">
      <c r="A1544" t="s">
        <v>11032</v>
      </c>
      <c r="B1544" t="s">
        <v>11033</v>
      </c>
      <c r="C1544" t="s">
        <v>79</v>
      </c>
      <c r="D1544" t="s">
        <v>11034</v>
      </c>
      <c r="E1544" t="s">
        <v>11035</v>
      </c>
      <c r="F1544" t="s">
        <v>1511</v>
      </c>
      <c r="G1544" t="s">
        <v>11036</v>
      </c>
      <c r="H1544" t="s">
        <v>11037</v>
      </c>
      <c r="I1544">
        <f t="shared" ca="1" si="96"/>
        <v>65</v>
      </c>
      <c r="J1544" t="str">
        <f t="shared" ca="1" si="97"/>
        <v>60+</v>
      </c>
      <c r="K1544">
        <v>47783.35</v>
      </c>
      <c r="L1544" t="str">
        <f>IF(Workforce[[#This Row],[Salary]]&lt;50000,"30k-49k",IF(Workforce[[#This Row],[Salary]]&lt;70000,"50k-69k",IF(Workforce[[#This Row],[Salary]]&lt;90000,"70k-89k","90k+")))</f>
        <v>30k-49k</v>
      </c>
      <c r="M1544" t="s">
        <v>11038</v>
      </c>
      <c r="N1544">
        <f t="shared" ca="1" si="98"/>
        <v>7</v>
      </c>
      <c r="O1544" t="str">
        <f t="shared" ca="1" si="99"/>
        <v>Senior level</v>
      </c>
    </row>
    <row r="1545" spans="1:15" x14ac:dyDescent="0.3">
      <c r="A1545" t="s">
        <v>11039</v>
      </c>
      <c r="B1545" t="s">
        <v>11040</v>
      </c>
      <c r="C1545" t="s">
        <v>79</v>
      </c>
      <c r="D1545" t="s">
        <v>11041</v>
      </c>
      <c r="E1545" t="s">
        <v>11042</v>
      </c>
      <c r="F1545" t="s">
        <v>6428</v>
      </c>
      <c r="G1545" t="s">
        <v>11043</v>
      </c>
      <c r="H1545" t="s">
        <v>11044</v>
      </c>
      <c r="I1545">
        <f t="shared" ca="1" si="96"/>
        <v>32</v>
      </c>
      <c r="J1545" t="str">
        <f t="shared" ca="1" si="97"/>
        <v>30-39</v>
      </c>
      <c r="K1545">
        <v>45896.9</v>
      </c>
      <c r="L1545" t="str">
        <f>IF(Workforce[[#This Row],[Salary]]&lt;50000,"30k-49k",IF(Workforce[[#This Row],[Salary]]&lt;70000,"50k-69k",IF(Workforce[[#This Row],[Salary]]&lt;90000,"70k-89k","90k+")))</f>
        <v>30k-49k</v>
      </c>
      <c r="M1545" t="s">
        <v>11045</v>
      </c>
      <c r="N1545">
        <f t="shared" ca="1" si="98"/>
        <v>9</v>
      </c>
      <c r="O1545" t="str">
        <f t="shared" ca="1" si="99"/>
        <v>Senior level</v>
      </c>
    </row>
    <row r="1546" spans="1:15" x14ac:dyDescent="0.3">
      <c r="A1546" t="s">
        <v>11046</v>
      </c>
      <c r="B1546" t="s">
        <v>11047</v>
      </c>
      <c r="C1546" t="s">
        <v>400</v>
      </c>
      <c r="D1546" t="s">
        <v>11048</v>
      </c>
      <c r="E1546" t="s">
        <v>11049</v>
      </c>
      <c r="F1546" t="s">
        <v>11050</v>
      </c>
      <c r="G1546" t="s">
        <v>11051</v>
      </c>
      <c r="H1546" t="s">
        <v>11052</v>
      </c>
      <c r="I1546">
        <f t="shared" ca="1" si="96"/>
        <v>54</v>
      </c>
      <c r="J1546" t="str">
        <f t="shared" ca="1" si="97"/>
        <v>50-59</v>
      </c>
      <c r="K1546">
        <v>77231.69</v>
      </c>
      <c r="L1546" t="str">
        <f>IF(Workforce[[#This Row],[Salary]]&lt;50000,"30k-49k",IF(Workforce[[#This Row],[Salary]]&lt;70000,"50k-69k",IF(Workforce[[#This Row],[Salary]]&lt;90000,"70k-89k","90k+")))</f>
        <v>70k-89k</v>
      </c>
      <c r="M1546" t="s">
        <v>11053</v>
      </c>
      <c r="N1546">
        <f t="shared" ca="1" si="98"/>
        <v>10</v>
      </c>
      <c r="O1546" t="str">
        <f t="shared" ca="1" si="99"/>
        <v>Senior level</v>
      </c>
    </row>
    <row r="1547" spans="1:15" x14ac:dyDescent="0.3">
      <c r="A1547" t="s">
        <v>9880</v>
      </c>
      <c r="B1547" t="s">
        <v>11054</v>
      </c>
      <c r="C1547" t="s">
        <v>326</v>
      </c>
      <c r="D1547" t="s">
        <v>11055</v>
      </c>
      <c r="E1547" t="s">
        <v>11056</v>
      </c>
      <c r="F1547" t="s">
        <v>38</v>
      </c>
      <c r="G1547" t="s">
        <v>11057</v>
      </c>
      <c r="H1547" t="s">
        <v>11058</v>
      </c>
      <c r="I1547">
        <f t="shared" ca="1" si="96"/>
        <v>48</v>
      </c>
      <c r="J1547" t="str">
        <f t="shared" ca="1" si="97"/>
        <v>40-49</v>
      </c>
      <c r="K1547">
        <v>103677.14</v>
      </c>
      <c r="L1547" t="str">
        <f>IF(Workforce[[#This Row],[Salary]]&lt;50000,"30k-49k",IF(Workforce[[#This Row],[Salary]]&lt;70000,"50k-69k",IF(Workforce[[#This Row],[Salary]]&lt;90000,"70k-89k","90k+")))</f>
        <v>90k+</v>
      </c>
      <c r="M1547" t="s">
        <v>6857</v>
      </c>
      <c r="N1547">
        <f t="shared" ca="1" si="98"/>
        <v>9</v>
      </c>
      <c r="O1547" t="str">
        <f t="shared" ca="1" si="99"/>
        <v>Senior level</v>
      </c>
    </row>
    <row r="1548" spans="1:15" x14ac:dyDescent="0.3">
      <c r="A1548" t="s">
        <v>11059</v>
      </c>
      <c r="B1548" t="s">
        <v>11060</v>
      </c>
      <c r="C1548" t="s">
        <v>133</v>
      </c>
      <c r="D1548" t="s">
        <v>11061</v>
      </c>
      <c r="E1548" t="s">
        <v>11062</v>
      </c>
      <c r="F1548" t="s">
        <v>3308</v>
      </c>
      <c r="G1548" t="s">
        <v>11063</v>
      </c>
      <c r="H1548" t="s">
        <v>11064</v>
      </c>
      <c r="I1548">
        <f t="shared" ca="1" si="96"/>
        <v>38</v>
      </c>
      <c r="J1548" t="str">
        <f t="shared" ca="1" si="97"/>
        <v>30-39</v>
      </c>
      <c r="K1548">
        <v>113752.06</v>
      </c>
      <c r="L1548" t="str">
        <f>IF(Workforce[[#This Row],[Salary]]&lt;50000,"30k-49k",IF(Workforce[[#This Row],[Salary]]&lt;70000,"50k-69k",IF(Workforce[[#This Row],[Salary]]&lt;90000,"70k-89k","90k+")))</f>
        <v>90k+</v>
      </c>
      <c r="M1548" t="s">
        <v>11065</v>
      </c>
      <c r="N1548">
        <f t="shared" ca="1" si="98"/>
        <v>3</v>
      </c>
      <c r="O1548" t="str">
        <f t="shared" ca="1" si="99"/>
        <v>Intermediate level</v>
      </c>
    </row>
    <row r="1549" spans="1:15" x14ac:dyDescent="0.3">
      <c r="A1549" t="s">
        <v>11066</v>
      </c>
      <c r="B1549" t="s">
        <v>11067</v>
      </c>
      <c r="C1549" t="s">
        <v>178</v>
      </c>
      <c r="D1549" t="s">
        <v>11068</v>
      </c>
      <c r="E1549" t="s">
        <v>11069</v>
      </c>
      <c r="F1549" t="s">
        <v>5918</v>
      </c>
      <c r="G1549" t="s">
        <v>11070</v>
      </c>
      <c r="H1549" t="s">
        <v>11071</v>
      </c>
      <c r="I1549">
        <f t="shared" ca="1" si="96"/>
        <v>50</v>
      </c>
      <c r="J1549" t="str">
        <f t="shared" ca="1" si="97"/>
        <v>50-59</v>
      </c>
      <c r="K1549">
        <v>119508.53</v>
      </c>
      <c r="L1549" t="str">
        <f>IF(Workforce[[#This Row],[Salary]]&lt;50000,"30k-49k",IF(Workforce[[#This Row],[Salary]]&lt;70000,"50k-69k",IF(Workforce[[#This Row],[Salary]]&lt;90000,"70k-89k","90k+")))</f>
        <v>90k+</v>
      </c>
      <c r="M1549" t="s">
        <v>11072</v>
      </c>
      <c r="N1549">
        <f t="shared" ca="1" si="98"/>
        <v>7</v>
      </c>
      <c r="O1549" t="str">
        <f t="shared" ca="1" si="99"/>
        <v>Senior level</v>
      </c>
    </row>
    <row r="1550" spans="1:15" x14ac:dyDescent="0.3">
      <c r="A1550" t="s">
        <v>11073</v>
      </c>
      <c r="B1550" t="s">
        <v>11074</v>
      </c>
      <c r="C1550" t="s">
        <v>317</v>
      </c>
      <c r="D1550" t="s">
        <v>11075</v>
      </c>
      <c r="E1550" t="s">
        <v>11076</v>
      </c>
      <c r="F1550" t="s">
        <v>11077</v>
      </c>
      <c r="G1550" t="s">
        <v>11078</v>
      </c>
      <c r="H1550" t="s">
        <v>11079</v>
      </c>
      <c r="I1550">
        <f t="shared" ca="1" si="96"/>
        <v>49</v>
      </c>
      <c r="J1550" t="str">
        <f t="shared" ca="1" si="97"/>
        <v>40-49</v>
      </c>
      <c r="K1550">
        <v>60515.22</v>
      </c>
      <c r="L1550" t="str">
        <f>IF(Workforce[[#This Row],[Salary]]&lt;50000,"30k-49k",IF(Workforce[[#This Row],[Salary]]&lt;70000,"50k-69k",IF(Workforce[[#This Row],[Salary]]&lt;90000,"70k-89k","90k+")))</f>
        <v>50k-69k</v>
      </c>
      <c r="M1550" t="s">
        <v>5374</v>
      </c>
      <c r="N1550">
        <f t="shared" ca="1" si="98"/>
        <v>2</v>
      </c>
      <c r="O1550" t="str">
        <f t="shared" ca="1" si="99"/>
        <v>Beginner</v>
      </c>
    </row>
    <row r="1551" spans="1:15" x14ac:dyDescent="0.3">
      <c r="A1551" t="s">
        <v>11080</v>
      </c>
      <c r="B1551" t="s">
        <v>11081</v>
      </c>
      <c r="C1551" t="s">
        <v>774</v>
      </c>
      <c r="D1551" t="s">
        <v>11082</v>
      </c>
      <c r="E1551" t="s">
        <v>11083</v>
      </c>
      <c r="F1551" t="s">
        <v>7729</v>
      </c>
      <c r="G1551" t="s">
        <v>11084</v>
      </c>
      <c r="H1551" t="s">
        <v>11085</v>
      </c>
      <c r="I1551">
        <f t="shared" ca="1" si="96"/>
        <v>38</v>
      </c>
      <c r="J1551" t="str">
        <f t="shared" ca="1" si="97"/>
        <v>30-39</v>
      </c>
      <c r="K1551">
        <v>101235</v>
      </c>
      <c r="L1551" t="str">
        <f>IF(Workforce[[#This Row],[Salary]]&lt;50000,"30k-49k",IF(Workforce[[#This Row],[Salary]]&lt;70000,"50k-69k",IF(Workforce[[#This Row],[Salary]]&lt;90000,"70k-89k","90k+")))</f>
        <v>90k+</v>
      </c>
      <c r="M1551" t="s">
        <v>11086</v>
      </c>
      <c r="N1551">
        <f t="shared" ca="1" si="98"/>
        <v>7</v>
      </c>
      <c r="O1551" t="str">
        <f t="shared" ca="1" si="99"/>
        <v>Senior level</v>
      </c>
    </row>
    <row r="1552" spans="1:15" x14ac:dyDescent="0.3">
      <c r="A1552" t="s">
        <v>11087</v>
      </c>
      <c r="B1552" t="s">
        <v>11088</v>
      </c>
      <c r="C1552" t="s">
        <v>124</v>
      </c>
      <c r="D1552" t="s">
        <v>11089</v>
      </c>
      <c r="E1552" t="s">
        <v>11090</v>
      </c>
      <c r="F1552" t="s">
        <v>2731</v>
      </c>
      <c r="G1552" t="s">
        <v>11091</v>
      </c>
      <c r="H1552" t="s">
        <v>11092</v>
      </c>
      <c r="I1552">
        <f t="shared" ca="1" si="96"/>
        <v>22</v>
      </c>
      <c r="J1552" t="str">
        <f t="shared" ca="1" si="97"/>
        <v>18-29</v>
      </c>
      <c r="K1552">
        <v>92450.1</v>
      </c>
      <c r="L1552" t="str">
        <f>IF(Workforce[[#This Row],[Salary]]&lt;50000,"30k-49k",IF(Workforce[[#This Row],[Salary]]&lt;70000,"50k-69k",IF(Workforce[[#This Row],[Salary]]&lt;90000,"70k-89k","90k+")))</f>
        <v>90k+</v>
      </c>
      <c r="M1552" t="s">
        <v>11093</v>
      </c>
      <c r="N1552">
        <f t="shared" ca="1" si="98"/>
        <v>9</v>
      </c>
      <c r="O1552" t="str">
        <f t="shared" ca="1" si="99"/>
        <v>Senior level</v>
      </c>
    </row>
    <row r="1553" spans="1:15" x14ac:dyDescent="0.3">
      <c r="A1553" t="s">
        <v>11094</v>
      </c>
      <c r="B1553" t="s">
        <v>11095</v>
      </c>
      <c r="C1553" t="s">
        <v>70</v>
      </c>
      <c r="D1553" t="s">
        <v>11096</v>
      </c>
      <c r="E1553" t="s">
        <v>11097</v>
      </c>
      <c r="F1553" t="s">
        <v>1426</v>
      </c>
      <c r="G1553" t="s">
        <v>9556</v>
      </c>
      <c r="H1553" t="s">
        <v>11098</v>
      </c>
      <c r="I1553">
        <f t="shared" ca="1" si="96"/>
        <v>44</v>
      </c>
      <c r="J1553" t="str">
        <f t="shared" ca="1" si="97"/>
        <v>40-49</v>
      </c>
      <c r="K1553">
        <v>58152.66</v>
      </c>
      <c r="L1553" t="str">
        <f>IF(Workforce[[#This Row],[Salary]]&lt;50000,"30k-49k",IF(Workforce[[#This Row],[Salary]]&lt;70000,"50k-69k",IF(Workforce[[#This Row],[Salary]]&lt;90000,"70k-89k","90k+")))</f>
        <v>50k-69k</v>
      </c>
      <c r="M1553" t="s">
        <v>11099</v>
      </c>
      <c r="N1553">
        <f t="shared" ca="1" si="98"/>
        <v>3</v>
      </c>
      <c r="O1553" t="str">
        <f t="shared" ca="1" si="99"/>
        <v>Intermediate level</v>
      </c>
    </row>
    <row r="1554" spans="1:15" x14ac:dyDescent="0.3">
      <c r="A1554" t="s">
        <v>11100</v>
      </c>
      <c r="B1554" t="s">
        <v>11101</v>
      </c>
      <c r="C1554" t="s">
        <v>151</v>
      </c>
      <c r="D1554" t="s">
        <v>11102</v>
      </c>
      <c r="E1554" t="s">
        <v>11103</v>
      </c>
      <c r="F1554" t="s">
        <v>998</v>
      </c>
      <c r="G1554" t="s">
        <v>2447</v>
      </c>
      <c r="H1554" t="s">
        <v>11104</v>
      </c>
      <c r="I1554">
        <f t="shared" ca="1" si="96"/>
        <v>22</v>
      </c>
      <c r="J1554" t="str">
        <f t="shared" ca="1" si="97"/>
        <v>18-29</v>
      </c>
      <c r="K1554">
        <v>88506.83</v>
      </c>
      <c r="L1554" t="str">
        <f>IF(Workforce[[#This Row],[Salary]]&lt;50000,"30k-49k",IF(Workforce[[#This Row],[Salary]]&lt;70000,"50k-69k",IF(Workforce[[#This Row],[Salary]]&lt;90000,"70k-89k","90k+")))</f>
        <v>70k-89k</v>
      </c>
      <c r="M1554" t="s">
        <v>11105</v>
      </c>
      <c r="N1554">
        <f t="shared" ca="1" si="98"/>
        <v>4</v>
      </c>
      <c r="O1554" t="str">
        <f t="shared" ca="1" si="99"/>
        <v>Intermediate level</v>
      </c>
    </row>
    <row r="1555" spans="1:15" x14ac:dyDescent="0.3">
      <c r="A1555" t="s">
        <v>11106</v>
      </c>
      <c r="B1555" t="s">
        <v>11107</v>
      </c>
      <c r="C1555" t="s">
        <v>995</v>
      </c>
      <c r="D1555" t="s">
        <v>11108</v>
      </c>
      <c r="E1555" t="s">
        <v>11109</v>
      </c>
      <c r="F1555" t="s">
        <v>2162</v>
      </c>
      <c r="G1555" t="s">
        <v>6371</v>
      </c>
      <c r="H1555" t="s">
        <v>11110</v>
      </c>
      <c r="I1555">
        <f t="shared" ca="1" si="96"/>
        <v>56</v>
      </c>
      <c r="J1555" t="str">
        <f t="shared" ca="1" si="97"/>
        <v>50-59</v>
      </c>
      <c r="K1555">
        <v>87424.34</v>
      </c>
      <c r="L1555" t="str">
        <f>IF(Workforce[[#This Row],[Salary]]&lt;50000,"30k-49k",IF(Workforce[[#This Row],[Salary]]&lt;70000,"50k-69k",IF(Workforce[[#This Row],[Salary]]&lt;90000,"70k-89k","90k+")))</f>
        <v>70k-89k</v>
      </c>
      <c r="M1555" t="s">
        <v>11111</v>
      </c>
      <c r="N1555">
        <f t="shared" ca="1" si="98"/>
        <v>1</v>
      </c>
      <c r="O1555" t="str">
        <f t="shared" ca="1" si="99"/>
        <v>Beginner</v>
      </c>
    </row>
    <row r="1556" spans="1:15" x14ac:dyDescent="0.3">
      <c r="A1556" t="s">
        <v>11112</v>
      </c>
      <c r="B1556" t="s">
        <v>11113</v>
      </c>
      <c r="C1556" t="s">
        <v>178</v>
      </c>
      <c r="D1556" t="s">
        <v>11114</v>
      </c>
      <c r="E1556" t="s">
        <v>11115</v>
      </c>
      <c r="F1556" t="s">
        <v>1007</v>
      </c>
      <c r="G1556" t="s">
        <v>11116</v>
      </c>
      <c r="H1556" t="s">
        <v>11117</v>
      </c>
      <c r="I1556">
        <f t="shared" ca="1" si="96"/>
        <v>47</v>
      </c>
      <c r="J1556" t="str">
        <f t="shared" ca="1" si="97"/>
        <v>40-49</v>
      </c>
      <c r="K1556">
        <v>102391.76</v>
      </c>
      <c r="L1556" t="str">
        <f>IF(Workforce[[#This Row],[Salary]]&lt;50000,"30k-49k",IF(Workforce[[#This Row],[Salary]]&lt;70000,"50k-69k",IF(Workforce[[#This Row],[Salary]]&lt;90000,"70k-89k","90k+")))</f>
        <v>90k+</v>
      </c>
      <c r="M1556" t="s">
        <v>8594</v>
      </c>
      <c r="N1556">
        <f t="shared" ca="1" si="98"/>
        <v>1</v>
      </c>
      <c r="O1556" t="str">
        <f t="shared" ca="1" si="99"/>
        <v>Beginner</v>
      </c>
    </row>
    <row r="1557" spans="1:15" x14ac:dyDescent="0.3">
      <c r="A1557" t="s">
        <v>11118</v>
      </c>
      <c r="B1557" t="s">
        <v>11119</v>
      </c>
      <c r="C1557" t="s">
        <v>539</v>
      </c>
      <c r="D1557" t="s">
        <v>11120</v>
      </c>
      <c r="E1557" t="s">
        <v>11121</v>
      </c>
      <c r="F1557" t="s">
        <v>1704</v>
      </c>
      <c r="G1557" t="s">
        <v>11122</v>
      </c>
      <c r="H1557" t="s">
        <v>11123</v>
      </c>
      <c r="I1557">
        <f t="shared" ca="1" si="96"/>
        <v>54</v>
      </c>
      <c r="J1557" t="str">
        <f t="shared" ca="1" si="97"/>
        <v>50-59</v>
      </c>
      <c r="K1557">
        <v>69093.25</v>
      </c>
      <c r="L1557" t="str">
        <f>IF(Workforce[[#This Row],[Salary]]&lt;50000,"30k-49k",IF(Workforce[[#This Row],[Salary]]&lt;70000,"50k-69k",IF(Workforce[[#This Row],[Salary]]&lt;90000,"70k-89k","90k+")))</f>
        <v>50k-69k</v>
      </c>
      <c r="M1557" t="s">
        <v>11124</v>
      </c>
      <c r="N1557">
        <f t="shared" ca="1" si="98"/>
        <v>9</v>
      </c>
      <c r="O1557" t="str">
        <f t="shared" ca="1" si="99"/>
        <v>Senior level</v>
      </c>
    </row>
    <row r="1558" spans="1:15" x14ac:dyDescent="0.3">
      <c r="A1558" t="s">
        <v>11125</v>
      </c>
      <c r="B1558" t="s">
        <v>11126</v>
      </c>
      <c r="C1558" t="s">
        <v>88</v>
      </c>
      <c r="D1558" t="s">
        <v>11127</v>
      </c>
      <c r="E1558" t="s">
        <v>11128</v>
      </c>
      <c r="F1558" t="s">
        <v>4802</v>
      </c>
      <c r="G1558" t="s">
        <v>11129</v>
      </c>
      <c r="H1558" t="s">
        <v>11130</v>
      </c>
      <c r="I1558">
        <f t="shared" ca="1" si="96"/>
        <v>34</v>
      </c>
      <c r="J1558" t="str">
        <f t="shared" ca="1" si="97"/>
        <v>30-39</v>
      </c>
      <c r="K1558">
        <v>93473.79</v>
      </c>
      <c r="L1558" t="str">
        <f>IF(Workforce[[#This Row],[Salary]]&lt;50000,"30k-49k",IF(Workforce[[#This Row],[Salary]]&lt;70000,"50k-69k",IF(Workforce[[#This Row],[Salary]]&lt;90000,"70k-89k","90k+")))</f>
        <v>90k+</v>
      </c>
      <c r="M1558" t="s">
        <v>11131</v>
      </c>
      <c r="N1558">
        <f t="shared" ca="1" si="98"/>
        <v>1</v>
      </c>
      <c r="O1558" t="str">
        <f t="shared" ca="1" si="99"/>
        <v>Beginner</v>
      </c>
    </row>
    <row r="1559" spans="1:15" x14ac:dyDescent="0.3">
      <c r="A1559" t="s">
        <v>11132</v>
      </c>
      <c r="B1559" t="s">
        <v>11133</v>
      </c>
      <c r="C1559" t="s">
        <v>151</v>
      </c>
      <c r="D1559" t="s">
        <v>11134</v>
      </c>
      <c r="E1559" t="s">
        <v>11135</v>
      </c>
      <c r="F1559" t="s">
        <v>6109</v>
      </c>
      <c r="G1559" t="s">
        <v>11136</v>
      </c>
      <c r="H1559" t="s">
        <v>11137</v>
      </c>
      <c r="I1559">
        <f t="shared" ca="1" si="96"/>
        <v>21</v>
      </c>
      <c r="J1559" t="str">
        <f t="shared" ca="1" si="97"/>
        <v>18-29</v>
      </c>
      <c r="K1559">
        <v>78382.23</v>
      </c>
      <c r="L1559" t="str">
        <f>IF(Workforce[[#This Row],[Salary]]&lt;50000,"30k-49k",IF(Workforce[[#This Row],[Salary]]&lt;70000,"50k-69k",IF(Workforce[[#This Row],[Salary]]&lt;90000,"70k-89k","90k+")))</f>
        <v>70k-89k</v>
      </c>
      <c r="M1559" t="s">
        <v>771</v>
      </c>
      <c r="N1559">
        <f t="shared" ca="1" si="98"/>
        <v>9</v>
      </c>
      <c r="O1559" t="str">
        <f t="shared" ca="1" si="99"/>
        <v>Senior level</v>
      </c>
    </row>
    <row r="1560" spans="1:15" x14ac:dyDescent="0.3">
      <c r="A1560" t="s">
        <v>11138</v>
      </c>
      <c r="B1560" t="s">
        <v>11139</v>
      </c>
      <c r="C1560" t="s">
        <v>231</v>
      </c>
      <c r="D1560" t="s">
        <v>11140</v>
      </c>
      <c r="E1560" t="s">
        <v>11141</v>
      </c>
      <c r="F1560" t="s">
        <v>5493</v>
      </c>
      <c r="G1560" t="s">
        <v>11142</v>
      </c>
      <c r="H1560" t="s">
        <v>11143</v>
      </c>
      <c r="I1560">
        <f t="shared" ca="1" si="96"/>
        <v>54</v>
      </c>
      <c r="J1560" t="str">
        <f t="shared" ca="1" si="97"/>
        <v>50-59</v>
      </c>
      <c r="K1560">
        <v>40361.47</v>
      </c>
      <c r="L1560" t="str">
        <f>IF(Workforce[[#This Row],[Salary]]&lt;50000,"30k-49k",IF(Workforce[[#This Row],[Salary]]&lt;70000,"50k-69k",IF(Workforce[[#This Row],[Salary]]&lt;90000,"70k-89k","90k+")))</f>
        <v>30k-49k</v>
      </c>
      <c r="M1560" t="s">
        <v>10547</v>
      </c>
      <c r="N1560">
        <f t="shared" ca="1" si="98"/>
        <v>4</v>
      </c>
      <c r="O1560" t="str">
        <f t="shared" ca="1" si="99"/>
        <v>Intermediate level</v>
      </c>
    </row>
    <row r="1561" spans="1:15" x14ac:dyDescent="0.3">
      <c r="A1561" t="s">
        <v>11144</v>
      </c>
      <c r="B1561" t="s">
        <v>11145</v>
      </c>
      <c r="C1561" t="s">
        <v>257</v>
      </c>
      <c r="D1561" t="s">
        <v>11146</v>
      </c>
      <c r="E1561" t="s">
        <v>11147</v>
      </c>
      <c r="F1561" t="s">
        <v>73</v>
      </c>
      <c r="G1561" t="s">
        <v>11148</v>
      </c>
      <c r="H1561" t="s">
        <v>11149</v>
      </c>
      <c r="I1561">
        <f t="shared" ca="1" si="96"/>
        <v>45</v>
      </c>
      <c r="J1561" t="str">
        <f t="shared" ca="1" si="97"/>
        <v>40-49</v>
      </c>
      <c r="K1561">
        <v>47711.82</v>
      </c>
      <c r="L1561" t="str">
        <f>IF(Workforce[[#This Row],[Salary]]&lt;50000,"30k-49k",IF(Workforce[[#This Row],[Salary]]&lt;70000,"50k-69k",IF(Workforce[[#This Row],[Salary]]&lt;90000,"70k-89k","90k+")))</f>
        <v>30k-49k</v>
      </c>
      <c r="M1561" t="s">
        <v>3952</v>
      </c>
      <c r="N1561">
        <f t="shared" ca="1" si="98"/>
        <v>9</v>
      </c>
      <c r="O1561" t="str">
        <f t="shared" ca="1" si="99"/>
        <v>Senior level</v>
      </c>
    </row>
    <row r="1562" spans="1:15" x14ac:dyDescent="0.3">
      <c r="A1562" t="s">
        <v>11150</v>
      </c>
      <c r="B1562" t="s">
        <v>11151</v>
      </c>
      <c r="C1562" t="s">
        <v>275</v>
      </c>
      <c r="D1562" t="s">
        <v>11152</v>
      </c>
      <c r="E1562" t="s">
        <v>11153</v>
      </c>
      <c r="F1562" t="s">
        <v>9070</v>
      </c>
      <c r="G1562" t="s">
        <v>11154</v>
      </c>
      <c r="H1562" t="s">
        <v>11155</v>
      </c>
      <c r="I1562">
        <f t="shared" ca="1" si="96"/>
        <v>34</v>
      </c>
      <c r="J1562" t="str">
        <f t="shared" ca="1" si="97"/>
        <v>30-39</v>
      </c>
      <c r="K1562">
        <v>92428.35</v>
      </c>
      <c r="L1562" t="str">
        <f>IF(Workforce[[#This Row],[Salary]]&lt;50000,"30k-49k",IF(Workforce[[#This Row],[Salary]]&lt;70000,"50k-69k",IF(Workforce[[#This Row],[Salary]]&lt;90000,"70k-89k","90k+")))</f>
        <v>90k+</v>
      </c>
      <c r="M1562" t="s">
        <v>11156</v>
      </c>
      <c r="N1562">
        <f t="shared" ca="1" si="98"/>
        <v>8</v>
      </c>
      <c r="O1562" t="str">
        <f t="shared" ca="1" si="99"/>
        <v>Senior level</v>
      </c>
    </row>
    <row r="1563" spans="1:15" x14ac:dyDescent="0.3">
      <c r="A1563" t="s">
        <v>11157</v>
      </c>
      <c r="B1563" t="s">
        <v>11158</v>
      </c>
      <c r="C1563" t="s">
        <v>1043</v>
      </c>
      <c r="D1563" t="s">
        <v>11159</v>
      </c>
      <c r="E1563" t="s">
        <v>11160</v>
      </c>
      <c r="F1563" t="s">
        <v>6456</v>
      </c>
      <c r="G1563" t="s">
        <v>11161</v>
      </c>
      <c r="H1563" t="s">
        <v>11162</v>
      </c>
      <c r="I1563">
        <f t="shared" ca="1" si="96"/>
        <v>46</v>
      </c>
      <c r="J1563" t="str">
        <f t="shared" ca="1" si="97"/>
        <v>40-49</v>
      </c>
      <c r="K1563">
        <v>79651.91</v>
      </c>
      <c r="L1563" t="str">
        <f>IF(Workforce[[#This Row],[Salary]]&lt;50000,"30k-49k",IF(Workforce[[#This Row],[Salary]]&lt;70000,"50k-69k",IF(Workforce[[#This Row],[Salary]]&lt;90000,"70k-89k","90k+")))</f>
        <v>70k-89k</v>
      </c>
      <c r="M1563" t="s">
        <v>11163</v>
      </c>
      <c r="N1563">
        <f t="shared" ca="1" si="98"/>
        <v>8</v>
      </c>
      <c r="O1563" t="str">
        <f t="shared" ca="1" si="99"/>
        <v>Senior level</v>
      </c>
    </row>
    <row r="1564" spans="1:15" x14ac:dyDescent="0.3">
      <c r="A1564" t="s">
        <v>11164</v>
      </c>
      <c r="B1564" t="s">
        <v>11165</v>
      </c>
      <c r="C1564" t="s">
        <v>400</v>
      </c>
      <c r="D1564" t="s">
        <v>11166</v>
      </c>
      <c r="E1564" t="s">
        <v>11167</v>
      </c>
      <c r="F1564" t="s">
        <v>11168</v>
      </c>
      <c r="G1564" t="s">
        <v>11169</v>
      </c>
      <c r="H1564" t="s">
        <v>11170</v>
      </c>
      <c r="I1564">
        <f t="shared" ca="1" si="96"/>
        <v>58</v>
      </c>
      <c r="J1564" t="str">
        <f t="shared" ca="1" si="97"/>
        <v>50-59</v>
      </c>
      <c r="K1564">
        <v>64709.18</v>
      </c>
      <c r="L1564" t="str">
        <f>IF(Workforce[[#This Row],[Salary]]&lt;50000,"30k-49k",IF(Workforce[[#This Row],[Salary]]&lt;70000,"50k-69k",IF(Workforce[[#This Row],[Salary]]&lt;90000,"70k-89k","90k+")))</f>
        <v>50k-69k</v>
      </c>
      <c r="M1564" t="s">
        <v>11171</v>
      </c>
      <c r="N1564">
        <f t="shared" ca="1" si="98"/>
        <v>6</v>
      </c>
      <c r="O1564" t="str">
        <f t="shared" ca="1" si="99"/>
        <v>Intermediate level</v>
      </c>
    </row>
    <row r="1565" spans="1:15" x14ac:dyDescent="0.3">
      <c r="A1565" t="s">
        <v>11172</v>
      </c>
      <c r="B1565" t="s">
        <v>11173</v>
      </c>
      <c r="C1565" t="s">
        <v>213</v>
      </c>
      <c r="D1565" t="s">
        <v>11174</v>
      </c>
      <c r="E1565" t="s">
        <v>11175</v>
      </c>
      <c r="F1565" t="s">
        <v>3731</v>
      </c>
      <c r="G1565" t="s">
        <v>11176</v>
      </c>
      <c r="H1565" t="s">
        <v>11177</v>
      </c>
      <c r="I1565">
        <f t="shared" ca="1" si="96"/>
        <v>25</v>
      </c>
      <c r="J1565" t="str">
        <f t="shared" ca="1" si="97"/>
        <v>18-29</v>
      </c>
      <c r="K1565">
        <v>80114.97</v>
      </c>
      <c r="L1565" t="str">
        <f>IF(Workforce[[#This Row],[Salary]]&lt;50000,"30k-49k",IF(Workforce[[#This Row],[Salary]]&lt;70000,"50k-69k",IF(Workforce[[#This Row],[Salary]]&lt;90000,"70k-89k","90k+")))</f>
        <v>70k-89k</v>
      </c>
      <c r="M1565" t="s">
        <v>11178</v>
      </c>
      <c r="N1565">
        <f t="shared" ca="1" si="98"/>
        <v>8</v>
      </c>
      <c r="O1565" t="str">
        <f t="shared" ca="1" si="99"/>
        <v>Senior level</v>
      </c>
    </row>
    <row r="1566" spans="1:15" x14ac:dyDescent="0.3">
      <c r="A1566" t="s">
        <v>11179</v>
      </c>
      <c r="B1566" t="s">
        <v>11180</v>
      </c>
      <c r="C1566" t="s">
        <v>79</v>
      </c>
      <c r="D1566" t="s">
        <v>11181</v>
      </c>
      <c r="E1566" t="s">
        <v>11182</v>
      </c>
      <c r="F1566" t="s">
        <v>11183</v>
      </c>
      <c r="G1566" t="s">
        <v>11184</v>
      </c>
      <c r="H1566" t="s">
        <v>11185</v>
      </c>
      <c r="I1566">
        <f t="shared" ca="1" si="96"/>
        <v>50</v>
      </c>
      <c r="J1566" t="str">
        <f t="shared" ca="1" si="97"/>
        <v>50-59</v>
      </c>
      <c r="K1566">
        <v>74891.42</v>
      </c>
      <c r="L1566" t="str">
        <f>IF(Workforce[[#This Row],[Salary]]&lt;50000,"30k-49k",IF(Workforce[[#This Row],[Salary]]&lt;70000,"50k-69k",IF(Workforce[[#This Row],[Salary]]&lt;90000,"70k-89k","90k+")))</f>
        <v>70k-89k</v>
      </c>
      <c r="M1566" t="s">
        <v>11186</v>
      </c>
      <c r="N1566">
        <f t="shared" ca="1" si="98"/>
        <v>6</v>
      </c>
      <c r="O1566" t="str">
        <f t="shared" ca="1" si="99"/>
        <v>Intermediate level</v>
      </c>
    </row>
    <row r="1567" spans="1:15" x14ac:dyDescent="0.3">
      <c r="A1567" t="s">
        <v>11187</v>
      </c>
      <c r="B1567" t="s">
        <v>11188</v>
      </c>
      <c r="C1567" t="s">
        <v>44</v>
      </c>
      <c r="D1567" t="s">
        <v>11189</v>
      </c>
      <c r="E1567" t="s">
        <v>11190</v>
      </c>
      <c r="F1567" t="s">
        <v>1988</v>
      </c>
      <c r="G1567" t="s">
        <v>7832</v>
      </c>
      <c r="H1567" t="s">
        <v>11191</v>
      </c>
      <c r="I1567">
        <f t="shared" ca="1" si="96"/>
        <v>64</v>
      </c>
      <c r="J1567" t="str">
        <f t="shared" ca="1" si="97"/>
        <v>60+</v>
      </c>
      <c r="K1567">
        <v>44215</v>
      </c>
      <c r="L1567" t="str">
        <f>IF(Workforce[[#This Row],[Salary]]&lt;50000,"30k-49k",IF(Workforce[[#This Row],[Salary]]&lt;70000,"50k-69k",IF(Workforce[[#This Row],[Salary]]&lt;90000,"70k-89k","90k+")))</f>
        <v>30k-49k</v>
      </c>
      <c r="M1567" t="s">
        <v>11192</v>
      </c>
      <c r="N1567">
        <f t="shared" ca="1" si="98"/>
        <v>4</v>
      </c>
      <c r="O1567" t="str">
        <f t="shared" ca="1" si="99"/>
        <v>Intermediate level</v>
      </c>
    </row>
    <row r="1568" spans="1:15" x14ac:dyDescent="0.3">
      <c r="A1568" t="s">
        <v>11193</v>
      </c>
      <c r="B1568" t="s">
        <v>11194</v>
      </c>
      <c r="C1568" t="s">
        <v>1159</v>
      </c>
      <c r="D1568" t="s">
        <v>11195</v>
      </c>
      <c r="E1568" t="s">
        <v>11196</v>
      </c>
      <c r="F1568" t="s">
        <v>6980</v>
      </c>
      <c r="G1568" t="s">
        <v>11197</v>
      </c>
      <c r="H1568" t="s">
        <v>11198</v>
      </c>
      <c r="I1568">
        <f t="shared" ca="1" si="96"/>
        <v>26</v>
      </c>
      <c r="J1568" t="str">
        <f t="shared" ca="1" si="97"/>
        <v>18-29</v>
      </c>
      <c r="K1568">
        <v>37154.980000000003</v>
      </c>
      <c r="L1568" t="str">
        <f>IF(Workforce[[#This Row],[Salary]]&lt;50000,"30k-49k",IF(Workforce[[#This Row],[Salary]]&lt;70000,"50k-69k",IF(Workforce[[#This Row],[Salary]]&lt;90000,"70k-89k","90k+")))</f>
        <v>30k-49k</v>
      </c>
      <c r="M1568" t="s">
        <v>11199</v>
      </c>
      <c r="N1568">
        <f t="shared" ca="1" si="98"/>
        <v>5</v>
      </c>
      <c r="O1568" t="str">
        <f t="shared" ca="1" si="99"/>
        <v>Intermediate level</v>
      </c>
    </row>
    <row r="1569" spans="1:15" x14ac:dyDescent="0.3">
      <c r="A1569" t="s">
        <v>11200</v>
      </c>
      <c r="B1569" t="s">
        <v>11201</v>
      </c>
      <c r="C1569" t="s">
        <v>213</v>
      </c>
      <c r="D1569" t="s">
        <v>11202</v>
      </c>
      <c r="E1569" t="s">
        <v>11203</v>
      </c>
      <c r="F1569" t="s">
        <v>1826</v>
      </c>
      <c r="G1569" t="s">
        <v>11204</v>
      </c>
      <c r="H1569" t="s">
        <v>11205</v>
      </c>
      <c r="I1569">
        <f t="shared" ca="1" si="96"/>
        <v>40</v>
      </c>
      <c r="J1569" t="str">
        <f t="shared" ca="1" si="97"/>
        <v>40-49</v>
      </c>
      <c r="K1569">
        <v>103381.68</v>
      </c>
      <c r="L1569" t="str">
        <f>IF(Workforce[[#This Row],[Salary]]&lt;50000,"30k-49k",IF(Workforce[[#This Row],[Salary]]&lt;70000,"50k-69k",IF(Workforce[[#This Row],[Salary]]&lt;90000,"70k-89k","90k+")))</f>
        <v>90k+</v>
      </c>
      <c r="M1569" t="s">
        <v>11206</v>
      </c>
      <c r="N1569">
        <f t="shared" ca="1" si="98"/>
        <v>4</v>
      </c>
      <c r="O1569" t="str">
        <f t="shared" ca="1" si="99"/>
        <v>Intermediate level</v>
      </c>
    </row>
    <row r="1570" spans="1:15" x14ac:dyDescent="0.3">
      <c r="A1570" t="s">
        <v>11207</v>
      </c>
      <c r="B1570" t="s">
        <v>11208</v>
      </c>
      <c r="C1570" t="s">
        <v>844</v>
      </c>
      <c r="D1570" t="s">
        <v>11209</v>
      </c>
      <c r="E1570" t="s">
        <v>11210</v>
      </c>
      <c r="F1570" t="s">
        <v>8689</v>
      </c>
      <c r="G1570" t="s">
        <v>2513</v>
      </c>
      <c r="H1570" t="s">
        <v>11211</v>
      </c>
      <c r="I1570">
        <f t="shared" ca="1" si="96"/>
        <v>45</v>
      </c>
      <c r="J1570" t="str">
        <f t="shared" ca="1" si="97"/>
        <v>40-49</v>
      </c>
      <c r="K1570">
        <v>30649.96</v>
      </c>
      <c r="L1570" t="str">
        <f>IF(Workforce[[#This Row],[Salary]]&lt;50000,"30k-49k",IF(Workforce[[#This Row],[Salary]]&lt;70000,"50k-69k",IF(Workforce[[#This Row],[Salary]]&lt;90000,"70k-89k","90k+")))</f>
        <v>30k-49k</v>
      </c>
      <c r="M1570" t="s">
        <v>10188</v>
      </c>
      <c r="N1570">
        <f t="shared" ca="1" si="98"/>
        <v>6</v>
      </c>
      <c r="O1570" t="str">
        <f t="shared" ca="1" si="99"/>
        <v>Intermediate level</v>
      </c>
    </row>
    <row r="1571" spans="1:15" x14ac:dyDescent="0.3">
      <c r="A1571" t="s">
        <v>11212</v>
      </c>
      <c r="B1571" t="s">
        <v>11213</v>
      </c>
      <c r="C1571" t="s">
        <v>335</v>
      </c>
      <c r="D1571" t="s">
        <v>11214</v>
      </c>
      <c r="E1571" t="s">
        <v>11215</v>
      </c>
      <c r="F1571" t="s">
        <v>1880</v>
      </c>
      <c r="G1571" t="s">
        <v>11216</v>
      </c>
      <c r="H1571" t="s">
        <v>11217</v>
      </c>
      <c r="I1571">
        <f t="shared" ca="1" si="96"/>
        <v>37</v>
      </c>
      <c r="J1571" t="str">
        <f t="shared" ca="1" si="97"/>
        <v>30-39</v>
      </c>
      <c r="K1571">
        <v>57882.46</v>
      </c>
      <c r="L1571" t="str">
        <f>IF(Workforce[[#This Row],[Salary]]&lt;50000,"30k-49k",IF(Workforce[[#This Row],[Salary]]&lt;70000,"50k-69k",IF(Workforce[[#This Row],[Salary]]&lt;90000,"70k-89k","90k+")))</f>
        <v>50k-69k</v>
      </c>
      <c r="M1571" t="s">
        <v>11218</v>
      </c>
      <c r="N1571">
        <f t="shared" ca="1" si="98"/>
        <v>1</v>
      </c>
      <c r="O1571" t="str">
        <f t="shared" ca="1" si="99"/>
        <v>Beginner</v>
      </c>
    </row>
    <row r="1572" spans="1:15" x14ac:dyDescent="0.3">
      <c r="A1572" t="s">
        <v>11219</v>
      </c>
      <c r="B1572" t="s">
        <v>11220</v>
      </c>
      <c r="C1572" t="s">
        <v>2086</v>
      </c>
      <c r="D1572" t="s">
        <v>11221</v>
      </c>
      <c r="E1572" t="s">
        <v>11222</v>
      </c>
      <c r="F1572" t="s">
        <v>4734</v>
      </c>
      <c r="G1572" t="s">
        <v>11223</v>
      </c>
      <c r="H1572" t="s">
        <v>11224</v>
      </c>
      <c r="I1572">
        <f t="shared" ca="1" si="96"/>
        <v>33</v>
      </c>
      <c r="J1572" t="str">
        <f t="shared" ca="1" si="97"/>
        <v>30-39</v>
      </c>
      <c r="K1572">
        <v>96940.35</v>
      </c>
      <c r="L1572" t="str">
        <f>IF(Workforce[[#This Row],[Salary]]&lt;50000,"30k-49k",IF(Workforce[[#This Row],[Salary]]&lt;70000,"50k-69k",IF(Workforce[[#This Row],[Salary]]&lt;90000,"70k-89k","90k+")))</f>
        <v>90k+</v>
      </c>
      <c r="M1572" t="s">
        <v>11225</v>
      </c>
      <c r="N1572">
        <f t="shared" ca="1" si="98"/>
        <v>3</v>
      </c>
      <c r="O1572" t="str">
        <f t="shared" ca="1" si="99"/>
        <v>Intermediate level</v>
      </c>
    </row>
    <row r="1573" spans="1:15" x14ac:dyDescent="0.3">
      <c r="A1573" t="s">
        <v>11226</v>
      </c>
      <c r="B1573" t="s">
        <v>11227</v>
      </c>
      <c r="C1573" t="s">
        <v>17</v>
      </c>
      <c r="D1573" t="s">
        <v>11228</v>
      </c>
      <c r="E1573" t="s">
        <v>11229</v>
      </c>
      <c r="F1573" t="s">
        <v>9178</v>
      </c>
      <c r="G1573" t="s">
        <v>3149</v>
      </c>
      <c r="H1573" t="s">
        <v>11230</v>
      </c>
      <c r="I1573">
        <f t="shared" ca="1" si="96"/>
        <v>44</v>
      </c>
      <c r="J1573" t="str">
        <f t="shared" ca="1" si="97"/>
        <v>40-49</v>
      </c>
      <c r="K1573">
        <v>93526.06</v>
      </c>
      <c r="L1573" t="str">
        <f>IF(Workforce[[#This Row],[Salary]]&lt;50000,"30k-49k",IF(Workforce[[#This Row],[Salary]]&lt;70000,"50k-69k",IF(Workforce[[#This Row],[Salary]]&lt;90000,"70k-89k","90k+")))</f>
        <v>90k+</v>
      </c>
      <c r="M1573" t="s">
        <v>11231</v>
      </c>
      <c r="N1573">
        <f t="shared" ca="1" si="98"/>
        <v>9</v>
      </c>
      <c r="O1573" t="str">
        <f t="shared" ca="1" si="99"/>
        <v>Senior level</v>
      </c>
    </row>
    <row r="1574" spans="1:15" x14ac:dyDescent="0.3">
      <c r="A1574" t="s">
        <v>11232</v>
      </c>
      <c r="B1574" t="s">
        <v>11233</v>
      </c>
      <c r="C1574" t="s">
        <v>187</v>
      </c>
      <c r="D1574" t="s">
        <v>11234</v>
      </c>
      <c r="E1574" t="s">
        <v>11235</v>
      </c>
      <c r="F1574" t="s">
        <v>8891</v>
      </c>
      <c r="G1574" t="s">
        <v>11236</v>
      </c>
      <c r="H1574" t="s">
        <v>11237</v>
      </c>
      <c r="I1574">
        <f t="shared" ca="1" si="96"/>
        <v>58</v>
      </c>
      <c r="J1574" t="str">
        <f t="shared" ca="1" si="97"/>
        <v>50-59</v>
      </c>
      <c r="K1574">
        <v>88577.23</v>
      </c>
      <c r="L1574" t="str">
        <f>IF(Workforce[[#This Row],[Salary]]&lt;50000,"30k-49k",IF(Workforce[[#This Row],[Salary]]&lt;70000,"50k-69k",IF(Workforce[[#This Row],[Salary]]&lt;90000,"70k-89k","90k+")))</f>
        <v>70k-89k</v>
      </c>
      <c r="M1574" t="s">
        <v>9905</v>
      </c>
      <c r="N1574">
        <f t="shared" ca="1" si="98"/>
        <v>3</v>
      </c>
      <c r="O1574" t="str">
        <f t="shared" ca="1" si="99"/>
        <v>Intermediate level</v>
      </c>
    </row>
    <row r="1575" spans="1:15" x14ac:dyDescent="0.3">
      <c r="A1575" t="s">
        <v>11238</v>
      </c>
      <c r="B1575" t="s">
        <v>11239</v>
      </c>
      <c r="C1575" t="s">
        <v>774</v>
      </c>
      <c r="D1575" t="s">
        <v>11240</v>
      </c>
      <c r="E1575" t="s">
        <v>11241</v>
      </c>
      <c r="F1575" t="s">
        <v>7071</v>
      </c>
      <c r="G1575" t="s">
        <v>11242</v>
      </c>
      <c r="H1575" t="s">
        <v>7584</v>
      </c>
      <c r="I1575">
        <f t="shared" ca="1" si="96"/>
        <v>44</v>
      </c>
      <c r="J1575" t="str">
        <f t="shared" ca="1" si="97"/>
        <v>40-49</v>
      </c>
      <c r="K1575">
        <v>88854.32</v>
      </c>
      <c r="L1575" t="str">
        <f>IF(Workforce[[#This Row],[Salary]]&lt;50000,"30k-49k",IF(Workforce[[#This Row],[Salary]]&lt;70000,"50k-69k",IF(Workforce[[#This Row],[Salary]]&lt;90000,"70k-89k","90k+")))</f>
        <v>70k-89k</v>
      </c>
      <c r="M1575" t="s">
        <v>11243</v>
      </c>
      <c r="N1575">
        <f t="shared" ca="1" si="98"/>
        <v>7</v>
      </c>
      <c r="O1575" t="str">
        <f t="shared" ca="1" si="99"/>
        <v>Senior level</v>
      </c>
    </row>
    <row r="1576" spans="1:15" x14ac:dyDescent="0.3">
      <c r="A1576" t="s">
        <v>11244</v>
      </c>
      <c r="B1576" t="s">
        <v>11245</v>
      </c>
      <c r="C1576" t="s">
        <v>44</v>
      </c>
      <c r="D1576" t="s">
        <v>11246</v>
      </c>
      <c r="E1576" t="s">
        <v>11247</v>
      </c>
      <c r="F1576" t="s">
        <v>2864</v>
      </c>
      <c r="G1576" t="s">
        <v>11248</v>
      </c>
      <c r="H1576" t="s">
        <v>11249</v>
      </c>
      <c r="I1576">
        <f t="shared" ca="1" si="96"/>
        <v>62</v>
      </c>
      <c r="J1576" t="str">
        <f t="shared" ca="1" si="97"/>
        <v>60+</v>
      </c>
      <c r="K1576">
        <v>58805.72</v>
      </c>
      <c r="L1576" t="str">
        <f>IF(Workforce[[#This Row],[Salary]]&lt;50000,"30k-49k",IF(Workforce[[#This Row],[Salary]]&lt;70000,"50k-69k",IF(Workforce[[#This Row],[Salary]]&lt;90000,"70k-89k","90k+")))</f>
        <v>50k-69k</v>
      </c>
      <c r="M1576" t="s">
        <v>8587</v>
      </c>
      <c r="N1576">
        <f t="shared" ca="1" si="98"/>
        <v>9</v>
      </c>
      <c r="O1576" t="str">
        <f t="shared" ca="1" si="99"/>
        <v>Senior level</v>
      </c>
    </row>
    <row r="1577" spans="1:15" x14ac:dyDescent="0.3">
      <c r="A1577" t="s">
        <v>11250</v>
      </c>
      <c r="B1577" t="s">
        <v>11251</v>
      </c>
      <c r="C1577" t="s">
        <v>457</v>
      </c>
      <c r="D1577" t="s">
        <v>11252</v>
      </c>
      <c r="E1577" t="s">
        <v>11253</v>
      </c>
      <c r="F1577" t="s">
        <v>6980</v>
      </c>
      <c r="G1577" t="s">
        <v>11254</v>
      </c>
      <c r="H1577" t="s">
        <v>11255</v>
      </c>
      <c r="I1577">
        <f t="shared" ca="1" si="96"/>
        <v>27</v>
      </c>
      <c r="J1577" t="str">
        <f t="shared" ca="1" si="97"/>
        <v>18-29</v>
      </c>
      <c r="K1577">
        <v>37846.54</v>
      </c>
      <c r="L1577" t="str">
        <f>IF(Workforce[[#This Row],[Salary]]&lt;50000,"30k-49k",IF(Workforce[[#This Row],[Salary]]&lt;70000,"50k-69k",IF(Workforce[[#This Row],[Salary]]&lt;90000,"70k-89k","90k+")))</f>
        <v>30k-49k</v>
      </c>
      <c r="M1577" t="s">
        <v>3209</v>
      </c>
      <c r="N1577">
        <f t="shared" ca="1" si="98"/>
        <v>3</v>
      </c>
      <c r="O1577" t="str">
        <f t="shared" ca="1" si="99"/>
        <v>Intermediate level</v>
      </c>
    </row>
    <row r="1578" spans="1:15" x14ac:dyDescent="0.3">
      <c r="A1578" t="s">
        <v>11256</v>
      </c>
      <c r="B1578" t="s">
        <v>11257</v>
      </c>
      <c r="C1578" t="s">
        <v>240</v>
      </c>
      <c r="D1578" t="s">
        <v>11258</v>
      </c>
      <c r="E1578" t="s">
        <v>11259</v>
      </c>
      <c r="F1578" t="s">
        <v>1343</v>
      </c>
      <c r="G1578" t="s">
        <v>11260</v>
      </c>
      <c r="H1578" t="s">
        <v>11261</v>
      </c>
      <c r="I1578">
        <f t="shared" ca="1" si="96"/>
        <v>55</v>
      </c>
      <c r="J1578" t="str">
        <f t="shared" ca="1" si="97"/>
        <v>50-59</v>
      </c>
      <c r="K1578">
        <v>94370.02</v>
      </c>
      <c r="L1578" t="str">
        <f>IF(Workforce[[#This Row],[Salary]]&lt;50000,"30k-49k",IF(Workforce[[#This Row],[Salary]]&lt;70000,"50k-69k",IF(Workforce[[#This Row],[Salary]]&lt;90000,"70k-89k","90k+")))</f>
        <v>90k+</v>
      </c>
      <c r="M1578" t="s">
        <v>11262</v>
      </c>
      <c r="N1578">
        <f t="shared" ca="1" si="98"/>
        <v>1</v>
      </c>
      <c r="O1578" t="str">
        <f t="shared" ca="1" si="99"/>
        <v>Beginner</v>
      </c>
    </row>
    <row r="1579" spans="1:15" x14ac:dyDescent="0.3">
      <c r="A1579" t="s">
        <v>11263</v>
      </c>
      <c r="B1579" t="s">
        <v>11264</v>
      </c>
      <c r="C1579" t="s">
        <v>995</v>
      </c>
      <c r="D1579" t="s">
        <v>11265</v>
      </c>
      <c r="E1579" t="s">
        <v>11266</v>
      </c>
      <c r="F1579" t="s">
        <v>4286</v>
      </c>
      <c r="G1579" t="s">
        <v>11267</v>
      </c>
      <c r="H1579" t="s">
        <v>10123</v>
      </c>
      <c r="I1579">
        <f t="shared" ca="1" si="96"/>
        <v>38</v>
      </c>
      <c r="J1579" t="str">
        <f t="shared" ca="1" si="97"/>
        <v>30-39</v>
      </c>
      <c r="K1579">
        <v>73870.11</v>
      </c>
      <c r="L1579" t="str">
        <f>IF(Workforce[[#This Row],[Salary]]&lt;50000,"30k-49k",IF(Workforce[[#This Row],[Salary]]&lt;70000,"50k-69k",IF(Workforce[[#This Row],[Salary]]&lt;90000,"70k-89k","90k+")))</f>
        <v>70k-89k</v>
      </c>
      <c r="M1579" t="s">
        <v>11268</v>
      </c>
      <c r="N1579">
        <f t="shared" ca="1" si="98"/>
        <v>5</v>
      </c>
      <c r="O1579" t="str">
        <f t="shared" ca="1" si="99"/>
        <v>Intermediate level</v>
      </c>
    </row>
    <row r="1580" spans="1:15" x14ac:dyDescent="0.3">
      <c r="A1580" t="s">
        <v>11269</v>
      </c>
      <c r="B1580" t="s">
        <v>11270</v>
      </c>
      <c r="C1580" t="s">
        <v>1159</v>
      </c>
      <c r="D1580" t="s">
        <v>11271</v>
      </c>
      <c r="E1580" t="s">
        <v>11272</v>
      </c>
      <c r="F1580" t="s">
        <v>11273</v>
      </c>
      <c r="G1580" t="s">
        <v>11274</v>
      </c>
      <c r="H1580" t="s">
        <v>11275</v>
      </c>
      <c r="I1580">
        <f t="shared" ca="1" si="96"/>
        <v>54</v>
      </c>
      <c r="J1580" t="str">
        <f t="shared" ca="1" si="97"/>
        <v>50-59</v>
      </c>
      <c r="K1580">
        <v>68091.67</v>
      </c>
      <c r="L1580" t="str">
        <f>IF(Workforce[[#This Row],[Salary]]&lt;50000,"30k-49k",IF(Workforce[[#This Row],[Salary]]&lt;70000,"50k-69k",IF(Workforce[[#This Row],[Salary]]&lt;90000,"70k-89k","90k+")))</f>
        <v>50k-69k</v>
      </c>
      <c r="M1580" t="s">
        <v>11276</v>
      </c>
      <c r="N1580">
        <f t="shared" ca="1" si="98"/>
        <v>8</v>
      </c>
      <c r="O1580" t="str">
        <f t="shared" ca="1" si="99"/>
        <v>Senior level</v>
      </c>
    </row>
    <row r="1581" spans="1:15" x14ac:dyDescent="0.3">
      <c r="A1581" t="s">
        <v>11277</v>
      </c>
      <c r="B1581" t="s">
        <v>11278</v>
      </c>
      <c r="C1581" t="s">
        <v>266</v>
      </c>
      <c r="D1581" t="s">
        <v>11279</v>
      </c>
      <c r="E1581" t="s">
        <v>11280</v>
      </c>
      <c r="F1581" t="s">
        <v>2760</v>
      </c>
      <c r="G1581" t="s">
        <v>11281</v>
      </c>
      <c r="H1581" t="s">
        <v>11282</v>
      </c>
      <c r="I1581">
        <f t="shared" ca="1" si="96"/>
        <v>44</v>
      </c>
      <c r="J1581" t="str">
        <f t="shared" ca="1" si="97"/>
        <v>40-49</v>
      </c>
      <c r="K1581">
        <v>101140.54</v>
      </c>
      <c r="L1581" t="str">
        <f>IF(Workforce[[#This Row],[Salary]]&lt;50000,"30k-49k",IF(Workforce[[#This Row],[Salary]]&lt;70000,"50k-69k",IF(Workforce[[#This Row],[Salary]]&lt;90000,"70k-89k","90k+")))</f>
        <v>90k+</v>
      </c>
      <c r="M1581" t="s">
        <v>11283</v>
      </c>
      <c r="N1581">
        <f t="shared" ca="1" si="98"/>
        <v>2</v>
      </c>
      <c r="O1581" t="str">
        <f t="shared" ca="1" si="99"/>
        <v>Beginner</v>
      </c>
    </row>
    <row r="1582" spans="1:15" x14ac:dyDescent="0.3">
      <c r="A1582" t="s">
        <v>11284</v>
      </c>
      <c r="B1582" t="s">
        <v>11285</v>
      </c>
      <c r="C1582" t="s">
        <v>539</v>
      </c>
      <c r="D1582" t="s">
        <v>11286</v>
      </c>
      <c r="E1582" t="s">
        <v>11287</v>
      </c>
      <c r="F1582" t="s">
        <v>3272</v>
      </c>
      <c r="G1582" t="s">
        <v>11288</v>
      </c>
      <c r="H1582" t="s">
        <v>11289</v>
      </c>
      <c r="I1582">
        <f t="shared" ca="1" si="96"/>
        <v>63</v>
      </c>
      <c r="J1582" t="str">
        <f t="shared" ca="1" si="97"/>
        <v>60+</v>
      </c>
      <c r="K1582">
        <v>66033.009999999995</v>
      </c>
      <c r="L1582" t="str">
        <f>IF(Workforce[[#This Row],[Salary]]&lt;50000,"30k-49k",IF(Workforce[[#This Row],[Salary]]&lt;70000,"50k-69k",IF(Workforce[[#This Row],[Salary]]&lt;90000,"70k-89k","90k+")))</f>
        <v>50k-69k</v>
      </c>
      <c r="M1582" t="s">
        <v>7082</v>
      </c>
      <c r="N1582">
        <f t="shared" ca="1" si="98"/>
        <v>10</v>
      </c>
      <c r="O1582" t="str">
        <f t="shared" ca="1" si="99"/>
        <v>Senior level</v>
      </c>
    </row>
    <row r="1583" spans="1:15" x14ac:dyDescent="0.3">
      <c r="A1583" t="s">
        <v>11290</v>
      </c>
      <c r="B1583" t="s">
        <v>11291</v>
      </c>
      <c r="C1583" t="s">
        <v>653</v>
      </c>
      <c r="D1583" t="s">
        <v>11292</v>
      </c>
      <c r="E1583" t="s">
        <v>11293</v>
      </c>
      <c r="F1583" t="s">
        <v>2154</v>
      </c>
      <c r="G1583" t="s">
        <v>11294</v>
      </c>
      <c r="H1583" t="s">
        <v>11295</v>
      </c>
      <c r="I1583">
        <f t="shared" ca="1" si="96"/>
        <v>31</v>
      </c>
      <c r="J1583" t="str">
        <f t="shared" ca="1" si="97"/>
        <v>30-39</v>
      </c>
      <c r="K1583">
        <v>84862.57</v>
      </c>
      <c r="L1583" t="str">
        <f>IF(Workforce[[#This Row],[Salary]]&lt;50000,"30k-49k",IF(Workforce[[#This Row],[Salary]]&lt;70000,"50k-69k",IF(Workforce[[#This Row],[Salary]]&lt;90000,"70k-89k","90k+")))</f>
        <v>70k-89k</v>
      </c>
      <c r="M1583" t="s">
        <v>11296</v>
      </c>
      <c r="N1583">
        <f t="shared" ca="1" si="98"/>
        <v>8</v>
      </c>
      <c r="O1583" t="str">
        <f t="shared" ca="1" si="99"/>
        <v>Senior level</v>
      </c>
    </row>
    <row r="1584" spans="1:15" x14ac:dyDescent="0.3">
      <c r="A1584" t="s">
        <v>11297</v>
      </c>
      <c r="B1584" t="s">
        <v>11298</v>
      </c>
      <c r="C1584" t="s">
        <v>774</v>
      </c>
      <c r="D1584" t="s">
        <v>11299</v>
      </c>
      <c r="E1584" t="s">
        <v>11300</v>
      </c>
      <c r="F1584" t="s">
        <v>9070</v>
      </c>
      <c r="G1584" t="s">
        <v>11301</v>
      </c>
      <c r="H1584" t="s">
        <v>11302</v>
      </c>
      <c r="I1584">
        <f t="shared" ca="1" si="96"/>
        <v>35</v>
      </c>
      <c r="J1584" t="str">
        <f t="shared" ca="1" si="97"/>
        <v>30-39</v>
      </c>
      <c r="K1584">
        <v>49392.76</v>
      </c>
      <c r="L1584" t="str">
        <f>IF(Workforce[[#This Row],[Salary]]&lt;50000,"30k-49k",IF(Workforce[[#This Row],[Salary]]&lt;70000,"50k-69k",IF(Workforce[[#This Row],[Salary]]&lt;90000,"70k-89k","90k+")))</f>
        <v>30k-49k</v>
      </c>
      <c r="M1584" t="s">
        <v>130</v>
      </c>
      <c r="N1584">
        <f t="shared" ca="1" si="98"/>
        <v>1</v>
      </c>
      <c r="O1584" t="str">
        <f t="shared" ca="1" si="99"/>
        <v>Beginner</v>
      </c>
    </row>
    <row r="1585" spans="1:15" x14ac:dyDescent="0.3">
      <c r="A1585" t="s">
        <v>11303</v>
      </c>
      <c r="B1585" t="s">
        <v>11304</v>
      </c>
      <c r="C1585" t="s">
        <v>106</v>
      </c>
      <c r="D1585" t="s">
        <v>11305</v>
      </c>
      <c r="E1585" t="s">
        <v>11306</v>
      </c>
      <c r="F1585" t="s">
        <v>5493</v>
      </c>
      <c r="G1585" t="s">
        <v>11307</v>
      </c>
      <c r="H1585" t="s">
        <v>11308</v>
      </c>
      <c r="I1585">
        <f t="shared" ca="1" si="96"/>
        <v>46</v>
      </c>
      <c r="J1585" t="str">
        <f t="shared" ca="1" si="97"/>
        <v>40-49</v>
      </c>
      <c r="K1585">
        <v>93840.05</v>
      </c>
      <c r="L1585" t="str">
        <f>IF(Workforce[[#This Row],[Salary]]&lt;50000,"30k-49k",IF(Workforce[[#This Row],[Salary]]&lt;70000,"50k-69k",IF(Workforce[[#This Row],[Salary]]&lt;90000,"70k-89k","90k+")))</f>
        <v>90k+</v>
      </c>
      <c r="M1585" t="s">
        <v>41</v>
      </c>
      <c r="N1585">
        <f t="shared" ca="1" si="98"/>
        <v>6</v>
      </c>
      <c r="O1585" t="str">
        <f t="shared" ca="1" si="99"/>
        <v>Intermediate level</v>
      </c>
    </row>
    <row r="1586" spans="1:15" x14ac:dyDescent="0.3">
      <c r="A1586" t="s">
        <v>11309</v>
      </c>
      <c r="B1586" t="s">
        <v>11310</v>
      </c>
      <c r="C1586" t="s">
        <v>440</v>
      </c>
      <c r="D1586" t="s">
        <v>11311</v>
      </c>
      <c r="E1586" t="s">
        <v>11312</v>
      </c>
      <c r="F1586" t="s">
        <v>5394</v>
      </c>
      <c r="G1586" t="s">
        <v>11313</v>
      </c>
      <c r="H1586" t="s">
        <v>11314</v>
      </c>
      <c r="I1586">
        <f t="shared" ca="1" si="96"/>
        <v>66</v>
      </c>
      <c r="J1586" t="str">
        <f t="shared" ca="1" si="97"/>
        <v>60+</v>
      </c>
      <c r="K1586">
        <v>91525.08</v>
      </c>
      <c r="L1586" t="str">
        <f>IF(Workforce[[#This Row],[Salary]]&lt;50000,"30k-49k",IF(Workforce[[#This Row],[Salary]]&lt;70000,"50k-69k",IF(Workforce[[#This Row],[Salary]]&lt;90000,"70k-89k","90k+")))</f>
        <v>90k+</v>
      </c>
      <c r="M1586" t="s">
        <v>11315</v>
      </c>
      <c r="N1586">
        <f t="shared" ca="1" si="98"/>
        <v>4</v>
      </c>
      <c r="O1586" t="str">
        <f t="shared" ca="1" si="99"/>
        <v>Intermediate level</v>
      </c>
    </row>
    <row r="1587" spans="1:15" x14ac:dyDescent="0.3">
      <c r="A1587" t="s">
        <v>11316</v>
      </c>
      <c r="B1587" t="s">
        <v>11317</v>
      </c>
      <c r="C1587" t="s">
        <v>757</v>
      </c>
      <c r="D1587" t="s">
        <v>11318</v>
      </c>
      <c r="E1587" t="s">
        <v>11319</v>
      </c>
      <c r="F1587" t="s">
        <v>2953</v>
      </c>
      <c r="G1587" t="s">
        <v>11320</v>
      </c>
      <c r="H1587" t="s">
        <v>11321</v>
      </c>
      <c r="I1587">
        <f t="shared" ca="1" si="96"/>
        <v>47</v>
      </c>
      <c r="J1587" t="str">
        <f t="shared" ca="1" si="97"/>
        <v>40-49</v>
      </c>
      <c r="K1587">
        <v>95100.38</v>
      </c>
      <c r="L1587" t="str">
        <f>IF(Workforce[[#This Row],[Salary]]&lt;50000,"30k-49k",IF(Workforce[[#This Row],[Salary]]&lt;70000,"50k-69k",IF(Workforce[[#This Row],[Salary]]&lt;90000,"70k-89k","90k+")))</f>
        <v>90k+</v>
      </c>
      <c r="M1587" t="s">
        <v>11322</v>
      </c>
      <c r="N1587">
        <f t="shared" ca="1" si="98"/>
        <v>2</v>
      </c>
      <c r="O1587" t="str">
        <f t="shared" ca="1" si="99"/>
        <v>Beginner</v>
      </c>
    </row>
    <row r="1588" spans="1:15" x14ac:dyDescent="0.3">
      <c r="A1588" t="s">
        <v>11323</v>
      </c>
      <c r="B1588" t="s">
        <v>11324</v>
      </c>
      <c r="C1588" t="s">
        <v>35</v>
      </c>
      <c r="D1588" t="s">
        <v>11325</v>
      </c>
      <c r="E1588" t="s">
        <v>11326</v>
      </c>
      <c r="F1588" t="s">
        <v>1795</v>
      </c>
      <c r="G1588" t="s">
        <v>11327</v>
      </c>
      <c r="H1588" t="s">
        <v>11328</v>
      </c>
      <c r="I1588">
        <f t="shared" ca="1" si="96"/>
        <v>43</v>
      </c>
      <c r="J1588" t="str">
        <f t="shared" ca="1" si="97"/>
        <v>40-49</v>
      </c>
      <c r="K1588">
        <v>46655.01</v>
      </c>
      <c r="L1588" t="str">
        <f>IF(Workforce[[#This Row],[Salary]]&lt;50000,"30k-49k",IF(Workforce[[#This Row],[Salary]]&lt;70000,"50k-69k",IF(Workforce[[#This Row],[Salary]]&lt;90000,"70k-89k","90k+")))</f>
        <v>30k-49k</v>
      </c>
      <c r="M1588" t="s">
        <v>11329</v>
      </c>
      <c r="N1588">
        <f t="shared" ca="1" si="98"/>
        <v>9</v>
      </c>
      <c r="O1588" t="str">
        <f t="shared" ca="1" si="99"/>
        <v>Senior level</v>
      </c>
    </row>
    <row r="1589" spans="1:15" x14ac:dyDescent="0.3">
      <c r="A1589" t="s">
        <v>11330</v>
      </c>
      <c r="B1589" t="s">
        <v>11331</v>
      </c>
      <c r="C1589" t="s">
        <v>169</v>
      </c>
      <c r="D1589" t="s">
        <v>11332</v>
      </c>
      <c r="E1589" t="s">
        <v>11333</v>
      </c>
      <c r="F1589" t="s">
        <v>73</v>
      </c>
      <c r="G1589" t="s">
        <v>2894</v>
      </c>
      <c r="H1589" t="s">
        <v>11334</v>
      </c>
      <c r="I1589">
        <f t="shared" ca="1" si="96"/>
        <v>47</v>
      </c>
      <c r="J1589" t="str">
        <f t="shared" ca="1" si="97"/>
        <v>40-49</v>
      </c>
      <c r="K1589">
        <v>50381.24</v>
      </c>
      <c r="L1589" t="str">
        <f>IF(Workforce[[#This Row],[Salary]]&lt;50000,"30k-49k",IF(Workforce[[#This Row],[Salary]]&lt;70000,"50k-69k",IF(Workforce[[#This Row],[Salary]]&lt;90000,"70k-89k","90k+")))</f>
        <v>50k-69k</v>
      </c>
      <c r="M1589" t="s">
        <v>689</v>
      </c>
      <c r="N1589">
        <f t="shared" ca="1" si="98"/>
        <v>6</v>
      </c>
      <c r="O1589" t="str">
        <f t="shared" ca="1" si="99"/>
        <v>Intermediate level</v>
      </c>
    </row>
    <row r="1590" spans="1:15" x14ac:dyDescent="0.3">
      <c r="A1590" t="s">
        <v>11335</v>
      </c>
      <c r="B1590" t="s">
        <v>11336</v>
      </c>
      <c r="C1590" t="s">
        <v>2086</v>
      </c>
      <c r="D1590" t="s">
        <v>11337</v>
      </c>
      <c r="E1590" t="s">
        <v>11338</v>
      </c>
      <c r="F1590" t="s">
        <v>345</v>
      </c>
      <c r="G1590" t="s">
        <v>11339</v>
      </c>
      <c r="H1590" t="s">
        <v>11340</v>
      </c>
      <c r="I1590">
        <f t="shared" ca="1" si="96"/>
        <v>36</v>
      </c>
      <c r="J1590" t="str">
        <f t="shared" ca="1" si="97"/>
        <v>30-39</v>
      </c>
      <c r="K1590">
        <v>85370.55</v>
      </c>
      <c r="L1590" t="str">
        <f>IF(Workforce[[#This Row],[Salary]]&lt;50000,"30k-49k",IF(Workforce[[#This Row],[Salary]]&lt;70000,"50k-69k",IF(Workforce[[#This Row],[Salary]]&lt;90000,"70k-89k","90k+")))</f>
        <v>70k-89k</v>
      </c>
      <c r="M1590" t="s">
        <v>11341</v>
      </c>
      <c r="N1590">
        <f t="shared" ca="1" si="98"/>
        <v>7</v>
      </c>
      <c r="O1590" t="str">
        <f t="shared" ca="1" si="99"/>
        <v>Senior level</v>
      </c>
    </row>
    <row r="1591" spans="1:15" x14ac:dyDescent="0.3">
      <c r="A1591" t="s">
        <v>11342</v>
      </c>
      <c r="B1591" t="s">
        <v>11343</v>
      </c>
      <c r="C1591" t="s">
        <v>178</v>
      </c>
      <c r="D1591" t="s">
        <v>11344</v>
      </c>
      <c r="E1591" t="s">
        <v>11345</v>
      </c>
      <c r="F1591" t="s">
        <v>1841</v>
      </c>
      <c r="G1591" t="s">
        <v>11346</v>
      </c>
      <c r="H1591" t="s">
        <v>11347</v>
      </c>
      <c r="I1591">
        <f t="shared" ca="1" si="96"/>
        <v>45</v>
      </c>
      <c r="J1591" t="str">
        <f t="shared" ca="1" si="97"/>
        <v>40-49</v>
      </c>
      <c r="K1591">
        <v>36836.699999999997</v>
      </c>
      <c r="L1591" t="str">
        <f>IF(Workforce[[#This Row],[Salary]]&lt;50000,"30k-49k",IF(Workforce[[#This Row],[Salary]]&lt;70000,"50k-69k",IF(Workforce[[#This Row],[Salary]]&lt;90000,"70k-89k","90k+")))</f>
        <v>30k-49k</v>
      </c>
      <c r="M1591" t="s">
        <v>11348</v>
      </c>
      <c r="N1591">
        <f t="shared" ca="1" si="98"/>
        <v>7</v>
      </c>
      <c r="O1591" t="str">
        <f t="shared" ca="1" si="99"/>
        <v>Senior level</v>
      </c>
    </row>
    <row r="1592" spans="1:15" x14ac:dyDescent="0.3">
      <c r="A1592" t="s">
        <v>11349</v>
      </c>
      <c r="B1592" t="s">
        <v>11350</v>
      </c>
      <c r="C1592" t="s">
        <v>17</v>
      </c>
      <c r="D1592" t="s">
        <v>11351</v>
      </c>
      <c r="E1592" t="s">
        <v>11352</v>
      </c>
      <c r="F1592" t="s">
        <v>5559</v>
      </c>
      <c r="G1592" t="s">
        <v>11353</v>
      </c>
      <c r="H1592" t="s">
        <v>11354</v>
      </c>
      <c r="I1592">
        <f t="shared" ca="1" si="96"/>
        <v>49</v>
      </c>
      <c r="J1592" t="str">
        <f t="shared" ca="1" si="97"/>
        <v>40-49</v>
      </c>
      <c r="K1592">
        <v>54848.34</v>
      </c>
      <c r="L1592" t="str">
        <f>IF(Workforce[[#This Row],[Salary]]&lt;50000,"30k-49k",IF(Workforce[[#This Row],[Salary]]&lt;70000,"50k-69k",IF(Workforce[[#This Row],[Salary]]&lt;90000,"70k-89k","90k+")))</f>
        <v>50k-69k</v>
      </c>
      <c r="M1592" t="s">
        <v>4700</v>
      </c>
      <c r="N1592">
        <f t="shared" ca="1" si="98"/>
        <v>2</v>
      </c>
      <c r="O1592" t="str">
        <f t="shared" ca="1" si="99"/>
        <v>Beginner</v>
      </c>
    </row>
    <row r="1593" spans="1:15" x14ac:dyDescent="0.3">
      <c r="A1593" t="s">
        <v>5997</v>
      </c>
      <c r="B1593" t="s">
        <v>11355</v>
      </c>
      <c r="C1593" t="s">
        <v>79</v>
      </c>
      <c r="D1593" t="s">
        <v>11356</v>
      </c>
      <c r="E1593" t="s">
        <v>11357</v>
      </c>
      <c r="F1593" t="s">
        <v>443</v>
      </c>
      <c r="G1593" t="s">
        <v>11358</v>
      </c>
      <c r="H1593" t="s">
        <v>11359</v>
      </c>
      <c r="I1593">
        <f t="shared" ca="1" si="96"/>
        <v>43</v>
      </c>
      <c r="J1593" t="str">
        <f t="shared" ca="1" si="97"/>
        <v>40-49</v>
      </c>
      <c r="K1593">
        <v>93288.320000000007</v>
      </c>
      <c r="L1593" t="str">
        <f>IF(Workforce[[#This Row],[Salary]]&lt;50000,"30k-49k",IF(Workforce[[#This Row],[Salary]]&lt;70000,"50k-69k",IF(Workforce[[#This Row],[Salary]]&lt;90000,"70k-89k","90k+")))</f>
        <v>90k+</v>
      </c>
      <c r="M1593" t="s">
        <v>11360</v>
      </c>
      <c r="N1593">
        <f t="shared" ca="1" si="98"/>
        <v>4</v>
      </c>
      <c r="O1593" t="str">
        <f t="shared" ca="1" si="99"/>
        <v>Intermediate level</v>
      </c>
    </row>
    <row r="1594" spans="1:15" x14ac:dyDescent="0.3">
      <c r="A1594" t="s">
        <v>11361</v>
      </c>
      <c r="B1594" t="s">
        <v>11362</v>
      </c>
      <c r="C1594" t="s">
        <v>26</v>
      </c>
      <c r="D1594" t="s">
        <v>11363</v>
      </c>
      <c r="E1594" t="s">
        <v>11364</v>
      </c>
      <c r="F1594" t="s">
        <v>5053</v>
      </c>
      <c r="G1594" t="s">
        <v>11365</v>
      </c>
      <c r="H1594" t="s">
        <v>11366</v>
      </c>
      <c r="I1594">
        <f t="shared" ca="1" si="96"/>
        <v>66</v>
      </c>
      <c r="J1594" t="str">
        <f t="shared" ca="1" si="97"/>
        <v>60+</v>
      </c>
      <c r="K1594">
        <v>56289.5</v>
      </c>
      <c r="L1594" t="str">
        <f>IF(Workforce[[#This Row],[Salary]]&lt;50000,"30k-49k",IF(Workforce[[#This Row],[Salary]]&lt;70000,"50k-69k",IF(Workforce[[#This Row],[Salary]]&lt;90000,"70k-89k","90k+")))</f>
        <v>50k-69k</v>
      </c>
      <c r="M1594" t="s">
        <v>1064</v>
      </c>
      <c r="N1594">
        <f t="shared" ca="1" si="98"/>
        <v>1</v>
      </c>
      <c r="O1594" t="str">
        <f t="shared" ca="1" si="99"/>
        <v>Beginner</v>
      </c>
    </row>
    <row r="1595" spans="1:15" x14ac:dyDescent="0.3">
      <c r="A1595" t="s">
        <v>11367</v>
      </c>
      <c r="B1595" t="s">
        <v>11368</v>
      </c>
      <c r="C1595" t="s">
        <v>457</v>
      </c>
      <c r="D1595" t="s">
        <v>11369</v>
      </c>
      <c r="E1595" t="s">
        <v>11370</v>
      </c>
      <c r="F1595" t="s">
        <v>926</v>
      </c>
      <c r="G1595" t="s">
        <v>11371</v>
      </c>
      <c r="H1595" t="s">
        <v>11372</v>
      </c>
      <c r="I1595">
        <f t="shared" ca="1" si="96"/>
        <v>42</v>
      </c>
      <c r="J1595" t="str">
        <f t="shared" ca="1" si="97"/>
        <v>40-49</v>
      </c>
      <c r="K1595">
        <v>47144.74</v>
      </c>
      <c r="L1595" t="str">
        <f>IF(Workforce[[#This Row],[Salary]]&lt;50000,"30k-49k",IF(Workforce[[#This Row],[Salary]]&lt;70000,"50k-69k",IF(Workforce[[#This Row],[Salary]]&lt;90000,"70k-89k","90k+")))</f>
        <v>30k-49k</v>
      </c>
      <c r="M1595" t="s">
        <v>11373</v>
      </c>
      <c r="N1595">
        <f t="shared" ca="1" si="98"/>
        <v>10</v>
      </c>
      <c r="O1595" t="str">
        <f t="shared" ca="1" si="99"/>
        <v>Senior level</v>
      </c>
    </row>
    <row r="1596" spans="1:15" x14ac:dyDescent="0.3">
      <c r="A1596" t="s">
        <v>11374</v>
      </c>
      <c r="B1596" t="s">
        <v>11375</v>
      </c>
      <c r="C1596" t="s">
        <v>457</v>
      </c>
      <c r="D1596" t="s">
        <v>11376</v>
      </c>
      <c r="E1596" t="s">
        <v>11377</v>
      </c>
      <c r="F1596" t="s">
        <v>3337</v>
      </c>
      <c r="G1596" t="s">
        <v>11378</v>
      </c>
      <c r="H1596" t="s">
        <v>11379</v>
      </c>
      <c r="I1596">
        <f t="shared" ca="1" si="96"/>
        <v>43</v>
      </c>
      <c r="J1596" t="str">
        <f t="shared" ca="1" si="97"/>
        <v>40-49</v>
      </c>
      <c r="K1596">
        <v>90717.32</v>
      </c>
      <c r="L1596" t="str">
        <f>IF(Workforce[[#This Row],[Salary]]&lt;50000,"30k-49k",IF(Workforce[[#This Row],[Salary]]&lt;70000,"50k-69k",IF(Workforce[[#This Row],[Salary]]&lt;90000,"70k-89k","90k+")))</f>
        <v>90k+</v>
      </c>
      <c r="M1596" t="s">
        <v>11380</v>
      </c>
      <c r="N1596">
        <f t="shared" ca="1" si="98"/>
        <v>6</v>
      </c>
      <c r="O1596" t="str">
        <f t="shared" ca="1" si="99"/>
        <v>Intermediate level</v>
      </c>
    </row>
    <row r="1597" spans="1:15" x14ac:dyDescent="0.3">
      <c r="A1597" t="s">
        <v>11381</v>
      </c>
      <c r="B1597" t="s">
        <v>11382</v>
      </c>
      <c r="C1597" t="s">
        <v>61</v>
      </c>
      <c r="D1597" t="s">
        <v>11383</v>
      </c>
      <c r="E1597" t="s">
        <v>11384</v>
      </c>
      <c r="F1597" t="s">
        <v>5729</v>
      </c>
      <c r="G1597" t="s">
        <v>11385</v>
      </c>
      <c r="H1597" t="s">
        <v>11386</v>
      </c>
      <c r="I1597">
        <f t="shared" ca="1" si="96"/>
        <v>30</v>
      </c>
      <c r="J1597" t="str">
        <f t="shared" ca="1" si="97"/>
        <v>30-39</v>
      </c>
      <c r="K1597">
        <v>66202.100000000006</v>
      </c>
      <c r="L1597" t="str">
        <f>IF(Workforce[[#This Row],[Salary]]&lt;50000,"30k-49k",IF(Workforce[[#This Row],[Salary]]&lt;70000,"50k-69k",IF(Workforce[[#This Row],[Salary]]&lt;90000,"70k-89k","90k+")))</f>
        <v>50k-69k</v>
      </c>
      <c r="M1597" t="s">
        <v>4236</v>
      </c>
      <c r="N1597">
        <f t="shared" ca="1" si="98"/>
        <v>3</v>
      </c>
      <c r="O1597" t="str">
        <f t="shared" ca="1" si="99"/>
        <v>Intermediate level</v>
      </c>
    </row>
    <row r="1598" spans="1:15" x14ac:dyDescent="0.3">
      <c r="A1598" t="s">
        <v>11387</v>
      </c>
      <c r="B1598" t="s">
        <v>11388</v>
      </c>
      <c r="C1598" t="s">
        <v>97</v>
      </c>
      <c r="D1598" t="s">
        <v>11389</v>
      </c>
      <c r="E1598" t="s">
        <v>11390</v>
      </c>
      <c r="F1598" t="s">
        <v>823</v>
      </c>
      <c r="G1598" t="s">
        <v>11391</v>
      </c>
      <c r="H1598" t="s">
        <v>11392</v>
      </c>
      <c r="I1598">
        <f t="shared" ca="1" si="96"/>
        <v>32</v>
      </c>
      <c r="J1598" t="str">
        <f t="shared" ca="1" si="97"/>
        <v>30-39</v>
      </c>
      <c r="K1598">
        <v>36287.879999999997</v>
      </c>
      <c r="L1598" t="str">
        <f>IF(Workforce[[#This Row],[Salary]]&lt;50000,"30k-49k",IF(Workforce[[#This Row],[Salary]]&lt;70000,"50k-69k",IF(Workforce[[#This Row],[Salary]]&lt;90000,"70k-89k","90k+")))</f>
        <v>30k-49k</v>
      </c>
      <c r="M1598" t="s">
        <v>11393</v>
      </c>
      <c r="N1598">
        <f t="shared" ca="1" si="98"/>
        <v>4</v>
      </c>
      <c r="O1598" t="str">
        <f t="shared" ca="1" si="99"/>
        <v>Intermediate level</v>
      </c>
    </row>
    <row r="1599" spans="1:15" x14ac:dyDescent="0.3">
      <c r="A1599" t="s">
        <v>11394</v>
      </c>
      <c r="B1599" t="s">
        <v>11395</v>
      </c>
      <c r="C1599" t="s">
        <v>335</v>
      </c>
      <c r="D1599" t="s">
        <v>11396</v>
      </c>
      <c r="E1599" t="s">
        <v>11397</v>
      </c>
      <c r="F1599" t="s">
        <v>11398</v>
      </c>
      <c r="G1599" t="s">
        <v>11399</v>
      </c>
      <c r="H1599" t="s">
        <v>11400</v>
      </c>
      <c r="I1599">
        <f t="shared" ca="1" si="96"/>
        <v>49</v>
      </c>
      <c r="J1599" t="str">
        <f t="shared" ca="1" si="97"/>
        <v>40-49</v>
      </c>
      <c r="K1599">
        <v>61027.14</v>
      </c>
      <c r="L1599" t="str">
        <f>IF(Workforce[[#This Row],[Salary]]&lt;50000,"30k-49k",IF(Workforce[[#This Row],[Salary]]&lt;70000,"50k-69k",IF(Workforce[[#This Row],[Salary]]&lt;90000,"70k-89k","90k+")))</f>
        <v>50k-69k</v>
      </c>
      <c r="M1599" t="s">
        <v>5518</v>
      </c>
      <c r="N1599">
        <f t="shared" ca="1" si="98"/>
        <v>10</v>
      </c>
      <c r="O1599" t="str">
        <f t="shared" ca="1" si="99"/>
        <v>Senior level</v>
      </c>
    </row>
    <row r="1600" spans="1:15" x14ac:dyDescent="0.3">
      <c r="A1600" t="s">
        <v>11401</v>
      </c>
      <c r="B1600" t="s">
        <v>11402</v>
      </c>
      <c r="C1600" t="s">
        <v>61</v>
      </c>
      <c r="D1600" t="s">
        <v>11403</v>
      </c>
      <c r="E1600" t="s">
        <v>11404</v>
      </c>
      <c r="F1600" t="s">
        <v>615</v>
      </c>
      <c r="G1600" t="s">
        <v>11405</v>
      </c>
      <c r="H1600" t="s">
        <v>6126</v>
      </c>
      <c r="I1600">
        <f t="shared" ca="1" si="96"/>
        <v>22</v>
      </c>
      <c r="J1600" t="str">
        <f t="shared" ca="1" si="97"/>
        <v>18-29</v>
      </c>
      <c r="K1600">
        <v>94266.71</v>
      </c>
      <c r="L1600" t="str">
        <f>IF(Workforce[[#This Row],[Salary]]&lt;50000,"30k-49k",IF(Workforce[[#This Row],[Salary]]&lt;70000,"50k-69k",IF(Workforce[[#This Row],[Salary]]&lt;90000,"70k-89k","90k+")))</f>
        <v>90k+</v>
      </c>
      <c r="M1600" t="s">
        <v>11406</v>
      </c>
      <c r="N1600">
        <f t="shared" ca="1" si="98"/>
        <v>4</v>
      </c>
      <c r="O1600" t="str">
        <f t="shared" ca="1" si="99"/>
        <v>Intermediate level</v>
      </c>
    </row>
    <row r="1601" spans="1:15" x14ac:dyDescent="0.3">
      <c r="A1601" t="s">
        <v>11407</v>
      </c>
      <c r="B1601" t="s">
        <v>11408</v>
      </c>
      <c r="C1601" t="s">
        <v>142</v>
      </c>
      <c r="D1601" t="s">
        <v>11409</v>
      </c>
      <c r="E1601" t="s">
        <v>11410</v>
      </c>
      <c r="F1601" t="s">
        <v>73</v>
      </c>
      <c r="G1601" t="s">
        <v>11411</v>
      </c>
      <c r="H1601" t="s">
        <v>11412</v>
      </c>
      <c r="I1601">
        <f t="shared" ca="1" si="96"/>
        <v>36</v>
      </c>
      <c r="J1601" t="str">
        <f t="shared" ca="1" si="97"/>
        <v>30-39</v>
      </c>
      <c r="K1601">
        <v>92839.93</v>
      </c>
      <c r="L1601" t="str">
        <f>IF(Workforce[[#This Row],[Salary]]&lt;50000,"30k-49k",IF(Workforce[[#This Row],[Salary]]&lt;70000,"50k-69k",IF(Workforce[[#This Row],[Salary]]&lt;90000,"70k-89k","90k+")))</f>
        <v>90k+</v>
      </c>
      <c r="M1601" t="s">
        <v>512</v>
      </c>
      <c r="N1601">
        <f t="shared" ca="1" si="98"/>
        <v>5</v>
      </c>
      <c r="O1601" t="str">
        <f t="shared" ca="1" si="99"/>
        <v>Intermediate level</v>
      </c>
    </row>
    <row r="1602" spans="1:15" x14ac:dyDescent="0.3">
      <c r="A1602" t="s">
        <v>11413</v>
      </c>
      <c r="B1602" t="s">
        <v>11414</v>
      </c>
      <c r="C1602" t="s">
        <v>1004</v>
      </c>
      <c r="D1602" t="s">
        <v>11415</v>
      </c>
      <c r="E1602" t="s">
        <v>11416</v>
      </c>
      <c r="F1602" t="s">
        <v>11398</v>
      </c>
      <c r="G1602" t="s">
        <v>11417</v>
      </c>
      <c r="H1602" t="s">
        <v>11418</v>
      </c>
      <c r="I1602">
        <f t="shared" ref="I1602:I1665" ca="1" si="100">DATEDIF(H1602,TODAY(),"y")</f>
        <v>46</v>
      </c>
      <c r="J1602" t="str">
        <f t="shared" ref="J1602:J1665" ca="1" si="101">IF(I1602&lt;30,"18-29",IF(I1602&lt;40,"30-39",IF(I1602&lt;50,"40-49",IF(I1602&lt;60,"50-59","60+"))))</f>
        <v>40-49</v>
      </c>
      <c r="K1602">
        <v>101128.73</v>
      </c>
      <c r="L1602" t="str">
        <f>IF(Workforce[[#This Row],[Salary]]&lt;50000,"30k-49k",IF(Workforce[[#This Row],[Salary]]&lt;70000,"50k-69k",IF(Workforce[[#This Row],[Salary]]&lt;90000,"70k-89k","90k+")))</f>
        <v>90k+</v>
      </c>
      <c r="M1602" t="s">
        <v>11419</v>
      </c>
      <c r="N1602">
        <f t="shared" ref="N1602:N1665" ca="1" si="102">DATEDIF(M1602,TODAY(),"y")</f>
        <v>3</v>
      </c>
      <c r="O1602" t="str">
        <f t="shared" ref="O1602:O1665" ca="1" si="103">IF(N1602&lt;=2,"Beginner",IF(N1602&lt;=6,"Intermediate level","Senior level"))</f>
        <v>Intermediate level</v>
      </c>
    </row>
    <row r="1603" spans="1:15" x14ac:dyDescent="0.3">
      <c r="A1603" t="s">
        <v>11420</v>
      </c>
      <c r="B1603" t="s">
        <v>11421</v>
      </c>
      <c r="C1603" t="s">
        <v>335</v>
      </c>
      <c r="D1603" t="s">
        <v>11422</v>
      </c>
      <c r="E1603" t="s">
        <v>11423</v>
      </c>
      <c r="F1603" t="s">
        <v>1780</v>
      </c>
      <c r="G1603" t="s">
        <v>11424</v>
      </c>
      <c r="H1603" t="s">
        <v>11425</v>
      </c>
      <c r="I1603">
        <f t="shared" ca="1" si="100"/>
        <v>47</v>
      </c>
      <c r="J1603" t="str">
        <f t="shared" ca="1" si="101"/>
        <v>40-49</v>
      </c>
      <c r="K1603">
        <v>95578.57</v>
      </c>
      <c r="L1603" t="str">
        <f>IF(Workforce[[#This Row],[Salary]]&lt;50000,"30k-49k",IF(Workforce[[#This Row],[Salary]]&lt;70000,"50k-69k",IF(Workforce[[#This Row],[Salary]]&lt;90000,"70k-89k","90k+")))</f>
        <v>90k+</v>
      </c>
      <c r="M1603" t="s">
        <v>7757</v>
      </c>
      <c r="N1603">
        <f t="shared" ca="1" si="102"/>
        <v>5</v>
      </c>
      <c r="O1603" t="str">
        <f t="shared" ca="1" si="103"/>
        <v>Intermediate level</v>
      </c>
    </row>
    <row r="1604" spans="1:15" x14ac:dyDescent="0.3">
      <c r="A1604" t="s">
        <v>11426</v>
      </c>
      <c r="B1604" t="s">
        <v>11427</v>
      </c>
      <c r="C1604" t="s">
        <v>79</v>
      </c>
      <c r="D1604" t="s">
        <v>11428</v>
      </c>
      <c r="E1604" t="s">
        <v>11429</v>
      </c>
      <c r="F1604" t="s">
        <v>11430</v>
      </c>
      <c r="G1604" t="s">
        <v>11431</v>
      </c>
      <c r="H1604" t="s">
        <v>11432</v>
      </c>
      <c r="I1604">
        <f t="shared" ca="1" si="100"/>
        <v>59</v>
      </c>
      <c r="J1604" t="str">
        <f t="shared" ca="1" si="101"/>
        <v>50-59</v>
      </c>
      <c r="K1604">
        <v>50775.83</v>
      </c>
      <c r="L1604" t="str">
        <f>IF(Workforce[[#This Row],[Salary]]&lt;50000,"30k-49k",IF(Workforce[[#This Row],[Salary]]&lt;70000,"50k-69k",IF(Workforce[[#This Row],[Salary]]&lt;90000,"70k-89k","90k+")))</f>
        <v>50k-69k</v>
      </c>
      <c r="M1604" t="s">
        <v>8822</v>
      </c>
      <c r="N1604">
        <f t="shared" ca="1" si="102"/>
        <v>2</v>
      </c>
      <c r="O1604" t="str">
        <f t="shared" ca="1" si="103"/>
        <v>Beginner</v>
      </c>
    </row>
    <row r="1605" spans="1:15" x14ac:dyDescent="0.3">
      <c r="A1605" t="s">
        <v>11433</v>
      </c>
      <c r="B1605" t="s">
        <v>11434</v>
      </c>
      <c r="C1605" t="s">
        <v>187</v>
      </c>
      <c r="D1605" t="s">
        <v>11435</v>
      </c>
      <c r="E1605" t="s">
        <v>11436</v>
      </c>
      <c r="F1605" t="s">
        <v>7242</v>
      </c>
      <c r="G1605" t="s">
        <v>11437</v>
      </c>
      <c r="H1605" t="s">
        <v>11438</v>
      </c>
      <c r="I1605">
        <f t="shared" ca="1" si="100"/>
        <v>43</v>
      </c>
      <c r="J1605" t="str">
        <f t="shared" ca="1" si="101"/>
        <v>40-49</v>
      </c>
      <c r="K1605">
        <v>47776.5</v>
      </c>
      <c r="L1605" t="str">
        <f>IF(Workforce[[#This Row],[Salary]]&lt;50000,"30k-49k",IF(Workforce[[#This Row],[Salary]]&lt;70000,"50k-69k",IF(Workforce[[#This Row],[Salary]]&lt;90000,"70k-89k","90k+")))</f>
        <v>30k-49k</v>
      </c>
      <c r="M1605" t="s">
        <v>2963</v>
      </c>
      <c r="N1605">
        <f t="shared" ca="1" si="102"/>
        <v>5</v>
      </c>
      <c r="O1605" t="str">
        <f t="shared" ca="1" si="103"/>
        <v>Intermediate level</v>
      </c>
    </row>
    <row r="1606" spans="1:15" x14ac:dyDescent="0.3">
      <c r="A1606" t="s">
        <v>11439</v>
      </c>
      <c r="B1606" t="s">
        <v>11440</v>
      </c>
      <c r="C1606" t="s">
        <v>266</v>
      </c>
      <c r="D1606" t="s">
        <v>11441</v>
      </c>
      <c r="E1606" t="s">
        <v>11442</v>
      </c>
      <c r="F1606" t="s">
        <v>4554</v>
      </c>
      <c r="G1606" t="s">
        <v>11443</v>
      </c>
      <c r="H1606" t="s">
        <v>11444</v>
      </c>
      <c r="I1606">
        <f t="shared" ca="1" si="100"/>
        <v>61</v>
      </c>
      <c r="J1606" t="str">
        <f t="shared" ca="1" si="101"/>
        <v>60+</v>
      </c>
      <c r="K1606">
        <v>54308.24</v>
      </c>
      <c r="L1606" t="str">
        <f>IF(Workforce[[#This Row],[Salary]]&lt;50000,"30k-49k",IF(Workforce[[#This Row],[Salary]]&lt;70000,"50k-69k",IF(Workforce[[#This Row],[Salary]]&lt;90000,"70k-89k","90k+")))</f>
        <v>50k-69k</v>
      </c>
      <c r="M1606" t="s">
        <v>11445</v>
      </c>
      <c r="N1606">
        <f t="shared" ca="1" si="102"/>
        <v>0</v>
      </c>
      <c r="O1606" t="str">
        <f t="shared" ca="1" si="103"/>
        <v>Beginner</v>
      </c>
    </row>
    <row r="1607" spans="1:15" x14ac:dyDescent="0.3">
      <c r="A1607" t="s">
        <v>11446</v>
      </c>
      <c r="B1607" t="s">
        <v>11447</v>
      </c>
      <c r="C1607" t="s">
        <v>275</v>
      </c>
      <c r="D1607" t="s">
        <v>11448</v>
      </c>
      <c r="E1607" t="s">
        <v>11449</v>
      </c>
      <c r="F1607" t="s">
        <v>1642</v>
      </c>
      <c r="G1607" t="s">
        <v>11450</v>
      </c>
      <c r="H1607" t="s">
        <v>11451</v>
      </c>
      <c r="I1607">
        <f t="shared" ca="1" si="100"/>
        <v>22</v>
      </c>
      <c r="J1607" t="str">
        <f t="shared" ca="1" si="101"/>
        <v>18-29</v>
      </c>
      <c r="K1607">
        <v>64053.85</v>
      </c>
      <c r="L1607" t="str">
        <f>IF(Workforce[[#This Row],[Salary]]&lt;50000,"30k-49k",IF(Workforce[[#This Row],[Salary]]&lt;70000,"50k-69k",IF(Workforce[[#This Row],[Salary]]&lt;90000,"70k-89k","90k+")))</f>
        <v>50k-69k</v>
      </c>
      <c r="M1607" t="s">
        <v>2565</v>
      </c>
      <c r="N1607">
        <f t="shared" ca="1" si="102"/>
        <v>7</v>
      </c>
      <c r="O1607" t="str">
        <f t="shared" ca="1" si="103"/>
        <v>Senior level</v>
      </c>
    </row>
    <row r="1608" spans="1:15" x14ac:dyDescent="0.3">
      <c r="A1608" t="s">
        <v>11452</v>
      </c>
      <c r="B1608" t="s">
        <v>11453</v>
      </c>
      <c r="C1608" t="s">
        <v>440</v>
      </c>
      <c r="D1608" t="s">
        <v>11454</v>
      </c>
      <c r="E1608" t="s">
        <v>11455</v>
      </c>
      <c r="F1608" t="s">
        <v>2540</v>
      </c>
      <c r="G1608" t="s">
        <v>11456</v>
      </c>
      <c r="H1608" t="s">
        <v>11457</v>
      </c>
      <c r="I1608">
        <f t="shared" ca="1" si="100"/>
        <v>46</v>
      </c>
      <c r="J1608" t="str">
        <f t="shared" ca="1" si="101"/>
        <v>40-49</v>
      </c>
      <c r="K1608">
        <v>77707.960000000006</v>
      </c>
      <c r="L1608" t="str">
        <f>IF(Workforce[[#This Row],[Salary]]&lt;50000,"30k-49k",IF(Workforce[[#This Row],[Salary]]&lt;70000,"50k-69k",IF(Workforce[[#This Row],[Salary]]&lt;90000,"70k-89k","90k+")))</f>
        <v>70k-89k</v>
      </c>
      <c r="M1608" t="s">
        <v>11458</v>
      </c>
      <c r="N1608">
        <f t="shared" ca="1" si="102"/>
        <v>1</v>
      </c>
      <c r="O1608" t="str">
        <f t="shared" ca="1" si="103"/>
        <v>Beginner</v>
      </c>
    </row>
    <row r="1609" spans="1:15" x14ac:dyDescent="0.3">
      <c r="A1609" t="s">
        <v>11459</v>
      </c>
      <c r="B1609" t="s">
        <v>11460</v>
      </c>
      <c r="C1609" t="s">
        <v>2086</v>
      </c>
      <c r="D1609" t="s">
        <v>11461</v>
      </c>
      <c r="E1609" t="s">
        <v>11462</v>
      </c>
      <c r="F1609" t="s">
        <v>11463</v>
      </c>
      <c r="G1609" t="s">
        <v>11464</v>
      </c>
      <c r="H1609" t="s">
        <v>11465</v>
      </c>
      <c r="I1609">
        <f t="shared" ca="1" si="100"/>
        <v>31</v>
      </c>
      <c r="J1609" t="str">
        <f t="shared" ca="1" si="101"/>
        <v>30-39</v>
      </c>
      <c r="K1609">
        <v>38746.769999999997</v>
      </c>
      <c r="L1609" t="str">
        <f>IF(Workforce[[#This Row],[Salary]]&lt;50000,"30k-49k",IF(Workforce[[#This Row],[Salary]]&lt;70000,"50k-69k",IF(Workforce[[#This Row],[Salary]]&lt;90000,"70k-89k","90k+")))</f>
        <v>30k-49k</v>
      </c>
      <c r="M1609" t="s">
        <v>11466</v>
      </c>
      <c r="N1609">
        <f t="shared" ca="1" si="102"/>
        <v>3</v>
      </c>
      <c r="O1609" t="str">
        <f t="shared" ca="1" si="103"/>
        <v>Intermediate level</v>
      </c>
    </row>
    <row r="1610" spans="1:15" x14ac:dyDescent="0.3">
      <c r="A1610" t="s">
        <v>11467</v>
      </c>
      <c r="B1610" t="s">
        <v>11468</v>
      </c>
      <c r="C1610" t="s">
        <v>213</v>
      </c>
      <c r="D1610" t="s">
        <v>11469</v>
      </c>
      <c r="E1610" t="s">
        <v>11470</v>
      </c>
      <c r="F1610" t="s">
        <v>11471</v>
      </c>
      <c r="G1610" t="s">
        <v>11472</v>
      </c>
      <c r="H1610" t="s">
        <v>9340</v>
      </c>
      <c r="I1610">
        <f t="shared" ca="1" si="100"/>
        <v>55</v>
      </c>
      <c r="J1610" t="str">
        <f t="shared" ca="1" si="101"/>
        <v>50-59</v>
      </c>
      <c r="K1610">
        <v>84891.72</v>
      </c>
      <c r="L1610" t="str">
        <f>IF(Workforce[[#This Row],[Salary]]&lt;50000,"30k-49k",IF(Workforce[[#This Row],[Salary]]&lt;70000,"50k-69k",IF(Workforce[[#This Row],[Salary]]&lt;90000,"70k-89k","90k+")))</f>
        <v>70k-89k</v>
      </c>
      <c r="M1610" t="s">
        <v>7827</v>
      </c>
      <c r="N1610">
        <f t="shared" ca="1" si="102"/>
        <v>9</v>
      </c>
      <c r="O1610" t="str">
        <f t="shared" ca="1" si="103"/>
        <v>Senior level</v>
      </c>
    </row>
    <row r="1611" spans="1:15" x14ac:dyDescent="0.3">
      <c r="A1611" t="s">
        <v>11473</v>
      </c>
      <c r="B1611" t="s">
        <v>11474</v>
      </c>
      <c r="C1611" t="s">
        <v>187</v>
      </c>
      <c r="D1611" t="s">
        <v>11475</v>
      </c>
      <c r="E1611" t="s">
        <v>11476</v>
      </c>
      <c r="F1611" t="s">
        <v>5394</v>
      </c>
      <c r="G1611" t="s">
        <v>11477</v>
      </c>
      <c r="H1611" t="s">
        <v>11478</v>
      </c>
      <c r="I1611">
        <f t="shared" ca="1" si="100"/>
        <v>41</v>
      </c>
      <c r="J1611" t="str">
        <f t="shared" ca="1" si="101"/>
        <v>40-49</v>
      </c>
      <c r="K1611">
        <v>52329.49</v>
      </c>
      <c r="L1611" t="str">
        <f>IF(Workforce[[#This Row],[Salary]]&lt;50000,"30k-49k",IF(Workforce[[#This Row],[Salary]]&lt;70000,"50k-69k",IF(Workforce[[#This Row],[Salary]]&lt;90000,"70k-89k","90k+")))</f>
        <v>50k-69k</v>
      </c>
      <c r="M1611" t="s">
        <v>10131</v>
      </c>
      <c r="N1611">
        <f t="shared" ca="1" si="102"/>
        <v>6</v>
      </c>
      <c r="O1611" t="str">
        <f t="shared" ca="1" si="103"/>
        <v>Intermediate level</v>
      </c>
    </row>
    <row r="1612" spans="1:15" x14ac:dyDescent="0.3">
      <c r="A1612" t="s">
        <v>11479</v>
      </c>
      <c r="B1612" t="s">
        <v>11480</v>
      </c>
      <c r="C1612" t="s">
        <v>400</v>
      </c>
      <c r="D1612" t="s">
        <v>11481</v>
      </c>
      <c r="E1612" t="s">
        <v>11482</v>
      </c>
      <c r="F1612" t="s">
        <v>3064</v>
      </c>
      <c r="G1612" t="s">
        <v>7914</v>
      </c>
      <c r="H1612" t="s">
        <v>11483</v>
      </c>
      <c r="I1612">
        <f t="shared" ca="1" si="100"/>
        <v>65</v>
      </c>
      <c r="J1612" t="str">
        <f t="shared" ca="1" si="101"/>
        <v>60+</v>
      </c>
      <c r="K1612">
        <v>95649.17</v>
      </c>
      <c r="L1612" t="str">
        <f>IF(Workforce[[#This Row],[Salary]]&lt;50000,"30k-49k",IF(Workforce[[#This Row],[Salary]]&lt;70000,"50k-69k",IF(Workforce[[#This Row],[Salary]]&lt;90000,"70k-89k","90k+")))</f>
        <v>90k+</v>
      </c>
      <c r="M1612" t="s">
        <v>2660</v>
      </c>
      <c r="N1612">
        <f t="shared" ca="1" si="102"/>
        <v>10</v>
      </c>
      <c r="O1612" t="str">
        <f t="shared" ca="1" si="103"/>
        <v>Senior level</v>
      </c>
    </row>
    <row r="1613" spans="1:15" x14ac:dyDescent="0.3">
      <c r="A1613" t="s">
        <v>11484</v>
      </c>
      <c r="B1613" t="s">
        <v>11485</v>
      </c>
      <c r="C1613" t="s">
        <v>580</v>
      </c>
      <c r="D1613" t="s">
        <v>11486</v>
      </c>
      <c r="E1613" t="s">
        <v>11487</v>
      </c>
      <c r="F1613" t="s">
        <v>6980</v>
      </c>
      <c r="G1613" t="s">
        <v>11488</v>
      </c>
      <c r="H1613" t="s">
        <v>11489</v>
      </c>
      <c r="I1613">
        <f t="shared" ca="1" si="100"/>
        <v>61</v>
      </c>
      <c r="J1613" t="str">
        <f t="shared" ca="1" si="101"/>
        <v>60+</v>
      </c>
      <c r="K1613">
        <v>66482.75</v>
      </c>
      <c r="L1613" t="str">
        <f>IF(Workforce[[#This Row],[Salary]]&lt;50000,"30k-49k",IF(Workforce[[#This Row],[Salary]]&lt;70000,"50k-69k",IF(Workforce[[#This Row],[Salary]]&lt;90000,"70k-89k","90k+")))</f>
        <v>50k-69k</v>
      </c>
      <c r="M1613" t="s">
        <v>11490</v>
      </c>
      <c r="N1613">
        <f t="shared" ca="1" si="102"/>
        <v>4</v>
      </c>
      <c r="O1613" t="str">
        <f t="shared" ca="1" si="103"/>
        <v>Intermediate level</v>
      </c>
    </row>
    <row r="1614" spans="1:15" x14ac:dyDescent="0.3">
      <c r="A1614" t="s">
        <v>5768</v>
      </c>
      <c r="B1614" t="s">
        <v>11491</v>
      </c>
      <c r="C1614" t="s">
        <v>231</v>
      </c>
      <c r="D1614" t="s">
        <v>11492</v>
      </c>
      <c r="E1614" t="s">
        <v>11493</v>
      </c>
      <c r="F1614" t="s">
        <v>7487</v>
      </c>
      <c r="G1614" t="s">
        <v>11494</v>
      </c>
      <c r="H1614" t="s">
        <v>11495</v>
      </c>
      <c r="I1614">
        <f t="shared" ca="1" si="100"/>
        <v>46</v>
      </c>
      <c r="J1614" t="str">
        <f t="shared" ca="1" si="101"/>
        <v>40-49</v>
      </c>
      <c r="K1614">
        <v>57282.8</v>
      </c>
      <c r="L1614" t="str">
        <f>IF(Workforce[[#This Row],[Salary]]&lt;50000,"30k-49k",IF(Workforce[[#This Row],[Salary]]&lt;70000,"50k-69k",IF(Workforce[[#This Row],[Salary]]&lt;90000,"70k-89k","90k+")))</f>
        <v>50k-69k</v>
      </c>
      <c r="M1614" t="s">
        <v>11496</v>
      </c>
      <c r="N1614">
        <f t="shared" ca="1" si="102"/>
        <v>4</v>
      </c>
      <c r="O1614" t="str">
        <f t="shared" ca="1" si="103"/>
        <v>Intermediate level</v>
      </c>
    </row>
    <row r="1615" spans="1:15" x14ac:dyDescent="0.3">
      <c r="A1615" t="s">
        <v>11497</v>
      </c>
      <c r="B1615" t="s">
        <v>11498</v>
      </c>
      <c r="C1615" t="s">
        <v>142</v>
      </c>
      <c r="D1615" t="s">
        <v>11499</v>
      </c>
      <c r="E1615" t="s">
        <v>11500</v>
      </c>
      <c r="F1615" t="s">
        <v>4749</v>
      </c>
      <c r="G1615" t="s">
        <v>11501</v>
      </c>
      <c r="H1615" t="s">
        <v>11502</v>
      </c>
      <c r="I1615">
        <f t="shared" ca="1" si="100"/>
        <v>66</v>
      </c>
      <c r="J1615" t="str">
        <f t="shared" ca="1" si="101"/>
        <v>60+</v>
      </c>
      <c r="K1615">
        <v>83316.37</v>
      </c>
      <c r="L1615" t="str">
        <f>IF(Workforce[[#This Row],[Salary]]&lt;50000,"30k-49k",IF(Workforce[[#This Row],[Salary]]&lt;70000,"50k-69k",IF(Workforce[[#This Row],[Salary]]&lt;90000,"70k-89k","90k+")))</f>
        <v>70k-89k</v>
      </c>
      <c r="M1615" t="s">
        <v>11503</v>
      </c>
      <c r="N1615">
        <f t="shared" ca="1" si="102"/>
        <v>7</v>
      </c>
      <c r="O1615" t="str">
        <f t="shared" ca="1" si="103"/>
        <v>Senior level</v>
      </c>
    </row>
    <row r="1616" spans="1:15" x14ac:dyDescent="0.3">
      <c r="A1616" t="s">
        <v>11504</v>
      </c>
      <c r="B1616" t="s">
        <v>11505</v>
      </c>
      <c r="C1616" t="s">
        <v>231</v>
      </c>
      <c r="D1616" t="s">
        <v>11506</v>
      </c>
      <c r="E1616" t="s">
        <v>11507</v>
      </c>
      <c r="F1616" t="s">
        <v>607</v>
      </c>
      <c r="G1616" t="s">
        <v>11508</v>
      </c>
      <c r="H1616" t="s">
        <v>11509</v>
      </c>
      <c r="I1616">
        <f t="shared" ca="1" si="100"/>
        <v>47</v>
      </c>
      <c r="J1616" t="str">
        <f t="shared" ca="1" si="101"/>
        <v>40-49</v>
      </c>
      <c r="K1616">
        <v>114168.94</v>
      </c>
      <c r="L1616" t="str">
        <f>IF(Workforce[[#This Row],[Salary]]&lt;50000,"30k-49k",IF(Workforce[[#This Row],[Salary]]&lt;70000,"50k-69k",IF(Workforce[[#This Row],[Salary]]&lt;90000,"70k-89k","90k+")))</f>
        <v>90k+</v>
      </c>
      <c r="M1616" t="s">
        <v>11510</v>
      </c>
      <c r="N1616">
        <f t="shared" ca="1" si="102"/>
        <v>3</v>
      </c>
      <c r="O1616" t="str">
        <f t="shared" ca="1" si="103"/>
        <v>Intermediate level</v>
      </c>
    </row>
    <row r="1617" spans="1:15" x14ac:dyDescent="0.3">
      <c r="A1617" t="s">
        <v>11511</v>
      </c>
      <c r="B1617" t="s">
        <v>11512</v>
      </c>
      <c r="C1617" t="s">
        <v>160</v>
      </c>
      <c r="D1617" t="s">
        <v>11513</v>
      </c>
      <c r="E1617" t="s">
        <v>11514</v>
      </c>
      <c r="F1617" t="s">
        <v>6275</v>
      </c>
      <c r="G1617" t="s">
        <v>4090</v>
      </c>
      <c r="H1617" t="s">
        <v>11515</v>
      </c>
      <c r="I1617">
        <f t="shared" ca="1" si="100"/>
        <v>53</v>
      </c>
      <c r="J1617" t="str">
        <f t="shared" ca="1" si="101"/>
        <v>50-59</v>
      </c>
      <c r="K1617">
        <v>79635.839999999997</v>
      </c>
      <c r="L1617" t="str">
        <f>IF(Workforce[[#This Row],[Salary]]&lt;50000,"30k-49k",IF(Workforce[[#This Row],[Salary]]&lt;70000,"50k-69k",IF(Workforce[[#This Row],[Salary]]&lt;90000,"70k-89k","90k+")))</f>
        <v>70k-89k</v>
      </c>
      <c r="M1617" t="s">
        <v>11516</v>
      </c>
      <c r="N1617">
        <f t="shared" ca="1" si="102"/>
        <v>1</v>
      </c>
      <c r="O1617" t="str">
        <f t="shared" ca="1" si="103"/>
        <v>Beginner</v>
      </c>
    </row>
    <row r="1618" spans="1:15" x14ac:dyDescent="0.3">
      <c r="A1618" t="s">
        <v>11517</v>
      </c>
      <c r="B1618" t="s">
        <v>11518</v>
      </c>
      <c r="C1618" t="s">
        <v>774</v>
      </c>
      <c r="D1618" t="s">
        <v>11519</v>
      </c>
      <c r="E1618" t="s">
        <v>11520</v>
      </c>
      <c r="F1618" t="s">
        <v>726</v>
      </c>
      <c r="G1618" t="s">
        <v>11521</v>
      </c>
      <c r="H1618" t="s">
        <v>11522</v>
      </c>
      <c r="I1618">
        <f t="shared" ca="1" si="100"/>
        <v>19</v>
      </c>
      <c r="J1618" t="str">
        <f t="shared" ca="1" si="101"/>
        <v>18-29</v>
      </c>
      <c r="K1618">
        <v>94701.43</v>
      </c>
      <c r="L1618" t="str">
        <f>IF(Workforce[[#This Row],[Salary]]&lt;50000,"30k-49k",IF(Workforce[[#This Row],[Salary]]&lt;70000,"50k-69k",IF(Workforce[[#This Row],[Salary]]&lt;90000,"70k-89k","90k+")))</f>
        <v>90k+</v>
      </c>
      <c r="M1618" t="s">
        <v>175</v>
      </c>
      <c r="N1618">
        <f t="shared" ca="1" si="102"/>
        <v>5</v>
      </c>
      <c r="O1618" t="str">
        <f t="shared" ca="1" si="103"/>
        <v>Intermediate level</v>
      </c>
    </row>
    <row r="1619" spans="1:15" x14ac:dyDescent="0.3">
      <c r="A1619" t="s">
        <v>8753</v>
      </c>
      <c r="B1619" t="s">
        <v>11523</v>
      </c>
      <c r="C1619" t="s">
        <v>178</v>
      </c>
      <c r="D1619" t="s">
        <v>11524</v>
      </c>
      <c r="E1619" t="s">
        <v>11525</v>
      </c>
      <c r="F1619" t="s">
        <v>8973</v>
      </c>
      <c r="G1619" t="s">
        <v>11526</v>
      </c>
      <c r="H1619" t="s">
        <v>11527</v>
      </c>
      <c r="I1619">
        <f t="shared" ca="1" si="100"/>
        <v>60</v>
      </c>
      <c r="J1619" t="str">
        <f t="shared" ca="1" si="101"/>
        <v>60+</v>
      </c>
      <c r="K1619">
        <v>58999.57</v>
      </c>
      <c r="L1619" t="str">
        <f>IF(Workforce[[#This Row],[Salary]]&lt;50000,"30k-49k",IF(Workforce[[#This Row],[Salary]]&lt;70000,"50k-69k",IF(Workforce[[#This Row],[Salary]]&lt;90000,"70k-89k","90k+")))</f>
        <v>50k-69k</v>
      </c>
      <c r="M1619" t="s">
        <v>5646</v>
      </c>
      <c r="N1619">
        <f t="shared" ca="1" si="102"/>
        <v>7</v>
      </c>
      <c r="O1619" t="str">
        <f t="shared" ca="1" si="103"/>
        <v>Senior level</v>
      </c>
    </row>
    <row r="1620" spans="1:15" x14ac:dyDescent="0.3">
      <c r="A1620" t="s">
        <v>11528</v>
      </c>
      <c r="B1620" t="s">
        <v>11529</v>
      </c>
      <c r="C1620" t="s">
        <v>106</v>
      </c>
      <c r="D1620" t="s">
        <v>11530</v>
      </c>
      <c r="E1620" t="s">
        <v>11531</v>
      </c>
      <c r="F1620" t="s">
        <v>5345</v>
      </c>
      <c r="G1620" t="s">
        <v>11532</v>
      </c>
      <c r="H1620" t="s">
        <v>11533</v>
      </c>
      <c r="I1620">
        <f t="shared" ca="1" si="100"/>
        <v>24</v>
      </c>
      <c r="J1620" t="str">
        <f t="shared" ca="1" si="101"/>
        <v>18-29</v>
      </c>
      <c r="K1620">
        <v>45301.26</v>
      </c>
      <c r="L1620" t="str">
        <f>IF(Workforce[[#This Row],[Salary]]&lt;50000,"30k-49k",IF(Workforce[[#This Row],[Salary]]&lt;70000,"50k-69k",IF(Workforce[[#This Row],[Salary]]&lt;90000,"70k-89k","90k+")))</f>
        <v>30k-49k</v>
      </c>
      <c r="M1620" t="s">
        <v>11534</v>
      </c>
      <c r="N1620">
        <f t="shared" ca="1" si="102"/>
        <v>7</v>
      </c>
      <c r="O1620" t="str">
        <f t="shared" ca="1" si="103"/>
        <v>Senior level</v>
      </c>
    </row>
    <row r="1621" spans="1:15" x14ac:dyDescent="0.3">
      <c r="A1621" t="s">
        <v>11535</v>
      </c>
      <c r="B1621" t="s">
        <v>11536</v>
      </c>
      <c r="C1621" t="s">
        <v>142</v>
      </c>
      <c r="D1621" t="s">
        <v>11537</v>
      </c>
      <c r="E1621" t="s">
        <v>11538</v>
      </c>
      <c r="F1621" t="s">
        <v>10284</v>
      </c>
      <c r="G1621" t="s">
        <v>11539</v>
      </c>
      <c r="H1621" t="s">
        <v>11540</v>
      </c>
      <c r="I1621">
        <f t="shared" ca="1" si="100"/>
        <v>36</v>
      </c>
      <c r="J1621" t="str">
        <f t="shared" ca="1" si="101"/>
        <v>30-39</v>
      </c>
      <c r="K1621">
        <v>91529.05</v>
      </c>
      <c r="L1621" t="str">
        <f>IF(Workforce[[#This Row],[Salary]]&lt;50000,"30k-49k",IF(Workforce[[#This Row],[Salary]]&lt;70000,"50k-69k",IF(Workforce[[#This Row],[Salary]]&lt;90000,"70k-89k","90k+")))</f>
        <v>90k+</v>
      </c>
      <c r="M1621" t="s">
        <v>11541</v>
      </c>
      <c r="N1621">
        <f t="shared" ca="1" si="102"/>
        <v>0</v>
      </c>
      <c r="O1621" t="str">
        <f t="shared" ca="1" si="103"/>
        <v>Beginner</v>
      </c>
    </row>
    <row r="1622" spans="1:15" x14ac:dyDescent="0.3">
      <c r="A1622" t="s">
        <v>11542</v>
      </c>
      <c r="B1622" t="s">
        <v>11543</v>
      </c>
      <c r="C1622" t="s">
        <v>995</v>
      </c>
      <c r="D1622" t="s">
        <v>11544</v>
      </c>
      <c r="E1622" t="s">
        <v>11545</v>
      </c>
      <c r="F1622" t="s">
        <v>10284</v>
      </c>
      <c r="G1622" t="s">
        <v>11546</v>
      </c>
      <c r="H1622" t="s">
        <v>9564</v>
      </c>
      <c r="I1622">
        <f t="shared" ca="1" si="100"/>
        <v>47</v>
      </c>
      <c r="J1622" t="str">
        <f t="shared" ca="1" si="101"/>
        <v>40-49</v>
      </c>
      <c r="K1622">
        <v>53322.79</v>
      </c>
      <c r="L1622" t="str">
        <f>IF(Workforce[[#This Row],[Salary]]&lt;50000,"30k-49k",IF(Workforce[[#This Row],[Salary]]&lt;70000,"50k-69k",IF(Workforce[[#This Row],[Salary]]&lt;90000,"70k-89k","90k+")))</f>
        <v>50k-69k</v>
      </c>
      <c r="M1622" t="s">
        <v>9748</v>
      </c>
      <c r="N1622">
        <f t="shared" ca="1" si="102"/>
        <v>2</v>
      </c>
      <c r="O1622" t="str">
        <f t="shared" ca="1" si="103"/>
        <v>Beginner</v>
      </c>
    </row>
    <row r="1623" spans="1:15" x14ac:dyDescent="0.3">
      <c r="A1623" t="s">
        <v>11547</v>
      </c>
      <c r="B1623" t="s">
        <v>11548</v>
      </c>
      <c r="C1623" t="s">
        <v>79</v>
      </c>
      <c r="D1623" t="s">
        <v>11549</v>
      </c>
      <c r="E1623" t="s">
        <v>11550</v>
      </c>
      <c r="F1623" t="s">
        <v>6684</v>
      </c>
      <c r="G1623" t="s">
        <v>11551</v>
      </c>
      <c r="H1623" t="s">
        <v>11552</v>
      </c>
      <c r="I1623">
        <f t="shared" ca="1" si="100"/>
        <v>23</v>
      </c>
      <c r="J1623" t="str">
        <f t="shared" ca="1" si="101"/>
        <v>18-29</v>
      </c>
      <c r="K1623">
        <v>56266.34</v>
      </c>
      <c r="L1623" t="str">
        <f>IF(Workforce[[#This Row],[Salary]]&lt;50000,"30k-49k",IF(Workforce[[#This Row],[Salary]]&lt;70000,"50k-69k",IF(Workforce[[#This Row],[Salary]]&lt;90000,"70k-89k","90k+")))</f>
        <v>50k-69k</v>
      </c>
      <c r="M1623" t="s">
        <v>11553</v>
      </c>
      <c r="N1623">
        <f t="shared" ca="1" si="102"/>
        <v>2</v>
      </c>
      <c r="O1623" t="str">
        <f t="shared" ca="1" si="103"/>
        <v>Beginner</v>
      </c>
    </row>
    <row r="1624" spans="1:15" x14ac:dyDescent="0.3">
      <c r="A1624" t="s">
        <v>11554</v>
      </c>
      <c r="B1624" t="s">
        <v>11555</v>
      </c>
      <c r="C1624" t="s">
        <v>213</v>
      </c>
      <c r="D1624" t="s">
        <v>11556</v>
      </c>
      <c r="E1624" t="s">
        <v>11557</v>
      </c>
      <c r="F1624" t="s">
        <v>11471</v>
      </c>
      <c r="G1624" t="s">
        <v>11558</v>
      </c>
      <c r="H1624" t="s">
        <v>11559</v>
      </c>
      <c r="I1624">
        <f t="shared" ca="1" si="100"/>
        <v>20</v>
      </c>
      <c r="J1624" t="str">
        <f t="shared" ca="1" si="101"/>
        <v>18-29</v>
      </c>
      <c r="K1624">
        <v>32060.85</v>
      </c>
      <c r="L1624" t="str">
        <f>IF(Workforce[[#This Row],[Salary]]&lt;50000,"30k-49k",IF(Workforce[[#This Row],[Salary]]&lt;70000,"50k-69k",IF(Workforce[[#This Row],[Salary]]&lt;90000,"70k-89k","90k+")))</f>
        <v>30k-49k</v>
      </c>
      <c r="M1624" t="s">
        <v>1040</v>
      </c>
      <c r="N1624">
        <f t="shared" ca="1" si="102"/>
        <v>2</v>
      </c>
      <c r="O1624" t="str">
        <f t="shared" ca="1" si="103"/>
        <v>Beginner</v>
      </c>
    </row>
    <row r="1625" spans="1:15" x14ac:dyDescent="0.3">
      <c r="A1625" t="s">
        <v>11560</v>
      </c>
      <c r="B1625" t="s">
        <v>11561</v>
      </c>
      <c r="C1625" t="s">
        <v>196</v>
      </c>
      <c r="D1625" t="s">
        <v>11562</v>
      </c>
      <c r="E1625" t="s">
        <v>11563</v>
      </c>
      <c r="F1625" t="s">
        <v>1642</v>
      </c>
      <c r="G1625" t="s">
        <v>11564</v>
      </c>
      <c r="H1625" t="s">
        <v>11565</v>
      </c>
      <c r="I1625">
        <f t="shared" ca="1" si="100"/>
        <v>45</v>
      </c>
      <c r="J1625" t="str">
        <f t="shared" ca="1" si="101"/>
        <v>40-49</v>
      </c>
      <c r="K1625">
        <v>40156.75</v>
      </c>
      <c r="L1625" t="str">
        <f>IF(Workforce[[#This Row],[Salary]]&lt;50000,"30k-49k",IF(Workforce[[#This Row],[Salary]]&lt;70000,"50k-69k",IF(Workforce[[#This Row],[Salary]]&lt;90000,"70k-89k","90k+")))</f>
        <v>30k-49k</v>
      </c>
      <c r="M1625" t="s">
        <v>6040</v>
      </c>
      <c r="N1625">
        <f t="shared" ca="1" si="102"/>
        <v>1</v>
      </c>
      <c r="O1625" t="str">
        <f t="shared" ca="1" si="103"/>
        <v>Beginner</v>
      </c>
    </row>
    <row r="1626" spans="1:15" x14ac:dyDescent="0.3">
      <c r="A1626" t="s">
        <v>11566</v>
      </c>
      <c r="B1626" t="s">
        <v>11567</v>
      </c>
      <c r="C1626" t="s">
        <v>196</v>
      </c>
      <c r="D1626" t="s">
        <v>11568</v>
      </c>
      <c r="E1626" t="s">
        <v>11569</v>
      </c>
      <c r="F1626" t="s">
        <v>5870</v>
      </c>
      <c r="G1626" t="s">
        <v>11570</v>
      </c>
      <c r="H1626" t="s">
        <v>11571</v>
      </c>
      <c r="I1626">
        <f t="shared" ca="1" si="100"/>
        <v>65</v>
      </c>
      <c r="J1626" t="str">
        <f t="shared" ca="1" si="101"/>
        <v>60+</v>
      </c>
      <c r="K1626">
        <v>56670.04</v>
      </c>
      <c r="L1626" t="str">
        <f>IF(Workforce[[#This Row],[Salary]]&lt;50000,"30k-49k",IF(Workforce[[#This Row],[Salary]]&lt;70000,"50k-69k",IF(Workforce[[#This Row],[Salary]]&lt;90000,"70k-89k","90k+")))</f>
        <v>50k-69k</v>
      </c>
      <c r="M1626" t="s">
        <v>11572</v>
      </c>
      <c r="N1626">
        <f t="shared" ca="1" si="102"/>
        <v>10</v>
      </c>
      <c r="O1626" t="str">
        <f t="shared" ca="1" si="103"/>
        <v>Senior level</v>
      </c>
    </row>
    <row r="1627" spans="1:15" x14ac:dyDescent="0.3">
      <c r="A1627" t="s">
        <v>11573</v>
      </c>
      <c r="B1627" t="s">
        <v>11574</v>
      </c>
      <c r="C1627" t="s">
        <v>482</v>
      </c>
      <c r="D1627" t="s">
        <v>11575</v>
      </c>
      <c r="E1627" t="s">
        <v>11576</v>
      </c>
      <c r="F1627" t="s">
        <v>1123</v>
      </c>
      <c r="G1627" t="s">
        <v>11577</v>
      </c>
      <c r="H1627" t="s">
        <v>11578</v>
      </c>
      <c r="I1627">
        <f t="shared" ca="1" si="100"/>
        <v>25</v>
      </c>
      <c r="J1627" t="str">
        <f t="shared" ca="1" si="101"/>
        <v>18-29</v>
      </c>
      <c r="K1627">
        <v>45847.519999999997</v>
      </c>
      <c r="L1627" t="str">
        <f>IF(Workforce[[#This Row],[Salary]]&lt;50000,"30k-49k",IF(Workforce[[#This Row],[Salary]]&lt;70000,"50k-69k",IF(Workforce[[#This Row],[Salary]]&lt;90000,"70k-89k","90k+")))</f>
        <v>30k-49k</v>
      </c>
      <c r="M1627" t="s">
        <v>11579</v>
      </c>
      <c r="N1627">
        <f t="shared" ca="1" si="102"/>
        <v>4</v>
      </c>
      <c r="O1627" t="str">
        <f t="shared" ca="1" si="103"/>
        <v>Intermediate level</v>
      </c>
    </row>
    <row r="1628" spans="1:15" x14ac:dyDescent="0.3">
      <c r="A1628" t="s">
        <v>11580</v>
      </c>
      <c r="B1628" t="s">
        <v>11581</v>
      </c>
      <c r="C1628" t="s">
        <v>317</v>
      </c>
      <c r="D1628" t="s">
        <v>11582</v>
      </c>
      <c r="E1628" t="s">
        <v>11583</v>
      </c>
      <c r="F1628" t="s">
        <v>8689</v>
      </c>
      <c r="G1628" t="s">
        <v>11584</v>
      </c>
      <c r="H1628" t="s">
        <v>11585</v>
      </c>
      <c r="I1628">
        <f t="shared" ca="1" si="100"/>
        <v>22</v>
      </c>
      <c r="J1628" t="str">
        <f t="shared" ca="1" si="101"/>
        <v>18-29</v>
      </c>
      <c r="K1628">
        <v>69750</v>
      </c>
      <c r="L1628" t="str">
        <f>IF(Workforce[[#This Row],[Salary]]&lt;50000,"30k-49k",IF(Workforce[[#This Row],[Salary]]&lt;70000,"50k-69k",IF(Workforce[[#This Row],[Salary]]&lt;90000,"70k-89k","90k+")))</f>
        <v>50k-69k</v>
      </c>
      <c r="M1628" t="s">
        <v>841</v>
      </c>
      <c r="N1628">
        <f t="shared" ca="1" si="102"/>
        <v>6</v>
      </c>
      <c r="O1628" t="str">
        <f t="shared" ca="1" si="103"/>
        <v>Intermediate level</v>
      </c>
    </row>
    <row r="1629" spans="1:15" x14ac:dyDescent="0.3">
      <c r="A1629" t="s">
        <v>11586</v>
      </c>
      <c r="B1629" t="s">
        <v>11587</v>
      </c>
      <c r="C1629" t="s">
        <v>653</v>
      </c>
      <c r="D1629" t="s">
        <v>11588</v>
      </c>
      <c r="E1629" t="s">
        <v>11589</v>
      </c>
      <c r="F1629" t="s">
        <v>3986</v>
      </c>
      <c r="G1629" t="s">
        <v>5149</v>
      </c>
      <c r="H1629" t="s">
        <v>11590</v>
      </c>
      <c r="I1629">
        <f t="shared" ca="1" si="100"/>
        <v>66</v>
      </c>
      <c r="J1629" t="str">
        <f t="shared" ca="1" si="101"/>
        <v>60+</v>
      </c>
      <c r="K1629">
        <v>76158.02</v>
      </c>
      <c r="L1629" t="str">
        <f>IF(Workforce[[#This Row],[Salary]]&lt;50000,"30k-49k",IF(Workforce[[#This Row],[Salary]]&lt;70000,"50k-69k",IF(Workforce[[#This Row],[Salary]]&lt;90000,"70k-89k","90k+")))</f>
        <v>70k-89k</v>
      </c>
      <c r="M1629" t="s">
        <v>11591</v>
      </c>
      <c r="N1629">
        <f t="shared" ca="1" si="102"/>
        <v>6</v>
      </c>
      <c r="O1629" t="str">
        <f t="shared" ca="1" si="103"/>
        <v>Intermediate level</v>
      </c>
    </row>
    <row r="1630" spans="1:15" x14ac:dyDescent="0.3">
      <c r="A1630" t="s">
        <v>11592</v>
      </c>
      <c r="B1630" t="s">
        <v>11593</v>
      </c>
      <c r="C1630" t="s">
        <v>196</v>
      </c>
      <c r="D1630" t="s">
        <v>11594</v>
      </c>
      <c r="E1630" t="s">
        <v>11595</v>
      </c>
      <c r="F1630" t="s">
        <v>4060</v>
      </c>
      <c r="G1630" t="s">
        <v>11596</v>
      </c>
      <c r="H1630" t="s">
        <v>11597</v>
      </c>
      <c r="I1630">
        <f t="shared" ca="1" si="100"/>
        <v>51</v>
      </c>
      <c r="J1630" t="str">
        <f t="shared" ca="1" si="101"/>
        <v>50-59</v>
      </c>
      <c r="K1630">
        <v>42574.6</v>
      </c>
      <c r="L1630" t="str">
        <f>IF(Workforce[[#This Row],[Salary]]&lt;50000,"30k-49k",IF(Workforce[[#This Row],[Salary]]&lt;70000,"50k-69k",IF(Workforce[[#This Row],[Salary]]&lt;90000,"70k-89k","90k+")))</f>
        <v>30k-49k</v>
      </c>
      <c r="M1630" t="s">
        <v>2404</v>
      </c>
      <c r="N1630">
        <f t="shared" ca="1" si="102"/>
        <v>7</v>
      </c>
      <c r="O1630" t="str">
        <f t="shared" ca="1" si="103"/>
        <v>Senior level</v>
      </c>
    </row>
    <row r="1631" spans="1:15" x14ac:dyDescent="0.3">
      <c r="A1631" t="s">
        <v>11598</v>
      </c>
      <c r="B1631" t="s">
        <v>11599</v>
      </c>
      <c r="C1631" t="s">
        <v>169</v>
      </c>
      <c r="D1631" t="s">
        <v>11600</v>
      </c>
      <c r="E1631" t="s">
        <v>11601</v>
      </c>
      <c r="F1631" t="s">
        <v>320</v>
      </c>
      <c r="G1631" t="s">
        <v>11602</v>
      </c>
      <c r="H1631" t="s">
        <v>11603</v>
      </c>
      <c r="I1631">
        <f t="shared" ca="1" si="100"/>
        <v>49</v>
      </c>
      <c r="J1631" t="str">
        <f t="shared" ca="1" si="101"/>
        <v>40-49</v>
      </c>
      <c r="K1631">
        <v>33498.26</v>
      </c>
      <c r="L1631" t="str">
        <f>IF(Workforce[[#This Row],[Salary]]&lt;50000,"30k-49k",IF(Workforce[[#This Row],[Salary]]&lt;70000,"50k-69k",IF(Workforce[[#This Row],[Salary]]&lt;90000,"70k-89k","90k+")))</f>
        <v>30k-49k</v>
      </c>
      <c r="M1631" t="s">
        <v>11604</v>
      </c>
      <c r="N1631">
        <f t="shared" ca="1" si="102"/>
        <v>2</v>
      </c>
      <c r="O1631" t="str">
        <f t="shared" ca="1" si="103"/>
        <v>Beginner</v>
      </c>
    </row>
    <row r="1632" spans="1:15" x14ac:dyDescent="0.3">
      <c r="A1632" t="s">
        <v>11605</v>
      </c>
      <c r="B1632" t="s">
        <v>11606</v>
      </c>
      <c r="C1632" t="s">
        <v>240</v>
      </c>
      <c r="D1632" t="s">
        <v>11607</v>
      </c>
      <c r="E1632" t="s">
        <v>11608</v>
      </c>
      <c r="F1632" t="s">
        <v>3028</v>
      </c>
      <c r="G1632" t="s">
        <v>11609</v>
      </c>
      <c r="H1632" t="s">
        <v>8843</v>
      </c>
      <c r="I1632">
        <f t="shared" ca="1" si="100"/>
        <v>46</v>
      </c>
      <c r="J1632" t="str">
        <f t="shared" ca="1" si="101"/>
        <v>40-49</v>
      </c>
      <c r="K1632">
        <v>51273.4</v>
      </c>
      <c r="L1632" t="str">
        <f>IF(Workforce[[#This Row],[Salary]]&lt;50000,"30k-49k",IF(Workforce[[#This Row],[Salary]]&lt;70000,"50k-69k",IF(Workforce[[#This Row],[Salary]]&lt;90000,"70k-89k","90k+")))</f>
        <v>50k-69k</v>
      </c>
      <c r="M1632" t="s">
        <v>11610</v>
      </c>
      <c r="N1632">
        <f t="shared" ca="1" si="102"/>
        <v>6</v>
      </c>
      <c r="O1632" t="str">
        <f t="shared" ca="1" si="103"/>
        <v>Intermediate level</v>
      </c>
    </row>
    <row r="1633" spans="1:15" x14ac:dyDescent="0.3">
      <c r="A1633" t="s">
        <v>11611</v>
      </c>
      <c r="B1633" t="s">
        <v>11612</v>
      </c>
      <c r="C1633" t="s">
        <v>1004</v>
      </c>
      <c r="D1633" t="s">
        <v>11613</v>
      </c>
      <c r="E1633" t="s">
        <v>11614</v>
      </c>
      <c r="F1633" t="s">
        <v>10802</v>
      </c>
      <c r="G1633" t="s">
        <v>11615</v>
      </c>
      <c r="H1633" t="s">
        <v>11616</v>
      </c>
      <c r="I1633">
        <f t="shared" ca="1" si="100"/>
        <v>36</v>
      </c>
      <c r="J1633" t="str">
        <f t="shared" ca="1" si="101"/>
        <v>30-39</v>
      </c>
      <c r="K1633">
        <v>112720.59</v>
      </c>
      <c r="L1633" t="str">
        <f>IF(Workforce[[#This Row],[Salary]]&lt;50000,"30k-49k",IF(Workforce[[#This Row],[Salary]]&lt;70000,"50k-69k",IF(Workforce[[#This Row],[Salary]]&lt;90000,"70k-89k","90k+")))</f>
        <v>90k+</v>
      </c>
      <c r="M1633" t="s">
        <v>11617</v>
      </c>
      <c r="N1633">
        <f t="shared" ca="1" si="102"/>
        <v>8</v>
      </c>
      <c r="O1633" t="str">
        <f t="shared" ca="1" si="103"/>
        <v>Senior level</v>
      </c>
    </row>
    <row r="1634" spans="1:15" x14ac:dyDescent="0.3">
      <c r="A1634" t="s">
        <v>11618</v>
      </c>
      <c r="B1634" t="s">
        <v>11619</v>
      </c>
      <c r="C1634" t="s">
        <v>97</v>
      </c>
      <c r="D1634" t="s">
        <v>11620</v>
      </c>
      <c r="E1634" t="s">
        <v>11621</v>
      </c>
      <c r="F1634" t="s">
        <v>11622</v>
      </c>
      <c r="G1634" t="s">
        <v>11623</v>
      </c>
      <c r="H1634" t="s">
        <v>11624</v>
      </c>
      <c r="I1634">
        <f t="shared" ca="1" si="100"/>
        <v>19</v>
      </c>
      <c r="J1634" t="str">
        <f t="shared" ca="1" si="101"/>
        <v>18-29</v>
      </c>
      <c r="K1634">
        <v>90430.23</v>
      </c>
      <c r="L1634" t="str">
        <f>IF(Workforce[[#This Row],[Salary]]&lt;50000,"30k-49k",IF(Workforce[[#This Row],[Salary]]&lt;70000,"50k-69k",IF(Workforce[[#This Row],[Salary]]&lt;90000,"70k-89k","90k+")))</f>
        <v>90k+</v>
      </c>
      <c r="M1634" t="s">
        <v>10301</v>
      </c>
      <c r="N1634">
        <f t="shared" ca="1" si="102"/>
        <v>8</v>
      </c>
      <c r="O1634" t="str">
        <f t="shared" ca="1" si="103"/>
        <v>Senior level</v>
      </c>
    </row>
    <row r="1635" spans="1:15" x14ac:dyDescent="0.3">
      <c r="A1635" t="s">
        <v>11625</v>
      </c>
      <c r="B1635" t="s">
        <v>11626</v>
      </c>
      <c r="C1635" t="s">
        <v>187</v>
      </c>
      <c r="D1635" t="s">
        <v>11627</v>
      </c>
      <c r="E1635" t="s">
        <v>11628</v>
      </c>
      <c r="F1635" t="s">
        <v>3929</v>
      </c>
      <c r="G1635" t="s">
        <v>11629</v>
      </c>
      <c r="H1635" t="s">
        <v>11630</v>
      </c>
      <c r="I1635">
        <f t="shared" ca="1" si="100"/>
        <v>37</v>
      </c>
      <c r="J1635" t="str">
        <f t="shared" ca="1" si="101"/>
        <v>30-39</v>
      </c>
      <c r="K1635">
        <v>89412.99</v>
      </c>
      <c r="L1635" t="str">
        <f>IF(Workforce[[#This Row],[Salary]]&lt;50000,"30k-49k",IF(Workforce[[#This Row],[Salary]]&lt;70000,"50k-69k",IF(Workforce[[#This Row],[Salary]]&lt;90000,"70k-89k","90k+")))</f>
        <v>70k-89k</v>
      </c>
      <c r="M1635" t="s">
        <v>1391</v>
      </c>
      <c r="N1635">
        <f t="shared" ca="1" si="102"/>
        <v>3</v>
      </c>
      <c r="O1635" t="str">
        <f t="shared" ca="1" si="103"/>
        <v>Intermediate level</v>
      </c>
    </row>
    <row r="1636" spans="1:15" x14ac:dyDescent="0.3">
      <c r="A1636" t="s">
        <v>11631</v>
      </c>
      <c r="B1636" t="s">
        <v>11632</v>
      </c>
      <c r="C1636" t="s">
        <v>240</v>
      </c>
      <c r="D1636" t="s">
        <v>11633</v>
      </c>
      <c r="E1636" t="s">
        <v>11634</v>
      </c>
      <c r="F1636" t="s">
        <v>1273</v>
      </c>
      <c r="G1636" t="s">
        <v>2110</v>
      </c>
      <c r="H1636" t="s">
        <v>11635</v>
      </c>
      <c r="I1636">
        <f t="shared" ca="1" si="100"/>
        <v>53</v>
      </c>
      <c r="J1636" t="str">
        <f t="shared" ca="1" si="101"/>
        <v>50-59</v>
      </c>
      <c r="K1636">
        <v>52776.28</v>
      </c>
      <c r="L1636" t="str">
        <f>IF(Workforce[[#This Row],[Salary]]&lt;50000,"30k-49k",IF(Workforce[[#This Row],[Salary]]&lt;70000,"50k-69k",IF(Workforce[[#This Row],[Salary]]&lt;90000,"70k-89k","90k+")))</f>
        <v>50k-69k</v>
      </c>
      <c r="M1636" t="s">
        <v>11636</v>
      </c>
      <c r="N1636">
        <f t="shared" ca="1" si="102"/>
        <v>4</v>
      </c>
      <c r="O1636" t="str">
        <f t="shared" ca="1" si="103"/>
        <v>Intermediate level</v>
      </c>
    </row>
    <row r="1637" spans="1:15" x14ac:dyDescent="0.3">
      <c r="A1637" t="s">
        <v>11637</v>
      </c>
      <c r="B1637" t="s">
        <v>11638</v>
      </c>
      <c r="C1637" t="s">
        <v>757</v>
      </c>
      <c r="D1637" t="s">
        <v>11639</v>
      </c>
      <c r="E1637" t="s">
        <v>11640</v>
      </c>
      <c r="F1637" t="s">
        <v>639</v>
      </c>
      <c r="G1637" t="s">
        <v>11641</v>
      </c>
      <c r="H1637" t="s">
        <v>11642</v>
      </c>
      <c r="I1637">
        <f t="shared" ca="1" si="100"/>
        <v>52</v>
      </c>
      <c r="J1637" t="str">
        <f t="shared" ca="1" si="101"/>
        <v>50-59</v>
      </c>
      <c r="K1637">
        <v>107768.53</v>
      </c>
      <c r="L1637" t="str">
        <f>IF(Workforce[[#This Row],[Salary]]&lt;50000,"30k-49k",IF(Workforce[[#This Row],[Salary]]&lt;70000,"50k-69k",IF(Workforce[[#This Row],[Salary]]&lt;90000,"70k-89k","90k+")))</f>
        <v>90k+</v>
      </c>
      <c r="M1637" t="s">
        <v>5419</v>
      </c>
      <c r="N1637">
        <f t="shared" ca="1" si="102"/>
        <v>3</v>
      </c>
      <c r="O1637" t="str">
        <f t="shared" ca="1" si="103"/>
        <v>Intermediate level</v>
      </c>
    </row>
    <row r="1638" spans="1:15" x14ac:dyDescent="0.3">
      <c r="A1638" t="s">
        <v>11643</v>
      </c>
      <c r="B1638" t="s">
        <v>11644</v>
      </c>
      <c r="C1638" t="s">
        <v>26</v>
      </c>
      <c r="D1638" t="s">
        <v>11645</v>
      </c>
      <c r="E1638" t="s">
        <v>11646</v>
      </c>
      <c r="F1638" t="s">
        <v>5940</v>
      </c>
      <c r="G1638" t="s">
        <v>11647</v>
      </c>
      <c r="H1638" t="s">
        <v>11648</v>
      </c>
      <c r="I1638">
        <f t="shared" ca="1" si="100"/>
        <v>34</v>
      </c>
      <c r="J1638" t="str">
        <f t="shared" ca="1" si="101"/>
        <v>30-39</v>
      </c>
      <c r="K1638">
        <v>100302.91</v>
      </c>
      <c r="L1638" t="str">
        <f>IF(Workforce[[#This Row],[Salary]]&lt;50000,"30k-49k",IF(Workforce[[#This Row],[Salary]]&lt;70000,"50k-69k",IF(Workforce[[#This Row],[Salary]]&lt;90000,"70k-89k","90k+")))</f>
        <v>90k+</v>
      </c>
      <c r="M1638" t="s">
        <v>11649</v>
      </c>
      <c r="N1638">
        <f t="shared" ca="1" si="102"/>
        <v>4</v>
      </c>
      <c r="O1638" t="str">
        <f t="shared" ca="1" si="103"/>
        <v>Intermediate level</v>
      </c>
    </row>
    <row r="1639" spans="1:15" x14ac:dyDescent="0.3">
      <c r="A1639" t="s">
        <v>11650</v>
      </c>
      <c r="B1639" t="s">
        <v>11651</v>
      </c>
      <c r="C1639" t="s">
        <v>213</v>
      </c>
      <c r="D1639" t="s">
        <v>11652</v>
      </c>
      <c r="E1639" t="s">
        <v>11653</v>
      </c>
      <c r="F1639" t="s">
        <v>345</v>
      </c>
      <c r="G1639" t="s">
        <v>11654</v>
      </c>
      <c r="H1639" t="s">
        <v>11655</v>
      </c>
      <c r="I1639">
        <f t="shared" ca="1" si="100"/>
        <v>21</v>
      </c>
      <c r="J1639" t="str">
        <f t="shared" ca="1" si="101"/>
        <v>18-29</v>
      </c>
      <c r="K1639">
        <v>64125.04</v>
      </c>
      <c r="L1639" t="str">
        <f>IF(Workforce[[#This Row],[Salary]]&lt;50000,"30k-49k",IF(Workforce[[#This Row],[Salary]]&lt;70000,"50k-69k",IF(Workforce[[#This Row],[Salary]]&lt;90000,"70k-89k","90k+")))</f>
        <v>50k-69k</v>
      </c>
      <c r="M1639" t="s">
        <v>11656</v>
      </c>
      <c r="N1639">
        <f t="shared" ca="1" si="102"/>
        <v>5</v>
      </c>
      <c r="O1639" t="str">
        <f t="shared" ca="1" si="103"/>
        <v>Intermediate level</v>
      </c>
    </row>
    <row r="1640" spans="1:15" x14ac:dyDescent="0.3">
      <c r="A1640" t="s">
        <v>11657</v>
      </c>
      <c r="B1640" t="s">
        <v>11658</v>
      </c>
      <c r="C1640" t="s">
        <v>275</v>
      </c>
      <c r="D1640" t="s">
        <v>11659</v>
      </c>
      <c r="E1640" t="s">
        <v>11660</v>
      </c>
      <c r="F1640" t="s">
        <v>7356</v>
      </c>
      <c r="G1640" t="s">
        <v>11661</v>
      </c>
      <c r="H1640" t="s">
        <v>11662</v>
      </c>
      <c r="I1640">
        <f t="shared" ca="1" si="100"/>
        <v>20</v>
      </c>
      <c r="J1640" t="str">
        <f t="shared" ca="1" si="101"/>
        <v>18-29</v>
      </c>
      <c r="K1640">
        <v>46638.96</v>
      </c>
      <c r="L1640" t="str">
        <f>IF(Workforce[[#This Row],[Salary]]&lt;50000,"30k-49k",IF(Workforce[[#This Row],[Salary]]&lt;70000,"50k-69k",IF(Workforce[[#This Row],[Salary]]&lt;90000,"70k-89k","90k+")))</f>
        <v>30k-49k</v>
      </c>
      <c r="M1640" t="s">
        <v>11663</v>
      </c>
      <c r="N1640">
        <f t="shared" ca="1" si="102"/>
        <v>2</v>
      </c>
      <c r="O1640" t="str">
        <f t="shared" ca="1" si="103"/>
        <v>Beginner</v>
      </c>
    </row>
    <row r="1641" spans="1:15" x14ac:dyDescent="0.3">
      <c r="A1641" t="s">
        <v>11664</v>
      </c>
      <c r="B1641" t="s">
        <v>11665</v>
      </c>
      <c r="C1641" t="s">
        <v>106</v>
      </c>
      <c r="D1641" t="s">
        <v>11666</v>
      </c>
      <c r="E1641" t="s">
        <v>11667</v>
      </c>
      <c r="F1641" t="s">
        <v>9460</v>
      </c>
      <c r="G1641" t="s">
        <v>11668</v>
      </c>
      <c r="H1641" t="s">
        <v>11669</v>
      </c>
      <c r="I1641">
        <f t="shared" ca="1" si="100"/>
        <v>33</v>
      </c>
      <c r="J1641" t="str">
        <f t="shared" ca="1" si="101"/>
        <v>30-39</v>
      </c>
      <c r="K1641">
        <v>73631.37</v>
      </c>
      <c r="L1641" t="str">
        <f>IF(Workforce[[#This Row],[Salary]]&lt;50000,"30k-49k",IF(Workforce[[#This Row],[Salary]]&lt;70000,"50k-69k",IF(Workforce[[#This Row],[Salary]]&lt;90000,"70k-89k","90k+")))</f>
        <v>70k-89k</v>
      </c>
      <c r="M1641" t="s">
        <v>11670</v>
      </c>
      <c r="N1641">
        <f t="shared" ca="1" si="102"/>
        <v>6</v>
      </c>
      <c r="O1641" t="str">
        <f t="shared" ca="1" si="103"/>
        <v>Intermediate level</v>
      </c>
    </row>
    <row r="1642" spans="1:15" x14ac:dyDescent="0.3">
      <c r="A1642" t="s">
        <v>11671</v>
      </c>
      <c r="B1642" t="s">
        <v>11672</v>
      </c>
      <c r="C1642" t="s">
        <v>653</v>
      </c>
      <c r="D1642" t="s">
        <v>11673</v>
      </c>
      <c r="E1642" t="s">
        <v>11674</v>
      </c>
      <c r="F1642" t="s">
        <v>664</v>
      </c>
      <c r="G1642" t="s">
        <v>11675</v>
      </c>
      <c r="H1642" t="s">
        <v>11676</v>
      </c>
      <c r="I1642">
        <f t="shared" ca="1" si="100"/>
        <v>23</v>
      </c>
      <c r="J1642" t="str">
        <f t="shared" ca="1" si="101"/>
        <v>18-29</v>
      </c>
      <c r="K1642">
        <v>37677.74</v>
      </c>
      <c r="L1642" t="str">
        <f>IF(Workforce[[#This Row],[Salary]]&lt;50000,"30k-49k",IF(Workforce[[#This Row],[Salary]]&lt;70000,"50k-69k",IF(Workforce[[#This Row],[Salary]]&lt;90000,"70k-89k","90k+")))</f>
        <v>30k-49k</v>
      </c>
      <c r="M1642" t="s">
        <v>11677</v>
      </c>
      <c r="N1642">
        <f t="shared" ca="1" si="102"/>
        <v>2</v>
      </c>
      <c r="O1642" t="str">
        <f t="shared" ca="1" si="103"/>
        <v>Beginner</v>
      </c>
    </row>
    <row r="1643" spans="1:15" x14ac:dyDescent="0.3">
      <c r="A1643" t="s">
        <v>11678</v>
      </c>
      <c r="B1643" t="s">
        <v>11679</v>
      </c>
      <c r="C1643" t="s">
        <v>124</v>
      </c>
      <c r="D1643" t="s">
        <v>11680</v>
      </c>
      <c r="E1643" t="s">
        <v>11681</v>
      </c>
      <c r="F1643" t="s">
        <v>2401</v>
      </c>
      <c r="G1643" t="s">
        <v>11682</v>
      </c>
      <c r="H1643" t="s">
        <v>11683</v>
      </c>
      <c r="I1643">
        <f t="shared" ca="1" si="100"/>
        <v>60</v>
      </c>
      <c r="J1643" t="str">
        <f t="shared" ca="1" si="101"/>
        <v>60+</v>
      </c>
      <c r="K1643">
        <v>107170.32</v>
      </c>
      <c r="L1643" t="str">
        <f>IF(Workforce[[#This Row],[Salary]]&lt;50000,"30k-49k",IF(Workforce[[#This Row],[Salary]]&lt;70000,"50k-69k",IF(Workforce[[#This Row],[Salary]]&lt;90000,"70k-89k","90k+")))</f>
        <v>90k+</v>
      </c>
      <c r="M1643" t="s">
        <v>3815</v>
      </c>
      <c r="N1643">
        <f t="shared" ca="1" si="102"/>
        <v>7</v>
      </c>
      <c r="O1643" t="str">
        <f t="shared" ca="1" si="103"/>
        <v>Senior level</v>
      </c>
    </row>
    <row r="1644" spans="1:15" x14ac:dyDescent="0.3">
      <c r="A1644" t="s">
        <v>11684</v>
      </c>
      <c r="B1644" t="s">
        <v>11685</v>
      </c>
      <c r="C1644" t="s">
        <v>604</v>
      </c>
      <c r="D1644" t="s">
        <v>11686</v>
      </c>
      <c r="E1644" t="s">
        <v>11687</v>
      </c>
      <c r="F1644" t="s">
        <v>1811</v>
      </c>
      <c r="G1644" t="s">
        <v>11688</v>
      </c>
      <c r="H1644" t="s">
        <v>11689</v>
      </c>
      <c r="I1644">
        <f t="shared" ca="1" si="100"/>
        <v>43</v>
      </c>
      <c r="J1644" t="str">
        <f t="shared" ca="1" si="101"/>
        <v>40-49</v>
      </c>
      <c r="K1644">
        <v>34101.22</v>
      </c>
      <c r="L1644" t="str">
        <f>IF(Workforce[[#This Row],[Salary]]&lt;50000,"30k-49k",IF(Workforce[[#This Row],[Salary]]&lt;70000,"50k-69k",IF(Workforce[[#This Row],[Salary]]&lt;90000,"70k-89k","90k+")))</f>
        <v>30k-49k</v>
      </c>
      <c r="M1644" t="s">
        <v>9219</v>
      </c>
      <c r="N1644">
        <f t="shared" ca="1" si="102"/>
        <v>0</v>
      </c>
      <c r="O1644" t="str">
        <f t="shared" ca="1" si="103"/>
        <v>Beginner</v>
      </c>
    </row>
    <row r="1645" spans="1:15" x14ac:dyDescent="0.3">
      <c r="A1645" t="s">
        <v>11690</v>
      </c>
      <c r="B1645" t="s">
        <v>11691</v>
      </c>
      <c r="C1645" t="s">
        <v>222</v>
      </c>
      <c r="D1645" t="s">
        <v>11692</v>
      </c>
      <c r="E1645" t="s">
        <v>11693</v>
      </c>
      <c r="F1645" t="s">
        <v>6763</v>
      </c>
      <c r="G1645" t="s">
        <v>11694</v>
      </c>
      <c r="H1645" t="s">
        <v>11695</v>
      </c>
      <c r="I1645">
        <f t="shared" ca="1" si="100"/>
        <v>23</v>
      </c>
      <c r="J1645" t="str">
        <f t="shared" ca="1" si="101"/>
        <v>18-29</v>
      </c>
      <c r="K1645">
        <v>73265.7</v>
      </c>
      <c r="L1645" t="str">
        <f>IF(Workforce[[#This Row],[Salary]]&lt;50000,"30k-49k",IF(Workforce[[#This Row],[Salary]]&lt;70000,"50k-69k",IF(Workforce[[#This Row],[Salary]]&lt;90000,"70k-89k","90k+")))</f>
        <v>70k-89k</v>
      </c>
      <c r="M1645" t="s">
        <v>11696</v>
      </c>
      <c r="N1645">
        <f t="shared" ca="1" si="102"/>
        <v>10</v>
      </c>
      <c r="O1645" t="str">
        <f t="shared" ca="1" si="103"/>
        <v>Senior level</v>
      </c>
    </row>
    <row r="1646" spans="1:15" x14ac:dyDescent="0.3">
      <c r="A1646" t="s">
        <v>11697</v>
      </c>
      <c r="B1646" t="s">
        <v>11698</v>
      </c>
      <c r="C1646" t="s">
        <v>757</v>
      </c>
      <c r="D1646" t="s">
        <v>11699</v>
      </c>
      <c r="E1646" t="s">
        <v>11700</v>
      </c>
      <c r="F1646" t="s">
        <v>1927</v>
      </c>
      <c r="G1646" t="s">
        <v>11701</v>
      </c>
      <c r="H1646" t="s">
        <v>11702</v>
      </c>
      <c r="I1646">
        <f t="shared" ca="1" si="100"/>
        <v>63</v>
      </c>
      <c r="J1646" t="str">
        <f t="shared" ca="1" si="101"/>
        <v>60+</v>
      </c>
      <c r="K1646">
        <v>110148.9</v>
      </c>
      <c r="L1646" t="str">
        <f>IF(Workforce[[#This Row],[Salary]]&lt;50000,"30k-49k",IF(Workforce[[#This Row],[Salary]]&lt;70000,"50k-69k",IF(Workforce[[#This Row],[Salary]]&lt;90000,"70k-89k","90k+")))</f>
        <v>90k+</v>
      </c>
      <c r="M1646" t="s">
        <v>3749</v>
      </c>
      <c r="N1646">
        <f t="shared" ca="1" si="102"/>
        <v>8</v>
      </c>
      <c r="O1646" t="str">
        <f t="shared" ca="1" si="103"/>
        <v>Senior level</v>
      </c>
    </row>
    <row r="1647" spans="1:15" x14ac:dyDescent="0.3">
      <c r="A1647" t="s">
        <v>11703</v>
      </c>
      <c r="B1647" t="s">
        <v>11704</v>
      </c>
      <c r="C1647" t="s">
        <v>196</v>
      </c>
      <c r="D1647" t="s">
        <v>11705</v>
      </c>
      <c r="E1647" t="s">
        <v>11706</v>
      </c>
      <c r="F1647" t="s">
        <v>847</v>
      </c>
      <c r="G1647" t="s">
        <v>11707</v>
      </c>
      <c r="H1647" t="s">
        <v>11708</v>
      </c>
      <c r="I1647">
        <f t="shared" ca="1" si="100"/>
        <v>27</v>
      </c>
      <c r="J1647" t="str">
        <f t="shared" ca="1" si="101"/>
        <v>18-29</v>
      </c>
      <c r="K1647">
        <v>47215.34</v>
      </c>
      <c r="L1647" t="str">
        <f>IF(Workforce[[#This Row],[Salary]]&lt;50000,"30k-49k",IF(Workforce[[#This Row],[Salary]]&lt;70000,"50k-69k",IF(Workforce[[#This Row],[Salary]]&lt;90000,"70k-89k","90k+")))</f>
        <v>30k-49k</v>
      </c>
      <c r="M1647" t="s">
        <v>2323</v>
      </c>
      <c r="N1647">
        <f t="shared" ca="1" si="102"/>
        <v>10</v>
      </c>
      <c r="O1647" t="str">
        <f t="shared" ca="1" si="103"/>
        <v>Senior level</v>
      </c>
    </row>
    <row r="1648" spans="1:15" x14ac:dyDescent="0.3">
      <c r="A1648" t="s">
        <v>11709</v>
      </c>
      <c r="B1648" t="s">
        <v>11710</v>
      </c>
      <c r="C1648" t="s">
        <v>844</v>
      </c>
      <c r="D1648" t="s">
        <v>11711</v>
      </c>
      <c r="E1648" t="s">
        <v>11712</v>
      </c>
      <c r="F1648" t="s">
        <v>5910</v>
      </c>
      <c r="G1648" t="s">
        <v>11713</v>
      </c>
      <c r="H1648" t="s">
        <v>11714</v>
      </c>
      <c r="I1648">
        <f t="shared" ca="1" si="100"/>
        <v>33</v>
      </c>
      <c r="J1648" t="str">
        <f t="shared" ca="1" si="101"/>
        <v>30-39</v>
      </c>
      <c r="K1648">
        <v>62937.85</v>
      </c>
      <c r="L1648" t="str">
        <f>IF(Workforce[[#This Row],[Salary]]&lt;50000,"30k-49k",IF(Workforce[[#This Row],[Salary]]&lt;70000,"50k-69k",IF(Workforce[[#This Row],[Salary]]&lt;90000,"70k-89k","90k+")))</f>
        <v>50k-69k</v>
      </c>
      <c r="M1648" t="s">
        <v>11715</v>
      </c>
      <c r="N1648">
        <f t="shared" ca="1" si="102"/>
        <v>7</v>
      </c>
      <c r="O1648" t="str">
        <f t="shared" ca="1" si="103"/>
        <v>Senior level</v>
      </c>
    </row>
    <row r="1649" spans="1:15" x14ac:dyDescent="0.3">
      <c r="A1649" t="s">
        <v>11716</v>
      </c>
      <c r="B1649" t="s">
        <v>11717</v>
      </c>
      <c r="C1649" t="s">
        <v>169</v>
      </c>
      <c r="D1649" t="s">
        <v>11718</v>
      </c>
      <c r="E1649" t="s">
        <v>11719</v>
      </c>
      <c r="F1649" t="s">
        <v>2832</v>
      </c>
      <c r="G1649" t="s">
        <v>11720</v>
      </c>
      <c r="H1649" t="s">
        <v>11721</v>
      </c>
      <c r="I1649">
        <f t="shared" ca="1" si="100"/>
        <v>49</v>
      </c>
      <c r="J1649" t="str">
        <f t="shared" ca="1" si="101"/>
        <v>40-49</v>
      </c>
      <c r="K1649">
        <v>37971.629999999997</v>
      </c>
      <c r="L1649" t="str">
        <f>IF(Workforce[[#This Row],[Salary]]&lt;50000,"30k-49k",IF(Workforce[[#This Row],[Salary]]&lt;70000,"50k-69k",IF(Workforce[[#This Row],[Salary]]&lt;90000,"70k-89k","90k+")))</f>
        <v>30k-49k</v>
      </c>
      <c r="M1649" t="s">
        <v>3741</v>
      </c>
      <c r="N1649">
        <f t="shared" ca="1" si="102"/>
        <v>5</v>
      </c>
      <c r="O1649" t="str">
        <f t="shared" ca="1" si="103"/>
        <v>Intermediate level</v>
      </c>
    </row>
    <row r="1650" spans="1:15" x14ac:dyDescent="0.3">
      <c r="A1650" t="s">
        <v>11722</v>
      </c>
      <c r="B1650" t="s">
        <v>11723</v>
      </c>
      <c r="C1650" t="s">
        <v>35</v>
      </c>
      <c r="D1650" t="s">
        <v>11724</v>
      </c>
      <c r="E1650" t="s">
        <v>11725</v>
      </c>
      <c r="F1650" t="s">
        <v>894</v>
      </c>
      <c r="G1650" t="s">
        <v>11726</v>
      </c>
      <c r="H1650" t="s">
        <v>11727</v>
      </c>
      <c r="I1650">
        <f t="shared" ca="1" si="100"/>
        <v>36</v>
      </c>
      <c r="J1650" t="str">
        <f t="shared" ca="1" si="101"/>
        <v>30-39</v>
      </c>
      <c r="K1650">
        <v>31859.26</v>
      </c>
      <c r="L1650" t="str">
        <f>IF(Workforce[[#This Row],[Salary]]&lt;50000,"30k-49k",IF(Workforce[[#This Row],[Salary]]&lt;70000,"50k-69k",IF(Workforce[[#This Row],[Salary]]&lt;90000,"70k-89k","90k+")))</f>
        <v>30k-49k</v>
      </c>
      <c r="M1650" t="s">
        <v>6773</v>
      </c>
      <c r="N1650">
        <f t="shared" ca="1" si="102"/>
        <v>4</v>
      </c>
      <c r="O1650" t="str">
        <f t="shared" ca="1" si="103"/>
        <v>Intermediate level</v>
      </c>
    </row>
    <row r="1651" spans="1:15" x14ac:dyDescent="0.3">
      <c r="A1651" t="s">
        <v>11728</v>
      </c>
      <c r="B1651" t="s">
        <v>11729</v>
      </c>
      <c r="C1651" t="s">
        <v>653</v>
      </c>
      <c r="D1651" t="s">
        <v>11730</v>
      </c>
      <c r="E1651" t="s">
        <v>11731</v>
      </c>
      <c r="F1651" t="s">
        <v>11168</v>
      </c>
      <c r="G1651" t="s">
        <v>11732</v>
      </c>
      <c r="H1651" t="s">
        <v>11733</v>
      </c>
      <c r="I1651">
        <f t="shared" ca="1" si="100"/>
        <v>35</v>
      </c>
      <c r="J1651" t="str">
        <f t="shared" ca="1" si="101"/>
        <v>30-39</v>
      </c>
      <c r="K1651">
        <v>41486.82</v>
      </c>
      <c r="L1651" t="str">
        <f>IF(Workforce[[#This Row],[Salary]]&lt;50000,"30k-49k",IF(Workforce[[#This Row],[Salary]]&lt;70000,"50k-69k",IF(Workforce[[#This Row],[Salary]]&lt;90000,"70k-89k","90k+")))</f>
        <v>30k-49k</v>
      </c>
      <c r="M1651" t="s">
        <v>3874</v>
      </c>
      <c r="N1651">
        <f t="shared" ca="1" si="102"/>
        <v>10</v>
      </c>
      <c r="O1651" t="str">
        <f t="shared" ca="1" si="103"/>
        <v>Senior level</v>
      </c>
    </row>
    <row r="1652" spans="1:15" x14ac:dyDescent="0.3">
      <c r="A1652" t="s">
        <v>11734</v>
      </c>
      <c r="B1652" t="s">
        <v>11735</v>
      </c>
      <c r="C1652" t="s">
        <v>160</v>
      </c>
      <c r="D1652" t="s">
        <v>11736</v>
      </c>
      <c r="E1652" t="s">
        <v>11737</v>
      </c>
      <c r="F1652" t="s">
        <v>760</v>
      </c>
      <c r="G1652" t="s">
        <v>11738</v>
      </c>
      <c r="H1652" t="s">
        <v>11739</v>
      </c>
      <c r="I1652">
        <f t="shared" ca="1" si="100"/>
        <v>64</v>
      </c>
      <c r="J1652" t="str">
        <f t="shared" ca="1" si="101"/>
        <v>60+</v>
      </c>
      <c r="K1652">
        <v>93729.26</v>
      </c>
      <c r="L1652" t="str">
        <f>IF(Workforce[[#This Row],[Salary]]&lt;50000,"30k-49k",IF(Workforce[[#This Row],[Salary]]&lt;70000,"50k-69k",IF(Workforce[[#This Row],[Salary]]&lt;90000,"70k-89k","90k+")))</f>
        <v>90k+</v>
      </c>
      <c r="M1652" t="s">
        <v>2449</v>
      </c>
      <c r="N1652">
        <f t="shared" ca="1" si="102"/>
        <v>10</v>
      </c>
      <c r="O1652" t="str">
        <f t="shared" ca="1" si="103"/>
        <v>Senior level</v>
      </c>
    </row>
    <row r="1653" spans="1:15" x14ac:dyDescent="0.3">
      <c r="A1653" t="s">
        <v>11740</v>
      </c>
      <c r="B1653" t="s">
        <v>11741</v>
      </c>
      <c r="C1653" t="s">
        <v>133</v>
      </c>
      <c r="D1653" t="s">
        <v>11742</v>
      </c>
      <c r="E1653" t="s">
        <v>11743</v>
      </c>
      <c r="F1653" t="s">
        <v>118</v>
      </c>
      <c r="G1653" t="s">
        <v>11744</v>
      </c>
      <c r="H1653" t="s">
        <v>857</v>
      </c>
      <c r="I1653">
        <f t="shared" ca="1" si="100"/>
        <v>34</v>
      </c>
      <c r="J1653" t="str">
        <f t="shared" ca="1" si="101"/>
        <v>30-39</v>
      </c>
      <c r="K1653">
        <v>91030.78</v>
      </c>
      <c r="L1653" t="str">
        <f>IF(Workforce[[#This Row],[Salary]]&lt;50000,"30k-49k",IF(Workforce[[#This Row],[Salary]]&lt;70000,"50k-69k",IF(Workforce[[#This Row],[Salary]]&lt;90000,"70k-89k","90k+")))</f>
        <v>90k+</v>
      </c>
      <c r="M1653" t="s">
        <v>365</v>
      </c>
      <c r="N1653">
        <f t="shared" ca="1" si="102"/>
        <v>7</v>
      </c>
      <c r="O1653" t="str">
        <f t="shared" ca="1" si="103"/>
        <v>Senior level</v>
      </c>
    </row>
    <row r="1654" spans="1:15" x14ac:dyDescent="0.3">
      <c r="A1654" t="s">
        <v>11745</v>
      </c>
      <c r="B1654" t="s">
        <v>11746</v>
      </c>
      <c r="C1654" t="s">
        <v>400</v>
      </c>
      <c r="D1654" t="s">
        <v>11747</v>
      </c>
      <c r="E1654" t="s">
        <v>11748</v>
      </c>
      <c r="F1654" t="s">
        <v>1434</v>
      </c>
      <c r="G1654" t="s">
        <v>11749</v>
      </c>
      <c r="H1654" t="s">
        <v>11750</v>
      </c>
      <c r="I1654">
        <f t="shared" ca="1" si="100"/>
        <v>37</v>
      </c>
      <c r="J1654" t="str">
        <f t="shared" ca="1" si="101"/>
        <v>30-39</v>
      </c>
      <c r="K1654">
        <v>42529.71</v>
      </c>
      <c r="L1654" t="str">
        <f>IF(Workforce[[#This Row],[Salary]]&lt;50000,"30k-49k",IF(Workforce[[#This Row],[Salary]]&lt;70000,"50k-69k",IF(Workforce[[#This Row],[Salary]]&lt;90000,"70k-89k","90k+")))</f>
        <v>30k-49k</v>
      </c>
      <c r="M1654" t="s">
        <v>11751</v>
      </c>
      <c r="N1654">
        <f t="shared" ca="1" si="102"/>
        <v>9</v>
      </c>
      <c r="O1654" t="str">
        <f t="shared" ca="1" si="103"/>
        <v>Senior level</v>
      </c>
    </row>
    <row r="1655" spans="1:15" x14ac:dyDescent="0.3">
      <c r="A1655" t="s">
        <v>11752</v>
      </c>
      <c r="B1655" t="s">
        <v>11753</v>
      </c>
      <c r="C1655" t="s">
        <v>1004</v>
      </c>
      <c r="D1655" t="s">
        <v>11754</v>
      </c>
      <c r="E1655" t="s">
        <v>11755</v>
      </c>
      <c r="F1655" t="s">
        <v>3761</v>
      </c>
      <c r="G1655" t="s">
        <v>11756</v>
      </c>
      <c r="H1655" t="s">
        <v>8469</v>
      </c>
      <c r="I1655">
        <f t="shared" ca="1" si="100"/>
        <v>51</v>
      </c>
      <c r="J1655" t="str">
        <f t="shared" ca="1" si="101"/>
        <v>50-59</v>
      </c>
      <c r="K1655">
        <v>103537.78</v>
      </c>
      <c r="L1655" t="str">
        <f>IF(Workforce[[#This Row],[Salary]]&lt;50000,"30k-49k",IF(Workforce[[#This Row],[Salary]]&lt;70000,"50k-69k",IF(Workforce[[#This Row],[Salary]]&lt;90000,"70k-89k","90k+")))</f>
        <v>90k+</v>
      </c>
      <c r="M1655" t="s">
        <v>11757</v>
      </c>
      <c r="N1655">
        <f t="shared" ca="1" si="102"/>
        <v>4</v>
      </c>
      <c r="O1655" t="str">
        <f t="shared" ca="1" si="103"/>
        <v>Intermediate level</v>
      </c>
    </row>
    <row r="1656" spans="1:15" x14ac:dyDescent="0.3">
      <c r="A1656" t="s">
        <v>11758</v>
      </c>
      <c r="B1656" t="s">
        <v>11759</v>
      </c>
      <c r="C1656" t="s">
        <v>196</v>
      </c>
      <c r="D1656" t="s">
        <v>11760</v>
      </c>
      <c r="E1656" t="s">
        <v>11761</v>
      </c>
      <c r="F1656" t="s">
        <v>7920</v>
      </c>
      <c r="G1656" t="s">
        <v>11762</v>
      </c>
      <c r="H1656" t="s">
        <v>11763</v>
      </c>
      <c r="I1656">
        <f t="shared" ca="1" si="100"/>
        <v>22</v>
      </c>
      <c r="J1656" t="str">
        <f t="shared" ca="1" si="101"/>
        <v>18-29</v>
      </c>
      <c r="K1656">
        <v>98476.97</v>
      </c>
      <c r="L1656" t="str">
        <f>IF(Workforce[[#This Row],[Salary]]&lt;50000,"30k-49k",IF(Workforce[[#This Row],[Salary]]&lt;70000,"50k-69k",IF(Workforce[[#This Row],[Salary]]&lt;90000,"70k-89k","90k+")))</f>
        <v>90k+</v>
      </c>
      <c r="M1656" t="s">
        <v>11764</v>
      </c>
      <c r="N1656">
        <f t="shared" ca="1" si="102"/>
        <v>6</v>
      </c>
      <c r="O1656" t="str">
        <f t="shared" ca="1" si="103"/>
        <v>Intermediate level</v>
      </c>
    </row>
    <row r="1657" spans="1:15" x14ac:dyDescent="0.3">
      <c r="A1657" t="s">
        <v>11765</v>
      </c>
      <c r="B1657" t="s">
        <v>11766</v>
      </c>
      <c r="C1657" t="s">
        <v>44</v>
      </c>
      <c r="D1657" t="s">
        <v>11767</v>
      </c>
      <c r="E1657" t="s">
        <v>11768</v>
      </c>
      <c r="F1657" t="s">
        <v>7825</v>
      </c>
      <c r="G1657" t="s">
        <v>9825</v>
      </c>
      <c r="H1657" t="s">
        <v>11769</v>
      </c>
      <c r="I1657">
        <f t="shared" ca="1" si="100"/>
        <v>27</v>
      </c>
      <c r="J1657" t="str">
        <f t="shared" ca="1" si="101"/>
        <v>18-29</v>
      </c>
      <c r="K1657">
        <v>111641.79</v>
      </c>
      <c r="L1657" t="str">
        <f>IF(Workforce[[#This Row],[Salary]]&lt;50000,"30k-49k",IF(Workforce[[#This Row],[Salary]]&lt;70000,"50k-69k",IF(Workforce[[#This Row],[Salary]]&lt;90000,"70k-89k","90k+")))</f>
        <v>90k+</v>
      </c>
      <c r="M1657" t="s">
        <v>11770</v>
      </c>
      <c r="N1657">
        <f t="shared" ca="1" si="102"/>
        <v>9</v>
      </c>
      <c r="O1657" t="str">
        <f t="shared" ca="1" si="103"/>
        <v>Senior level</v>
      </c>
    </row>
    <row r="1658" spans="1:15" x14ac:dyDescent="0.3">
      <c r="A1658" t="s">
        <v>11771</v>
      </c>
      <c r="B1658" t="s">
        <v>11772</v>
      </c>
      <c r="C1658" t="s">
        <v>317</v>
      </c>
      <c r="D1658" t="s">
        <v>11773</v>
      </c>
      <c r="E1658" t="s">
        <v>11774</v>
      </c>
      <c r="F1658" t="s">
        <v>886</v>
      </c>
      <c r="G1658" t="s">
        <v>11775</v>
      </c>
      <c r="H1658" t="s">
        <v>11776</v>
      </c>
      <c r="I1658">
        <f t="shared" ca="1" si="100"/>
        <v>64</v>
      </c>
      <c r="J1658" t="str">
        <f t="shared" ca="1" si="101"/>
        <v>60+</v>
      </c>
      <c r="K1658">
        <v>44187.97</v>
      </c>
      <c r="L1658" t="str">
        <f>IF(Workforce[[#This Row],[Salary]]&lt;50000,"30k-49k",IF(Workforce[[#This Row],[Salary]]&lt;70000,"50k-69k",IF(Workforce[[#This Row],[Salary]]&lt;90000,"70k-89k","90k+")))</f>
        <v>30k-49k</v>
      </c>
      <c r="M1658" t="s">
        <v>11777</v>
      </c>
      <c r="N1658">
        <f t="shared" ca="1" si="102"/>
        <v>5</v>
      </c>
      <c r="O1658" t="str">
        <f t="shared" ca="1" si="103"/>
        <v>Intermediate level</v>
      </c>
    </row>
    <row r="1659" spans="1:15" x14ac:dyDescent="0.3">
      <c r="A1659" t="s">
        <v>11778</v>
      </c>
      <c r="B1659" t="s">
        <v>11779</v>
      </c>
      <c r="C1659" t="s">
        <v>142</v>
      </c>
      <c r="D1659" t="s">
        <v>11780</v>
      </c>
      <c r="E1659" t="s">
        <v>11781</v>
      </c>
      <c r="F1659" t="s">
        <v>1145</v>
      </c>
      <c r="G1659" t="s">
        <v>11782</v>
      </c>
      <c r="H1659" t="s">
        <v>11783</v>
      </c>
      <c r="I1659">
        <f t="shared" ca="1" si="100"/>
        <v>34</v>
      </c>
      <c r="J1659" t="str">
        <f t="shared" ca="1" si="101"/>
        <v>30-39</v>
      </c>
      <c r="K1659">
        <v>64662.58</v>
      </c>
      <c r="L1659" t="str">
        <f>IF(Workforce[[#This Row],[Salary]]&lt;50000,"30k-49k",IF(Workforce[[#This Row],[Salary]]&lt;70000,"50k-69k",IF(Workforce[[#This Row],[Salary]]&lt;90000,"70k-89k","90k+")))</f>
        <v>50k-69k</v>
      </c>
      <c r="M1659" t="s">
        <v>6112</v>
      </c>
      <c r="N1659">
        <f t="shared" ca="1" si="102"/>
        <v>1</v>
      </c>
      <c r="O1659" t="str">
        <f t="shared" ca="1" si="103"/>
        <v>Beginner</v>
      </c>
    </row>
    <row r="1660" spans="1:15" x14ac:dyDescent="0.3">
      <c r="A1660" t="s">
        <v>11784</v>
      </c>
      <c r="B1660" t="s">
        <v>11785</v>
      </c>
      <c r="C1660" t="s">
        <v>196</v>
      </c>
      <c r="D1660" t="s">
        <v>11786</v>
      </c>
      <c r="E1660" t="s">
        <v>11787</v>
      </c>
      <c r="F1660" t="s">
        <v>1525</v>
      </c>
      <c r="G1660" t="s">
        <v>11788</v>
      </c>
      <c r="H1660" t="s">
        <v>11789</v>
      </c>
      <c r="I1660">
        <f t="shared" ca="1" si="100"/>
        <v>49</v>
      </c>
      <c r="J1660" t="str">
        <f t="shared" ca="1" si="101"/>
        <v>40-49</v>
      </c>
      <c r="K1660">
        <v>83052.600000000006</v>
      </c>
      <c r="L1660" t="str">
        <f>IF(Workforce[[#This Row],[Salary]]&lt;50000,"30k-49k",IF(Workforce[[#This Row],[Salary]]&lt;70000,"50k-69k",IF(Workforce[[#This Row],[Salary]]&lt;90000,"70k-89k","90k+")))</f>
        <v>70k-89k</v>
      </c>
      <c r="M1660" t="s">
        <v>11790</v>
      </c>
      <c r="N1660">
        <f t="shared" ca="1" si="102"/>
        <v>8</v>
      </c>
      <c r="O1660" t="str">
        <f t="shared" ca="1" si="103"/>
        <v>Senior level</v>
      </c>
    </row>
    <row r="1661" spans="1:15" x14ac:dyDescent="0.3">
      <c r="A1661" t="s">
        <v>11740</v>
      </c>
      <c r="B1661" t="s">
        <v>11791</v>
      </c>
      <c r="C1661" t="s">
        <v>17</v>
      </c>
      <c r="D1661" t="s">
        <v>11792</v>
      </c>
      <c r="E1661" t="s">
        <v>11793</v>
      </c>
      <c r="F1661" t="s">
        <v>11430</v>
      </c>
      <c r="G1661" t="s">
        <v>10046</v>
      </c>
      <c r="H1661" t="s">
        <v>6249</v>
      </c>
      <c r="I1661">
        <f t="shared" ca="1" si="100"/>
        <v>35</v>
      </c>
      <c r="J1661" t="str">
        <f t="shared" ca="1" si="101"/>
        <v>30-39</v>
      </c>
      <c r="K1661">
        <v>73791.759999999995</v>
      </c>
      <c r="L1661" t="str">
        <f>IF(Workforce[[#This Row],[Salary]]&lt;50000,"30k-49k",IF(Workforce[[#This Row],[Salary]]&lt;70000,"50k-69k",IF(Workforce[[#This Row],[Salary]]&lt;90000,"70k-89k","90k+")))</f>
        <v>70k-89k</v>
      </c>
      <c r="M1661" t="s">
        <v>9463</v>
      </c>
      <c r="N1661">
        <f t="shared" ca="1" si="102"/>
        <v>7</v>
      </c>
      <c r="O1661" t="str">
        <f t="shared" ca="1" si="103"/>
        <v>Senior level</v>
      </c>
    </row>
    <row r="1662" spans="1:15" x14ac:dyDescent="0.3">
      <c r="A1662" t="s">
        <v>11794</v>
      </c>
      <c r="B1662" t="s">
        <v>11795</v>
      </c>
      <c r="C1662" t="s">
        <v>133</v>
      </c>
      <c r="D1662" t="s">
        <v>11796</v>
      </c>
      <c r="E1662" t="s">
        <v>11797</v>
      </c>
      <c r="F1662" t="s">
        <v>5134</v>
      </c>
      <c r="G1662" t="s">
        <v>11798</v>
      </c>
      <c r="H1662" t="s">
        <v>11799</v>
      </c>
      <c r="I1662">
        <f t="shared" ca="1" si="100"/>
        <v>48</v>
      </c>
      <c r="J1662" t="str">
        <f t="shared" ca="1" si="101"/>
        <v>40-49</v>
      </c>
      <c r="K1662">
        <v>64496.9</v>
      </c>
      <c r="L1662" t="str">
        <f>IF(Workforce[[#This Row],[Salary]]&lt;50000,"30k-49k",IF(Workforce[[#This Row],[Salary]]&lt;70000,"50k-69k",IF(Workforce[[#This Row],[Salary]]&lt;90000,"70k-89k","90k+")))</f>
        <v>50k-69k</v>
      </c>
      <c r="M1662" t="s">
        <v>11800</v>
      </c>
      <c r="N1662">
        <f t="shared" ca="1" si="102"/>
        <v>4</v>
      </c>
      <c r="O1662" t="str">
        <f t="shared" ca="1" si="103"/>
        <v>Intermediate level</v>
      </c>
    </row>
    <row r="1663" spans="1:15" x14ac:dyDescent="0.3">
      <c r="A1663" t="s">
        <v>11801</v>
      </c>
      <c r="B1663" t="s">
        <v>11802</v>
      </c>
      <c r="C1663" t="s">
        <v>653</v>
      </c>
      <c r="D1663" t="s">
        <v>11803</v>
      </c>
      <c r="E1663" t="s">
        <v>11804</v>
      </c>
      <c r="F1663" t="s">
        <v>10538</v>
      </c>
      <c r="G1663" t="s">
        <v>11805</v>
      </c>
      <c r="H1663" t="s">
        <v>11806</v>
      </c>
      <c r="I1663">
        <f t="shared" ca="1" si="100"/>
        <v>19</v>
      </c>
      <c r="J1663" t="str">
        <f t="shared" ca="1" si="101"/>
        <v>18-29</v>
      </c>
      <c r="K1663">
        <v>99554.32</v>
      </c>
      <c r="L1663" t="str">
        <f>IF(Workforce[[#This Row],[Salary]]&lt;50000,"30k-49k",IF(Workforce[[#This Row],[Salary]]&lt;70000,"50k-69k",IF(Workforce[[#This Row],[Salary]]&lt;90000,"70k-89k","90k+")))</f>
        <v>90k+</v>
      </c>
      <c r="M1663" t="s">
        <v>7082</v>
      </c>
      <c r="N1663">
        <f t="shared" ca="1" si="102"/>
        <v>10</v>
      </c>
      <c r="O1663" t="str">
        <f t="shared" ca="1" si="103"/>
        <v>Senior level</v>
      </c>
    </row>
    <row r="1664" spans="1:15" x14ac:dyDescent="0.3">
      <c r="A1664" t="s">
        <v>11807</v>
      </c>
      <c r="B1664" t="s">
        <v>11808</v>
      </c>
      <c r="C1664" t="s">
        <v>142</v>
      </c>
      <c r="D1664" t="s">
        <v>11809</v>
      </c>
      <c r="E1664" t="s">
        <v>11810</v>
      </c>
      <c r="F1664" t="s">
        <v>5394</v>
      </c>
      <c r="G1664" t="s">
        <v>11811</v>
      </c>
      <c r="H1664" t="s">
        <v>11812</v>
      </c>
      <c r="I1664">
        <f t="shared" ca="1" si="100"/>
        <v>53</v>
      </c>
      <c r="J1664" t="str">
        <f t="shared" ca="1" si="101"/>
        <v>50-59</v>
      </c>
      <c r="K1664">
        <v>87204.62</v>
      </c>
      <c r="L1664" t="str">
        <f>IF(Workforce[[#This Row],[Salary]]&lt;50000,"30k-49k",IF(Workforce[[#This Row],[Salary]]&lt;70000,"50k-69k",IF(Workforce[[#This Row],[Salary]]&lt;90000,"70k-89k","90k+")))</f>
        <v>70k-89k</v>
      </c>
      <c r="M1664" t="s">
        <v>11813</v>
      </c>
      <c r="N1664">
        <f t="shared" ca="1" si="102"/>
        <v>10</v>
      </c>
      <c r="O1664" t="str">
        <f t="shared" ca="1" si="103"/>
        <v>Senior level</v>
      </c>
    </row>
    <row r="1665" spans="1:15" x14ac:dyDescent="0.3">
      <c r="A1665" t="s">
        <v>11814</v>
      </c>
      <c r="B1665" t="s">
        <v>11815</v>
      </c>
      <c r="C1665" t="s">
        <v>70</v>
      </c>
      <c r="D1665" t="s">
        <v>11816</v>
      </c>
      <c r="E1665" t="s">
        <v>11817</v>
      </c>
      <c r="F1665" t="s">
        <v>7439</v>
      </c>
      <c r="G1665" t="s">
        <v>11818</v>
      </c>
      <c r="H1665" t="s">
        <v>11819</v>
      </c>
      <c r="I1665">
        <f t="shared" ca="1" si="100"/>
        <v>36</v>
      </c>
      <c r="J1665" t="str">
        <f t="shared" ca="1" si="101"/>
        <v>30-39</v>
      </c>
      <c r="K1665">
        <v>40394.54</v>
      </c>
      <c r="L1665" t="str">
        <f>IF(Workforce[[#This Row],[Salary]]&lt;50000,"30k-49k",IF(Workforce[[#This Row],[Salary]]&lt;70000,"50k-69k",IF(Workforce[[#This Row],[Salary]]&lt;90000,"70k-89k","90k+")))</f>
        <v>30k-49k</v>
      </c>
      <c r="M1665" t="s">
        <v>11820</v>
      </c>
      <c r="N1665">
        <f t="shared" ca="1" si="102"/>
        <v>1</v>
      </c>
      <c r="O1665" t="str">
        <f t="shared" ca="1" si="103"/>
        <v>Beginner</v>
      </c>
    </row>
    <row r="1666" spans="1:15" x14ac:dyDescent="0.3">
      <c r="A1666" t="s">
        <v>11821</v>
      </c>
      <c r="B1666" t="s">
        <v>11822</v>
      </c>
      <c r="C1666" t="s">
        <v>1043</v>
      </c>
      <c r="D1666" t="s">
        <v>11823</v>
      </c>
      <c r="E1666" t="s">
        <v>11824</v>
      </c>
      <c r="F1666" t="s">
        <v>1533</v>
      </c>
      <c r="G1666" t="s">
        <v>11825</v>
      </c>
      <c r="H1666" t="s">
        <v>11826</v>
      </c>
      <c r="I1666">
        <f t="shared" ref="I1666:I1729" ca="1" si="104">DATEDIF(H1666,TODAY(),"y")</f>
        <v>48</v>
      </c>
      <c r="J1666" t="str">
        <f t="shared" ref="J1666:J1729" ca="1" si="105">IF(I1666&lt;30,"18-29",IF(I1666&lt;40,"30-39",IF(I1666&lt;50,"40-49",IF(I1666&lt;60,"50-59","60+"))))</f>
        <v>40-49</v>
      </c>
      <c r="K1666">
        <v>69545.13</v>
      </c>
      <c r="L1666" t="str">
        <f>IF(Workforce[[#This Row],[Salary]]&lt;50000,"30k-49k",IF(Workforce[[#This Row],[Salary]]&lt;70000,"50k-69k",IF(Workforce[[#This Row],[Salary]]&lt;90000,"70k-89k","90k+")))</f>
        <v>50k-69k</v>
      </c>
      <c r="M1666" t="s">
        <v>2205</v>
      </c>
      <c r="N1666">
        <f t="shared" ref="N1666:N1729" ca="1" si="106">DATEDIF(M1666,TODAY(),"y")</f>
        <v>6</v>
      </c>
      <c r="O1666" t="str">
        <f t="shared" ref="O1666:O1729" ca="1" si="107">IF(N1666&lt;=2,"Beginner",IF(N1666&lt;=6,"Intermediate level","Senior level"))</f>
        <v>Intermediate level</v>
      </c>
    </row>
    <row r="1667" spans="1:15" x14ac:dyDescent="0.3">
      <c r="A1667" t="s">
        <v>11827</v>
      </c>
      <c r="B1667" t="s">
        <v>11828</v>
      </c>
      <c r="C1667" t="s">
        <v>774</v>
      </c>
      <c r="D1667" t="s">
        <v>11829</v>
      </c>
      <c r="E1667" t="s">
        <v>11830</v>
      </c>
      <c r="F1667" t="s">
        <v>6748</v>
      </c>
      <c r="G1667" t="s">
        <v>11831</v>
      </c>
      <c r="H1667" t="s">
        <v>11832</v>
      </c>
      <c r="I1667">
        <f t="shared" ca="1" si="104"/>
        <v>65</v>
      </c>
      <c r="J1667" t="str">
        <f t="shared" ca="1" si="105"/>
        <v>60+</v>
      </c>
      <c r="K1667">
        <v>42833.63</v>
      </c>
      <c r="L1667" t="str">
        <f>IF(Workforce[[#This Row],[Salary]]&lt;50000,"30k-49k",IF(Workforce[[#This Row],[Salary]]&lt;70000,"50k-69k",IF(Workforce[[#This Row],[Salary]]&lt;90000,"70k-89k","90k+")))</f>
        <v>30k-49k</v>
      </c>
      <c r="M1667" t="s">
        <v>11833</v>
      </c>
      <c r="N1667">
        <f t="shared" ca="1" si="106"/>
        <v>4</v>
      </c>
      <c r="O1667" t="str">
        <f t="shared" ca="1" si="107"/>
        <v>Intermediate level</v>
      </c>
    </row>
    <row r="1668" spans="1:15" x14ac:dyDescent="0.3">
      <c r="A1668" t="s">
        <v>11834</v>
      </c>
      <c r="B1668" t="s">
        <v>11835</v>
      </c>
      <c r="C1668" t="s">
        <v>70</v>
      </c>
      <c r="D1668" t="s">
        <v>11836</v>
      </c>
      <c r="E1668" t="s">
        <v>11837</v>
      </c>
      <c r="F1668" t="s">
        <v>574</v>
      </c>
      <c r="G1668" t="s">
        <v>11838</v>
      </c>
      <c r="H1668" t="s">
        <v>11839</v>
      </c>
      <c r="I1668">
        <f t="shared" ca="1" si="104"/>
        <v>59</v>
      </c>
      <c r="J1668" t="str">
        <f t="shared" ca="1" si="105"/>
        <v>50-59</v>
      </c>
      <c r="K1668">
        <v>99244.66</v>
      </c>
      <c r="L1668" t="str">
        <f>IF(Workforce[[#This Row],[Salary]]&lt;50000,"30k-49k",IF(Workforce[[#This Row],[Salary]]&lt;70000,"50k-69k",IF(Workforce[[#This Row],[Salary]]&lt;90000,"70k-89k","90k+")))</f>
        <v>90k+</v>
      </c>
      <c r="M1668" t="s">
        <v>11840</v>
      </c>
      <c r="N1668">
        <f t="shared" ca="1" si="106"/>
        <v>6</v>
      </c>
      <c r="O1668" t="str">
        <f t="shared" ca="1" si="107"/>
        <v>Intermediate level</v>
      </c>
    </row>
    <row r="1669" spans="1:15" x14ac:dyDescent="0.3">
      <c r="A1669" t="s">
        <v>11841</v>
      </c>
      <c r="B1669" t="s">
        <v>11842</v>
      </c>
      <c r="C1669" t="s">
        <v>44</v>
      </c>
      <c r="D1669" t="s">
        <v>11843</v>
      </c>
      <c r="E1669" t="s">
        <v>11844</v>
      </c>
      <c r="F1669" t="s">
        <v>1178</v>
      </c>
      <c r="G1669" t="s">
        <v>6298</v>
      </c>
      <c r="H1669" t="s">
        <v>11845</v>
      </c>
      <c r="I1669">
        <f t="shared" ca="1" si="104"/>
        <v>48</v>
      </c>
      <c r="J1669" t="str">
        <f t="shared" ca="1" si="105"/>
        <v>40-49</v>
      </c>
      <c r="K1669">
        <v>85097.84</v>
      </c>
      <c r="L1669" t="str">
        <f>IF(Workforce[[#This Row],[Salary]]&lt;50000,"30k-49k",IF(Workforce[[#This Row],[Salary]]&lt;70000,"50k-69k",IF(Workforce[[#This Row],[Salary]]&lt;90000,"70k-89k","90k+")))</f>
        <v>70k-89k</v>
      </c>
      <c r="M1669" t="s">
        <v>11846</v>
      </c>
      <c r="N1669">
        <f t="shared" ca="1" si="106"/>
        <v>4</v>
      </c>
      <c r="O1669" t="str">
        <f t="shared" ca="1" si="107"/>
        <v>Intermediate level</v>
      </c>
    </row>
    <row r="1670" spans="1:15" x14ac:dyDescent="0.3">
      <c r="A1670" t="s">
        <v>11847</v>
      </c>
      <c r="B1670" t="s">
        <v>11848</v>
      </c>
      <c r="C1670" t="s">
        <v>757</v>
      </c>
      <c r="D1670" t="s">
        <v>11849</v>
      </c>
      <c r="E1670" t="s">
        <v>11850</v>
      </c>
      <c r="F1670" t="s">
        <v>3828</v>
      </c>
      <c r="G1670" t="s">
        <v>11851</v>
      </c>
      <c r="H1670" t="s">
        <v>11852</v>
      </c>
      <c r="I1670">
        <f t="shared" ca="1" si="104"/>
        <v>29</v>
      </c>
      <c r="J1670" t="str">
        <f t="shared" ca="1" si="105"/>
        <v>18-29</v>
      </c>
      <c r="K1670">
        <v>72242.929999999993</v>
      </c>
      <c r="L1670" t="str">
        <f>IF(Workforce[[#This Row],[Salary]]&lt;50000,"30k-49k",IF(Workforce[[#This Row],[Salary]]&lt;70000,"50k-69k",IF(Workforce[[#This Row],[Salary]]&lt;90000,"70k-89k","90k+")))</f>
        <v>70k-89k</v>
      </c>
      <c r="M1670" t="s">
        <v>11853</v>
      </c>
      <c r="N1670">
        <f t="shared" ca="1" si="106"/>
        <v>8</v>
      </c>
      <c r="O1670" t="str">
        <f t="shared" ca="1" si="107"/>
        <v>Senior level</v>
      </c>
    </row>
    <row r="1671" spans="1:15" x14ac:dyDescent="0.3">
      <c r="A1671" t="s">
        <v>11854</v>
      </c>
      <c r="B1671" t="s">
        <v>11855</v>
      </c>
      <c r="C1671" t="s">
        <v>2086</v>
      </c>
      <c r="D1671" t="s">
        <v>11856</v>
      </c>
      <c r="E1671" t="s">
        <v>11857</v>
      </c>
      <c r="F1671" t="s">
        <v>11273</v>
      </c>
      <c r="G1671" t="s">
        <v>11858</v>
      </c>
      <c r="H1671" t="s">
        <v>11859</v>
      </c>
      <c r="I1671">
        <f t="shared" ca="1" si="104"/>
        <v>33</v>
      </c>
      <c r="J1671" t="str">
        <f t="shared" ca="1" si="105"/>
        <v>30-39</v>
      </c>
      <c r="K1671">
        <v>87794.62</v>
      </c>
      <c r="L1671" t="str">
        <f>IF(Workforce[[#This Row],[Salary]]&lt;50000,"30k-49k",IF(Workforce[[#This Row],[Salary]]&lt;70000,"50k-69k",IF(Workforce[[#This Row],[Salary]]&lt;90000,"70k-89k","90k+")))</f>
        <v>70k-89k</v>
      </c>
      <c r="M1671" t="s">
        <v>11860</v>
      </c>
      <c r="N1671">
        <f t="shared" ca="1" si="106"/>
        <v>6</v>
      </c>
      <c r="O1671" t="str">
        <f t="shared" ca="1" si="107"/>
        <v>Intermediate level</v>
      </c>
    </row>
    <row r="1672" spans="1:15" x14ac:dyDescent="0.3">
      <c r="A1672" t="s">
        <v>11861</v>
      </c>
      <c r="B1672" t="s">
        <v>11862</v>
      </c>
      <c r="C1672" t="s">
        <v>351</v>
      </c>
      <c r="D1672" t="s">
        <v>11863</v>
      </c>
      <c r="E1672" t="s">
        <v>11864</v>
      </c>
      <c r="F1672" t="s">
        <v>4148</v>
      </c>
      <c r="G1672" t="s">
        <v>11865</v>
      </c>
      <c r="H1672" t="s">
        <v>11866</v>
      </c>
      <c r="I1672">
        <f t="shared" ca="1" si="104"/>
        <v>65</v>
      </c>
      <c r="J1672" t="str">
        <f t="shared" ca="1" si="105"/>
        <v>60+</v>
      </c>
      <c r="K1672">
        <v>31459.7</v>
      </c>
      <c r="L1672" t="str">
        <f>IF(Workforce[[#This Row],[Salary]]&lt;50000,"30k-49k",IF(Workforce[[#This Row],[Salary]]&lt;70000,"50k-69k",IF(Workforce[[#This Row],[Salary]]&lt;90000,"70k-89k","90k+")))</f>
        <v>30k-49k</v>
      </c>
      <c r="M1672" t="s">
        <v>11867</v>
      </c>
      <c r="N1672">
        <f t="shared" ca="1" si="106"/>
        <v>1</v>
      </c>
      <c r="O1672" t="str">
        <f t="shared" ca="1" si="107"/>
        <v>Beginner</v>
      </c>
    </row>
    <row r="1673" spans="1:15" x14ac:dyDescent="0.3">
      <c r="A1673" t="s">
        <v>11868</v>
      </c>
      <c r="B1673" t="s">
        <v>11869</v>
      </c>
      <c r="C1673" t="s">
        <v>284</v>
      </c>
      <c r="D1673" t="s">
        <v>11870</v>
      </c>
      <c r="E1673" t="s">
        <v>11871</v>
      </c>
      <c r="F1673" t="s">
        <v>11077</v>
      </c>
      <c r="G1673" t="s">
        <v>11872</v>
      </c>
      <c r="H1673" t="s">
        <v>11873</v>
      </c>
      <c r="I1673">
        <f t="shared" ca="1" si="104"/>
        <v>23</v>
      </c>
      <c r="J1673" t="str">
        <f t="shared" ca="1" si="105"/>
        <v>18-29</v>
      </c>
      <c r="K1673">
        <v>41055.9</v>
      </c>
      <c r="L1673" t="str">
        <f>IF(Workforce[[#This Row],[Salary]]&lt;50000,"30k-49k",IF(Workforce[[#This Row],[Salary]]&lt;70000,"50k-69k",IF(Workforce[[#This Row],[Salary]]&lt;90000,"70k-89k","90k+")))</f>
        <v>30k-49k</v>
      </c>
      <c r="M1673" t="s">
        <v>11874</v>
      </c>
      <c r="N1673">
        <f t="shared" ca="1" si="106"/>
        <v>2</v>
      </c>
      <c r="O1673" t="str">
        <f t="shared" ca="1" si="107"/>
        <v>Beginner</v>
      </c>
    </row>
    <row r="1674" spans="1:15" x14ac:dyDescent="0.3">
      <c r="A1674" t="s">
        <v>11875</v>
      </c>
      <c r="B1674" t="s">
        <v>11876</v>
      </c>
      <c r="C1674" t="s">
        <v>844</v>
      </c>
      <c r="D1674" t="s">
        <v>11877</v>
      </c>
      <c r="E1674" t="s">
        <v>11878</v>
      </c>
      <c r="F1674" t="s">
        <v>11879</v>
      </c>
      <c r="G1674" t="s">
        <v>11880</v>
      </c>
      <c r="H1674" t="s">
        <v>11881</v>
      </c>
      <c r="I1674">
        <f t="shared" ca="1" si="104"/>
        <v>26</v>
      </c>
      <c r="J1674" t="str">
        <f t="shared" ca="1" si="105"/>
        <v>18-29</v>
      </c>
      <c r="K1674">
        <v>101638.21</v>
      </c>
      <c r="L1674" t="str">
        <f>IF(Workforce[[#This Row],[Salary]]&lt;50000,"30k-49k",IF(Workforce[[#This Row],[Salary]]&lt;70000,"50k-69k",IF(Workforce[[#This Row],[Salary]]&lt;90000,"70k-89k","90k+")))</f>
        <v>90k+</v>
      </c>
      <c r="M1674" t="s">
        <v>11882</v>
      </c>
      <c r="N1674">
        <f t="shared" ca="1" si="106"/>
        <v>10</v>
      </c>
      <c r="O1674" t="str">
        <f t="shared" ca="1" si="107"/>
        <v>Senior level</v>
      </c>
    </row>
    <row r="1675" spans="1:15" x14ac:dyDescent="0.3">
      <c r="A1675" t="s">
        <v>11883</v>
      </c>
      <c r="B1675" t="s">
        <v>11884</v>
      </c>
      <c r="C1675" t="s">
        <v>106</v>
      </c>
      <c r="D1675" t="s">
        <v>11885</v>
      </c>
      <c r="E1675" t="s">
        <v>11886</v>
      </c>
      <c r="F1675" t="s">
        <v>2901</v>
      </c>
      <c r="G1675" t="s">
        <v>11887</v>
      </c>
      <c r="H1675" t="s">
        <v>9944</v>
      </c>
      <c r="I1675">
        <f t="shared" ca="1" si="104"/>
        <v>19</v>
      </c>
      <c r="J1675" t="str">
        <f t="shared" ca="1" si="105"/>
        <v>18-29</v>
      </c>
      <c r="K1675">
        <v>47048.68</v>
      </c>
      <c r="L1675" t="str">
        <f>IF(Workforce[[#This Row],[Salary]]&lt;50000,"30k-49k",IF(Workforce[[#This Row],[Salary]]&lt;70000,"50k-69k",IF(Workforce[[#This Row],[Salary]]&lt;90000,"70k-89k","90k+")))</f>
        <v>30k-49k</v>
      </c>
      <c r="M1675" t="s">
        <v>11888</v>
      </c>
      <c r="N1675">
        <f t="shared" ca="1" si="106"/>
        <v>9</v>
      </c>
      <c r="O1675" t="str">
        <f t="shared" ca="1" si="107"/>
        <v>Senior level</v>
      </c>
    </row>
    <row r="1676" spans="1:15" x14ac:dyDescent="0.3">
      <c r="A1676" t="s">
        <v>11889</v>
      </c>
      <c r="B1676" t="s">
        <v>11890</v>
      </c>
      <c r="C1676" t="s">
        <v>604</v>
      </c>
      <c r="D1676" t="s">
        <v>11891</v>
      </c>
      <c r="E1676" t="s">
        <v>11892</v>
      </c>
      <c r="F1676" t="s">
        <v>2856</v>
      </c>
      <c r="G1676" t="s">
        <v>11893</v>
      </c>
      <c r="H1676" t="s">
        <v>11894</v>
      </c>
      <c r="I1676">
        <f t="shared" ca="1" si="104"/>
        <v>47</v>
      </c>
      <c r="J1676" t="str">
        <f t="shared" ca="1" si="105"/>
        <v>40-49</v>
      </c>
      <c r="K1676">
        <v>80559</v>
      </c>
      <c r="L1676" t="str">
        <f>IF(Workforce[[#This Row],[Salary]]&lt;50000,"30k-49k",IF(Workforce[[#This Row],[Salary]]&lt;70000,"50k-69k",IF(Workforce[[#This Row],[Salary]]&lt;90000,"70k-89k","90k+")))</f>
        <v>70k-89k</v>
      </c>
      <c r="M1676" t="s">
        <v>11895</v>
      </c>
      <c r="N1676">
        <f t="shared" ca="1" si="106"/>
        <v>8</v>
      </c>
      <c r="O1676" t="str">
        <f t="shared" ca="1" si="107"/>
        <v>Senior level</v>
      </c>
    </row>
    <row r="1677" spans="1:15" x14ac:dyDescent="0.3">
      <c r="A1677" t="s">
        <v>11896</v>
      </c>
      <c r="B1677" t="s">
        <v>11897</v>
      </c>
      <c r="C1677" t="s">
        <v>124</v>
      </c>
      <c r="D1677" t="s">
        <v>11898</v>
      </c>
      <c r="E1677" t="s">
        <v>11899</v>
      </c>
      <c r="F1677" t="s">
        <v>2336</v>
      </c>
      <c r="G1677" t="s">
        <v>11900</v>
      </c>
      <c r="H1677" t="s">
        <v>11901</v>
      </c>
      <c r="I1677">
        <f t="shared" ca="1" si="104"/>
        <v>20</v>
      </c>
      <c r="J1677" t="str">
        <f t="shared" ca="1" si="105"/>
        <v>18-29</v>
      </c>
      <c r="K1677">
        <v>50313.36</v>
      </c>
      <c r="L1677" t="str">
        <f>IF(Workforce[[#This Row],[Salary]]&lt;50000,"30k-49k",IF(Workforce[[#This Row],[Salary]]&lt;70000,"50k-69k",IF(Workforce[[#This Row],[Salary]]&lt;90000,"70k-89k","90k+")))</f>
        <v>50k-69k</v>
      </c>
      <c r="M1677" t="s">
        <v>6437</v>
      </c>
      <c r="N1677">
        <f t="shared" ca="1" si="106"/>
        <v>7</v>
      </c>
      <c r="O1677" t="str">
        <f t="shared" ca="1" si="107"/>
        <v>Senior level</v>
      </c>
    </row>
    <row r="1678" spans="1:15" x14ac:dyDescent="0.3">
      <c r="A1678" t="s">
        <v>11902</v>
      </c>
      <c r="B1678" t="s">
        <v>11903</v>
      </c>
      <c r="C1678" t="s">
        <v>26</v>
      </c>
      <c r="D1678" t="s">
        <v>11904</v>
      </c>
      <c r="E1678" t="s">
        <v>11905</v>
      </c>
      <c r="F1678" t="s">
        <v>8926</v>
      </c>
      <c r="G1678" t="s">
        <v>11906</v>
      </c>
      <c r="H1678" t="s">
        <v>11907</v>
      </c>
      <c r="I1678">
        <f t="shared" ca="1" si="104"/>
        <v>41</v>
      </c>
      <c r="J1678" t="str">
        <f t="shared" ca="1" si="105"/>
        <v>40-49</v>
      </c>
      <c r="K1678">
        <v>54740.17</v>
      </c>
      <c r="L1678" t="str">
        <f>IF(Workforce[[#This Row],[Salary]]&lt;50000,"30k-49k",IF(Workforce[[#This Row],[Salary]]&lt;70000,"50k-69k",IF(Workforce[[#This Row],[Salary]]&lt;90000,"70k-89k","90k+")))</f>
        <v>50k-69k</v>
      </c>
      <c r="M1678" t="s">
        <v>8886</v>
      </c>
      <c r="N1678">
        <f t="shared" ca="1" si="106"/>
        <v>3</v>
      </c>
      <c r="O1678" t="str">
        <f t="shared" ca="1" si="107"/>
        <v>Intermediate level</v>
      </c>
    </row>
    <row r="1679" spans="1:15" x14ac:dyDescent="0.3">
      <c r="A1679" t="s">
        <v>11908</v>
      </c>
      <c r="B1679" t="s">
        <v>11909</v>
      </c>
      <c r="C1679" t="s">
        <v>231</v>
      </c>
      <c r="D1679" t="s">
        <v>11910</v>
      </c>
      <c r="E1679" t="s">
        <v>11911</v>
      </c>
      <c r="F1679" t="s">
        <v>4170</v>
      </c>
      <c r="G1679" t="s">
        <v>11912</v>
      </c>
      <c r="H1679" t="s">
        <v>11913</v>
      </c>
      <c r="I1679">
        <f t="shared" ca="1" si="104"/>
        <v>43</v>
      </c>
      <c r="J1679" t="str">
        <f t="shared" ca="1" si="105"/>
        <v>40-49</v>
      </c>
      <c r="K1679">
        <v>34559.67</v>
      </c>
      <c r="L1679" t="str">
        <f>IF(Workforce[[#This Row],[Salary]]&lt;50000,"30k-49k",IF(Workforce[[#This Row],[Salary]]&lt;70000,"50k-69k",IF(Workforce[[#This Row],[Salary]]&lt;90000,"70k-89k","90k+")))</f>
        <v>30k-49k</v>
      </c>
      <c r="M1679" t="s">
        <v>11914</v>
      </c>
      <c r="N1679">
        <f t="shared" ca="1" si="106"/>
        <v>1</v>
      </c>
      <c r="O1679" t="str">
        <f t="shared" ca="1" si="107"/>
        <v>Beginner</v>
      </c>
    </row>
    <row r="1680" spans="1:15" x14ac:dyDescent="0.3">
      <c r="A1680" t="s">
        <v>11915</v>
      </c>
      <c r="B1680" t="s">
        <v>11916</v>
      </c>
      <c r="C1680" t="s">
        <v>482</v>
      </c>
      <c r="D1680" t="s">
        <v>11917</v>
      </c>
      <c r="E1680" t="s">
        <v>11918</v>
      </c>
      <c r="F1680" t="s">
        <v>5191</v>
      </c>
      <c r="G1680" t="s">
        <v>11919</v>
      </c>
      <c r="H1680" t="s">
        <v>11920</v>
      </c>
      <c r="I1680">
        <f t="shared" ca="1" si="104"/>
        <v>37</v>
      </c>
      <c r="J1680" t="str">
        <f t="shared" ca="1" si="105"/>
        <v>30-39</v>
      </c>
      <c r="K1680">
        <v>47058.42</v>
      </c>
      <c r="L1680" t="str">
        <f>IF(Workforce[[#This Row],[Salary]]&lt;50000,"30k-49k",IF(Workforce[[#This Row],[Salary]]&lt;70000,"50k-69k",IF(Workforce[[#This Row],[Salary]]&lt;90000,"70k-89k","90k+")))</f>
        <v>30k-49k</v>
      </c>
      <c r="M1680" t="s">
        <v>11921</v>
      </c>
      <c r="N1680">
        <f t="shared" ca="1" si="106"/>
        <v>4</v>
      </c>
      <c r="O1680" t="str">
        <f t="shared" ca="1" si="107"/>
        <v>Intermediate level</v>
      </c>
    </row>
    <row r="1681" spans="1:15" x14ac:dyDescent="0.3">
      <c r="A1681" t="s">
        <v>11922</v>
      </c>
      <c r="B1681" t="s">
        <v>11923</v>
      </c>
      <c r="C1681" t="s">
        <v>604</v>
      </c>
      <c r="D1681" t="s">
        <v>11924</v>
      </c>
      <c r="E1681" t="s">
        <v>11925</v>
      </c>
      <c r="F1681" t="s">
        <v>1076</v>
      </c>
      <c r="G1681" t="s">
        <v>11926</v>
      </c>
      <c r="H1681" t="s">
        <v>11927</v>
      </c>
      <c r="I1681">
        <f t="shared" ca="1" si="104"/>
        <v>60</v>
      </c>
      <c r="J1681" t="str">
        <f t="shared" ca="1" si="105"/>
        <v>60+</v>
      </c>
      <c r="K1681">
        <v>101863.59</v>
      </c>
      <c r="L1681" t="str">
        <f>IF(Workforce[[#This Row],[Salary]]&lt;50000,"30k-49k",IF(Workforce[[#This Row],[Salary]]&lt;70000,"50k-69k",IF(Workforce[[#This Row],[Salary]]&lt;90000,"70k-89k","90k+")))</f>
        <v>90k+</v>
      </c>
      <c r="M1681" t="s">
        <v>11928</v>
      </c>
      <c r="N1681">
        <f t="shared" ca="1" si="106"/>
        <v>6</v>
      </c>
      <c r="O1681" t="str">
        <f t="shared" ca="1" si="107"/>
        <v>Intermediate level</v>
      </c>
    </row>
    <row r="1682" spans="1:15" x14ac:dyDescent="0.3">
      <c r="A1682" t="s">
        <v>11929</v>
      </c>
      <c r="B1682" t="s">
        <v>11930</v>
      </c>
      <c r="C1682" t="s">
        <v>222</v>
      </c>
      <c r="D1682" t="s">
        <v>11931</v>
      </c>
      <c r="E1682" t="s">
        <v>11932</v>
      </c>
      <c r="F1682" t="s">
        <v>742</v>
      </c>
      <c r="G1682" t="s">
        <v>11933</v>
      </c>
      <c r="H1682" t="s">
        <v>11934</v>
      </c>
      <c r="I1682">
        <f t="shared" ca="1" si="104"/>
        <v>40</v>
      </c>
      <c r="J1682" t="str">
        <f t="shared" ca="1" si="105"/>
        <v>40-49</v>
      </c>
      <c r="K1682">
        <v>117355.37</v>
      </c>
      <c r="L1682" t="str">
        <f>IF(Workforce[[#This Row],[Salary]]&lt;50000,"30k-49k",IF(Workforce[[#This Row],[Salary]]&lt;70000,"50k-69k",IF(Workforce[[#This Row],[Salary]]&lt;90000,"70k-89k","90k+")))</f>
        <v>90k+</v>
      </c>
      <c r="M1682" t="s">
        <v>11935</v>
      </c>
      <c r="N1682">
        <f t="shared" ca="1" si="106"/>
        <v>1</v>
      </c>
      <c r="O1682" t="str">
        <f t="shared" ca="1" si="107"/>
        <v>Beginner</v>
      </c>
    </row>
    <row r="1683" spans="1:15" x14ac:dyDescent="0.3">
      <c r="A1683" t="s">
        <v>11936</v>
      </c>
      <c r="B1683" t="s">
        <v>11937</v>
      </c>
      <c r="C1683" t="s">
        <v>539</v>
      </c>
      <c r="D1683" t="s">
        <v>11938</v>
      </c>
      <c r="E1683" t="s">
        <v>11939</v>
      </c>
      <c r="F1683" t="s">
        <v>1304</v>
      </c>
      <c r="G1683" t="s">
        <v>11940</v>
      </c>
      <c r="H1683" t="s">
        <v>11941</v>
      </c>
      <c r="I1683">
        <f t="shared" ca="1" si="104"/>
        <v>29</v>
      </c>
      <c r="J1683" t="str">
        <f t="shared" ca="1" si="105"/>
        <v>18-29</v>
      </c>
      <c r="K1683">
        <v>63857.07</v>
      </c>
      <c r="L1683" t="str">
        <f>IF(Workforce[[#This Row],[Salary]]&lt;50000,"30k-49k",IF(Workforce[[#This Row],[Salary]]&lt;70000,"50k-69k",IF(Workforce[[#This Row],[Salary]]&lt;90000,"70k-89k","90k+")))</f>
        <v>50k-69k</v>
      </c>
      <c r="M1683" t="s">
        <v>11942</v>
      </c>
      <c r="N1683">
        <f t="shared" ca="1" si="106"/>
        <v>8</v>
      </c>
      <c r="O1683" t="str">
        <f t="shared" ca="1" si="107"/>
        <v>Senior level</v>
      </c>
    </row>
    <row r="1684" spans="1:15" x14ac:dyDescent="0.3">
      <c r="A1684" t="s">
        <v>11943</v>
      </c>
      <c r="B1684" t="s">
        <v>11944</v>
      </c>
      <c r="C1684" t="s">
        <v>1159</v>
      </c>
      <c r="D1684" t="s">
        <v>11945</v>
      </c>
      <c r="E1684" t="s">
        <v>11946</v>
      </c>
      <c r="F1684" t="s">
        <v>1525</v>
      </c>
      <c r="G1684" t="s">
        <v>11947</v>
      </c>
      <c r="H1684" t="s">
        <v>11948</v>
      </c>
      <c r="I1684">
        <f t="shared" ca="1" si="104"/>
        <v>57</v>
      </c>
      <c r="J1684" t="str">
        <f t="shared" ca="1" si="105"/>
        <v>50-59</v>
      </c>
      <c r="K1684">
        <v>113820.27</v>
      </c>
      <c r="L1684" t="str">
        <f>IF(Workforce[[#This Row],[Salary]]&lt;50000,"30k-49k",IF(Workforce[[#This Row],[Salary]]&lt;70000,"50k-69k",IF(Workforce[[#This Row],[Salary]]&lt;90000,"70k-89k","90k+")))</f>
        <v>90k+</v>
      </c>
      <c r="M1684" t="s">
        <v>11949</v>
      </c>
      <c r="N1684">
        <f t="shared" ca="1" si="106"/>
        <v>9</v>
      </c>
      <c r="O1684" t="str">
        <f t="shared" ca="1" si="107"/>
        <v>Senior level</v>
      </c>
    </row>
    <row r="1685" spans="1:15" x14ac:dyDescent="0.3">
      <c r="A1685" t="s">
        <v>11950</v>
      </c>
      <c r="B1685" t="s">
        <v>11951</v>
      </c>
      <c r="C1685" t="s">
        <v>1004</v>
      </c>
      <c r="D1685" t="s">
        <v>11952</v>
      </c>
      <c r="E1685" t="s">
        <v>11953</v>
      </c>
      <c r="F1685" t="s">
        <v>6448</v>
      </c>
      <c r="G1685" t="s">
        <v>11954</v>
      </c>
      <c r="H1685" t="s">
        <v>11955</v>
      </c>
      <c r="I1685">
        <f t="shared" ca="1" si="104"/>
        <v>60</v>
      </c>
      <c r="J1685" t="str">
        <f t="shared" ca="1" si="105"/>
        <v>60+</v>
      </c>
      <c r="K1685">
        <v>95669.51</v>
      </c>
      <c r="L1685" t="str">
        <f>IF(Workforce[[#This Row],[Salary]]&lt;50000,"30k-49k",IF(Workforce[[#This Row],[Salary]]&lt;70000,"50k-69k",IF(Workforce[[#This Row],[Salary]]&lt;90000,"70k-89k","90k+")))</f>
        <v>90k+</v>
      </c>
      <c r="M1685" t="s">
        <v>11956</v>
      </c>
      <c r="N1685">
        <f t="shared" ca="1" si="106"/>
        <v>1</v>
      </c>
      <c r="O1685" t="str">
        <f t="shared" ca="1" si="107"/>
        <v>Beginner</v>
      </c>
    </row>
    <row r="1686" spans="1:15" x14ac:dyDescent="0.3">
      <c r="A1686" t="s">
        <v>11957</v>
      </c>
      <c r="B1686" t="s">
        <v>11958</v>
      </c>
      <c r="C1686" t="s">
        <v>160</v>
      </c>
      <c r="D1686" t="s">
        <v>11959</v>
      </c>
      <c r="E1686" t="s">
        <v>11960</v>
      </c>
      <c r="F1686" t="s">
        <v>6094</v>
      </c>
      <c r="G1686" t="s">
        <v>11961</v>
      </c>
      <c r="H1686" t="s">
        <v>4648</v>
      </c>
      <c r="I1686">
        <f t="shared" ca="1" si="104"/>
        <v>31</v>
      </c>
      <c r="J1686" t="str">
        <f t="shared" ca="1" si="105"/>
        <v>30-39</v>
      </c>
      <c r="K1686">
        <v>66800.33</v>
      </c>
      <c r="L1686" t="str">
        <f>IF(Workforce[[#This Row],[Salary]]&lt;50000,"30k-49k",IF(Workforce[[#This Row],[Salary]]&lt;70000,"50k-69k",IF(Workforce[[#This Row],[Salary]]&lt;90000,"70k-89k","90k+")))</f>
        <v>50k-69k</v>
      </c>
      <c r="M1686" t="s">
        <v>11962</v>
      </c>
      <c r="N1686">
        <f t="shared" ca="1" si="106"/>
        <v>2</v>
      </c>
      <c r="O1686" t="str">
        <f t="shared" ca="1" si="107"/>
        <v>Beginner</v>
      </c>
    </row>
    <row r="1687" spans="1:15" x14ac:dyDescent="0.3">
      <c r="A1687" t="s">
        <v>11963</v>
      </c>
      <c r="B1687" t="s">
        <v>11964</v>
      </c>
      <c r="C1687" t="s">
        <v>178</v>
      </c>
      <c r="D1687" t="s">
        <v>11965</v>
      </c>
      <c r="E1687" t="s">
        <v>11966</v>
      </c>
      <c r="F1687" t="s">
        <v>5918</v>
      </c>
      <c r="G1687" t="s">
        <v>11967</v>
      </c>
      <c r="H1687" t="s">
        <v>11968</v>
      </c>
      <c r="I1687">
        <f t="shared" ca="1" si="104"/>
        <v>32</v>
      </c>
      <c r="J1687" t="str">
        <f t="shared" ca="1" si="105"/>
        <v>30-39</v>
      </c>
      <c r="K1687">
        <v>82200.86</v>
      </c>
      <c r="L1687" t="str">
        <f>IF(Workforce[[#This Row],[Salary]]&lt;50000,"30k-49k",IF(Workforce[[#This Row],[Salary]]&lt;70000,"50k-69k",IF(Workforce[[#This Row],[Salary]]&lt;90000,"70k-89k","90k+")))</f>
        <v>70k-89k</v>
      </c>
      <c r="M1687" t="s">
        <v>5754</v>
      </c>
      <c r="N1687">
        <f t="shared" ca="1" si="106"/>
        <v>7</v>
      </c>
      <c r="O1687" t="str">
        <f t="shared" ca="1" si="107"/>
        <v>Senior level</v>
      </c>
    </row>
    <row r="1688" spans="1:15" x14ac:dyDescent="0.3">
      <c r="A1688" t="s">
        <v>11969</v>
      </c>
      <c r="B1688" t="s">
        <v>11970</v>
      </c>
      <c r="C1688" t="s">
        <v>844</v>
      </c>
      <c r="D1688" t="s">
        <v>11971</v>
      </c>
      <c r="E1688" t="s">
        <v>11972</v>
      </c>
      <c r="F1688" t="s">
        <v>1162</v>
      </c>
      <c r="G1688" t="s">
        <v>11973</v>
      </c>
      <c r="H1688" t="s">
        <v>11974</v>
      </c>
      <c r="I1688">
        <f t="shared" ca="1" si="104"/>
        <v>25</v>
      </c>
      <c r="J1688" t="str">
        <f t="shared" ca="1" si="105"/>
        <v>18-29</v>
      </c>
      <c r="K1688">
        <v>83360.09</v>
      </c>
      <c r="L1688" t="str">
        <f>IF(Workforce[[#This Row],[Salary]]&lt;50000,"30k-49k",IF(Workforce[[#This Row],[Salary]]&lt;70000,"50k-69k",IF(Workforce[[#This Row],[Salary]]&lt;90000,"70k-89k","90k+")))</f>
        <v>70k-89k</v>
      </c>
      <c r="M1688" t="s">
        <v>8267</v>
      </c>
      <c r="N1688">
        <f t="shared" ca="1" si="106"/>
        <v>4</v>
      </c>
      <c r="O1688" t="str">
        <f t="shared" ca="1" si="107"/>
        <v>Intermediate level</v>
      </c>
    </row>
    <row r="1689" spans="1:15" x14ac:dyDescent="0.3">
      <c r="A1689" t="s">
        <v>11975</v>
      </c>
      <c r="B1689" t="s">
        <v>11976</v>
      </c>
      <c r="C1689" t="s">
        <v>133</v>
      </c>
      <c r="D1689" t="s">
        <v>11977</v>
      </c>
      <c r="E1689" t="s">
        <v>11978</v>
      </c>
      <c r="F1689" t="s">
        <v>989</v>
      </c>
      <c r="G1689" t="s">
        <v>11979</v>
      </c>
      <c r="H1689" t="s">
        <v>11980</v>
      </c>
      <c r="I1689">
        <f t="shared" ca="1" si="104"/>
        <v>60</v>
      </c>
      <c r="J1689" t="str">
        <f t="shared" ca="1" si="105"/>
        <v>60+</v>
      </c>
      <c r="K1689">
        <v>102667.13</v>
      </c>
      <c r="L1689" t="str">
        <f>IF(Workforce[[#This Row],[Salary]]&lt;50000,"30k-49k",IF(Workforce[[#This Row],[Salary]]&lt;70000,"50k-69k",IF(Workforce[[#This Row],[Salary]]&lt;90000,"70k-89k","90k+")))</f>
        <v>90k+</v>
      </c>
      <c r="M1689" t="s">
        <v>228</v>
      </c>
      <c r="N1689">
        <f t="shared" ca="1" si="106"/>
        <v>8</v>
      </c>
      <c r="O1689" t="str">
        <f t="shared" ca="1" si="107"/>
        <v>Senior level</v>
      </c>
    </row>
    <row r="1690" spans="1:15" x14ac:dyDescent="0.3">
      <c r="A1690" t="s">
        <v>11981</v>
      </c>
      <c r="B1690" t="s">
        <v>11982</v>
      </c>
      <c r="C1690" t="s">
        <v>284</v>
      </c>
      <c r="D1690" t="s">
        <v>11983</v>
      </c>
      <c r="E1690" t="s">
        <v>11984</v>
      </c>
      <c r="F1690" t="s">
        <v>9497</v>
      </c>
      <c r="G1690" t="s">
        <v>11985</v>
      </c>
      <c r="H1690" t="s">
        <v>11986</v>
      </c>
      <c r="I1690">
        <f t="shared" ca="1" si="104"/>
        <v>34</v>
      </c>
      <c r="J1690" t="str">
        <f t="shared" ca="1" si="105"/>
        <v>30-39</v>
      </c>
      <c r="K1690">
        <v>82225.45</v>
      </c>
      <c r="L1690" t="str">
        <f>IF(Workforce[[#This Row],[Salary]]&lt;50000,"30k-49k",IF(Workforce[[#This Row],[Salary]]&lt;70000,"50k-69k",IF(Workforce[[#This Row],[Salary]]&lt;90000,"70k-89k","90k+")))</f>
        <v>70k-89k</v>
      </c>
      <c r="M1690" t="s">
        <v>11987</v>
      </c>
      <c r="N1690">
        <f t="shared" ca="1" si="106"/>
        <v>9</v>
      </c>
      <c r="O1690" t="str">
        <f t="shared" ca="1" si="107"/>
        <v>Senior level</v>
      </c>
    </row>
    <row r="1691" spans="1:15" x14ac:dyDescent="0.3">
      <c r="A1691" t="s">
        <v>11988</v>
      </c>
      <c r="B1691" t="s">
        <v>11989</v>
      </c>
      <c r="C1691" t="s">
        <v>748</v>
      </c>
      <c r="D1691" t="s">
        <v>11990</v>
      </c>
      <c r="E1691" t="s">
        <v>11991</v>
      </c>
      <c r="F1691" t="s">
        <v>2526</v>
      </c>
      <c r="G1691" t="s">
        <v>11992</v>
      </c>
      <c r="H1691" t="s">
        <v>11993</v>
      </c>
      <c r="I1691">
        <f t="shared" ca="1" si="104"/>
        <v>43</v>
      </c>
      <c r="J1691" t="str">
        <f t="shared" ca="1" si="105"/>
        <v>40-49</v>
      </c>
      <c r="K1691">
        <v>97139.96</v>
      </c>
      <c r="L1691" t="str">
        <f>IF(Workforce[[#This Row],[Salary]]&lt;50000,"30k-49k",IF(Workforce[[#This Row],[Salary]]&lt;70000,"50k-69k",IF(Workforce[[#This Row],[Salary]]&lt;90000,"70k-89k","90k+")))</f>
        <v>90k+</v>
      </c>
      <c r="M1691" t="s">
        <v>228</v>
      </c>
      <c r="N1691">
        <f t="shared" ca="1" si="106"/>
        <v>8</v>
      </c>
      <c r="O1691" t="str">
        <f t="shared" ca="1" si="107"/>
        <v>Senior level</v>
      </c>
    </row>
    <row r="1692" spans="1:15" x14ac:dyDescent="0.3">
      <c r="A1692" t="s">
        <v>11994</v>
      </c>
      <c r="B1692" t="s">
        <v>11995</v>
      </c>
      <c r="C1692" t="s">
        <v>774</v>
      </c>
      <c r="D1692" t="s">
        <v>11996</v>
      </c>
      <c r="E1692" t="s">
        <v>11997</v>
      </c>
      <c r="F1692" t="s">
        <v>4045</v>
      </c>
      <c r="G1692" t="s">
        <v>11998</v>
      </c>
      <c r="H1692" t="s">
        <v>3443</v>
      </c>
      <c r="I1692">
        <f t="shared" ca="1" si="104"/>
        <v>45</v>
      </c>
      <c r="J1692" t="str">
        <f t="shared" ca="1" si="105"/>
        <v>40-49</v>
      </c>
      <c r="K1692">
        <v>110535.01</v>
      </c>
      <c r="L1692" t="str">
        <f>IF(Workforce[[#This Row],[Salary]]&lt;50000,"30k-49k",IF(Workforce[[#This Row],[Salary]]&lt;70000,"50k-69k",IF(Workforce[[#This Row],[Salary]]&lt;90000,"70k-89k","90k+")))</f>
        <v>90k+</v>
      </c>
      <c r="M1692" t="s">
        <v>11999</v>
      </c>
      <c r="N1692">
        <f t="shared" ca="1" si="106"/>
        <v>7</v>
      </c>
      <c r="O1692" t="str">
        <f t="shared" ca="1" si="107"/>
        <v>Senior level</v>
      </c>
    </row>
    <row r="1693" spans="1:15" x14ac:dyDescent="0.3">
      <c r="A1693" t="s">
        <v>12000</v>
      </c>
      <c r="B1693" t="s">
        <v>12001</v>
      </c>
      <c r="C1693" t="s">
        <v>106</v>
      </c>
      <c r="D1693" t="s">
        <v>12002</v>
      </c>
      <c r="E1693" t="s">
        <v>12003</v>
      </c>
      <c r="F1693" t="s">
        <v>4734</v>
      </c>
      <c r="G1693" t="s">
        <v>12004</v>
      </c>
      <c r="H1693" t="s">
        <v>12005</v>
      </c>
      <c r="I1693">
        <f t="shared" ca="1" si="104"/>
        <v>24</v>
      </c>
      <c r="J1693" t="str">
        <f t="shared" ca="1" si="105"/>
        <v>18-29</v>
      </c>
      <c r="K1693">
        <v>103626.88</v>
      </c>
      <c r="L1693" t="str">
        <f>IF(Workforce[[#This Row],[Salary]]&lt;50000,"30k-49k",IF(Workforce[[#This Row],[Salary]]&lt;70000,"50k-69k",IF(Workforce[[#This Row],[Salary]]&lt;90000,"70k-89k","90k+")))</f>
        <v>90k+</v>
      </c>
      <c r="M1693" t="s">
        <v>12006</v>
      </c>
      <c r="N1693">
        <f t="shared" ca="1" si="106"/>
        <v>9</v>
      </c>
      <c r="O1693" t="str">
        <f t="shared" ca="1" si="107"/>
        <v>Senior level</v>
      </c>
    </row>
    <row r="1694" spans="1:15" x14ac:dyDescent="0.3">
      <c r="A1694" t="s">
        <v>12007</v>
      </c>
      <c r="B1694" t="s">
        <v>12008</v>
      </c>
      <c r="C1694" t="s">
        <v>774</v>
      </c>
      <c r="D1694" t="s">
        <v>12009</v>
      </c>
      <c r="E1694" t="s">
        <v>12010</v>
      </c>
      <c r="F1694" t="s">
        <v>9460</v>
      </c>
      <c r="G1694" t="s">
        <v>12011</v>
      </c>
      <c r="H1694" t="s">
        <v>12012</v>
      </c>
      <c r="I1694">
        <f t="shared" ca="1" si="104"/>
        <v>54</v>
      </c>
      <c r="J1694" t="str">
        <f t="shared" ca="1" si="105"/>
        <v>50-59</v>
      </c>
      <c r="K1694">
        <v>47159.47</v>
      </c>
      <c r="L1694" t="str">
        <f>IF(Workforce[[#This Row],[Salary]]&lt;50000,"30k-49k",IF(Workforce[[#This Row],[Salary]]&lt;70000,"50k-69k",IF(Workforce[[#This Row],[Salary]]&lt;90000,"70k-89k","90k+")))</f>
        <v>30k-49k</v>
      </c>
      <c r="M1694" t="s">
        <v>12013</v>
      </c>
      <c r="N1694">
        <f t="shared" ca="1" si="106"/>
        <v>2</v>
      </c>
      <c r="O1694" t="str">
        <f t="shared" ca="1" si="107"/>
        <v>Beginner</v>
      </c>
    </row>
    <row r="1695" spans="1:15" x14ac:dyDescent="0.3">
      <c r="A1695" t="s">
        <v>12014</v>
      </c>
      <c r="B1695" t="s">
        <v>12015</v>
      </c>
      <c r="C1695" t="s">
        <v>70</v>
      </c>
      <c r="D1695" t="s">
        <v>12016</v>
      </c>
      <c r="E1695" t="s">
        <v>12017</v>
      </c>
      <c r="F1695" t="s">
        <v>760</v>
      </c>
      <c r="G1695" t="s">
        <v>12018</v>
      </c>
      <c r="H1695" t="s">
        <v>12019</v>
      </c>
      <c r="I1695">
        <f t="shared" ca="1" si="104"/>
        <v>36</v>
      </c>
      <c r="J1695" t="str">
        <f t="shared" ca="1" si="105"/>
        <v>30-39</v>
      </c>
      <c r="K1695">
        <v>90661.97</v>
      </c>
      <c r="L1695" t="str">
        <f>IF(Workforce[[#This Row],[Salary]]&lt;50000,"30k-49k",IF(Workforce[[#This Row],[Salary]]&lt;70000,"50k-69k",IF(Workforce[[#This Row],[Salary]]&lt;90000,"70k-89k","90k+")))</f>
        <v>90k+</v>
      </c>
      <c r="M1695" t="s">
        <v>6879</v>
      </c>
      <c r="N1695">
        <f t="shared" ca="1" si="106"/>
        <v>4</v>
      </c>
      <c r="O1695" t="str">
        <f t="shared" ca="1" si="107"/>
        <v>Intermediate level</v>
      </c>
    </row>
    <row r="1696" spans="1:15" x14ac:dyDescent="0.3">
      <c r="A1696" t="s">
        <v>12020</v>
      </c>
      <c r="B1696" t="s">
        <v>12021</v>
      </c>
      <c r="C1696" t="s">
        <v>748</v>
      </c>
      <c r="D1696" t="s">
        <v>12022</v>
      </c>
      <c r="E1696" t="s">
        <v>12023</v>
      </c>
      <c r="F1696" t="s">
        <v>5307</v>
      </c>
      <c r="G1696" t="s">
        <v>12024</v>
      </c>
      <c r="H1696" t="s">
        <v>12025</v>
      </c>
      <c r="I1696">
        <f t="shared" ca="1" si="104"/>
        <v>51</v>
      </c>
      <c r="J1696" t="str">
        <f t="shared" ca="1" si="105"/>
        <v>50-59</v>
      </c>
      <c r="K1696">
        <v>92084.76</v>
      </c>
      <c r="L1696" t="str">
        <f>IF(Workforce[[#This Row],[Salary]]&lt;50000,"30k-49k",IF(Workforce[[#This Row],[Salary]]&lt;70000,"50k-69k",IF(Workforce[[#This Row],[Salary]]&lt;90000,"70k-89k","90k+")))</f>
        <v>90k+</v>
      </c>
      <c r="M1696" t="s">
        <v>12026</v>
      </c>
      <c r="N1696">
        <f t="shared" ca="1" si="106"/>
        <v>5</v>
      </c>
      <c r="O1696" t="str">
        <f t="shared" ca="1" si="107"/>
        <v>Intermediate level</v>
      </c>
    </row>
    <row r="1697" spans="1:15" x14ac:dyDescent="0.3">
      <c r="A1697" t="s">
        <v>12027</v>
      </c>
      <c r="B1697" t="s">
        <v>12028</v>
      </c>
      <c r="C1697" t="s">
        <v>539</v>
      </c>
      <c r="D1697" t="s">
        <v>12029</v>
      </c>
      <c r="E1697" t="s">
        <v>12030</v>
      </c>
      <c r="F1697" t="s">
        <v>751</v>
      </c>
      <c r="G1697" t="s">
        <v>12031</v>
      </c>
      <c r="H1697" t="s">
        <v>12032</v>
      </c>
      <c r="I1697">
        <f t="shared" ca="1" si="104"/>
        <v>66</v>
      </c>
      <c r="J1697" t="str">
        <f t="shared" ca="1" si="105"/>
        <v>60+</v>
      </c>
      <c r="K1697">
        <v>39773.449999999997</v>
      </c>
      <c r="L1697" t="str">
        <f>IF(Workforce[[#This Row],[Salary]]&lt;50000,"30k-49k",IF(Workforce[[#This Row],[Salary]]&lt;70000,"50k-69k",IF(Workforce[[#This Row],[Salary]]&lt;90000,"70k-89k","90k+")))</f>
        <v>30k-49k</v>
      </c>
      <c r="M1697" t="s">
        <v>12033</v>
      </c>
      <c r="N1697">
        <f t="shared" ca="1" si="106"/>
        <v>8</v>
      </c>
      <c r="O1697" t="str">
        <f t="shared" ca="1" si="107"/>
        <v>Senior level</v>
      </c>
    </row>
    <row r="1698" spans="1:15" x14ac:dyDescent="0.3">
      <c r="A1698" t="s">
        <v>12034</v>
      </c>
      <c r="B1698" t="s">
        <v>12035</v>
      </c>
      <c r="C1698" t="s">
        <v>187</v>
      </c>
      <c r="D1698" t="s">
        <v>12036</v>
      </c>
      <c r="E1698" t="s">
        <v>12037</v>
      </c>
      <c r="F1698" t="s">
        <v>558</v>
      </c>
      <c r="G1698" t="s">
        <v>12038</v>
      </c>
      <c r="H1698" t="s">
        <v>12039</v>
      </c>
      <c r="I1698">
        <f t="shared" ca="1" si="104"/>
        <v>65</v>
      </c>
      <c r="J1698" t="str">
        <f t="shared" ca="1" si="105"/>
        <v>60+</v>
      </c>
      <c r="K1698">
        <v>35672.83</v>
      </c>
      <c r="L1698" t="str">
        <f>IF(Workforce[[#This Row],[Salary]]&lt;50000,"30k-49k",IF(Workforce[[#This Row],[Salary]]&lt;70000,"50k-69k",IF(Workforce[[#This Row],[Salary]]&lt;90000,"70k-89k","90k+")))</f>
        <v>30k-49k</v>
      </c>
      <c r="M1698" t="s">
        <v>12040</v>
      </c>
      <c r="N1698">
        <f t="shared" ca="1" si="106"/>
        <v>0</v>
      </c>
      <c r="O1698" t="str">
        <f t="shared" ca="1" si="107"/>
        <v>Beginner</v>
      </c>
    </row>
    <row r="1699" spans="1:15" x14ac:dyDescent="0.3">
      <c r="A1699" t="s">
        <v>12041</v>
      </c>
      <c r="B1699" t="s">
        <v>12042</v>
      </c>
      <c r="C1699" t="s">
        <v>440</v>
      </c>
      <c r="D1699" t="s">
        <v>12043</v>
      </c>
      <c r="E1699" t="s">
        <v>12044</v>
      </c>
      <c r="F1699" t="s">
        <v>386</v>
      </c>
      <c r="G1699" t="s">
        <v>12045</v>
      </c>
      <c r="H1699" t="s">
        <v>12046</v>
      </c>
      <c r="I1699">
        <f t="shared" ca="1" si="104"/>
        <v>26</v>
      </c>
      <c r="J1699" t="str">
        <f t="shared" ca="1" si="105"/>
        <v>18-29</v>
      </c>
      <c r="K1699">
        <v>114374.29</v>
      </c>
      <c r="L1699" t="str">
        <f>IF(Workforce[[#This Row],[Salary]]&lt;50000,"30k-49k",IF(Workforce[[#This Row],[Salary]]&lt;70000,"50k-69k",IF(Workforce[[#This Row],[Salary]]&lt;90000,"70k-89k","90k+")))</f>
        <v>90k+</v>
      </c>
      <c r="M1699" t="s">
        <v>1821</v>
      </c>
      <c r="N1699">
        <f t="shared" ca="1" si="106"/>
        <v>1</v>
      </c>
      <c r="O1699" t="str">
        <f t="shared" ca="1" si="107"/>
        <v>Beginner</v>
      </c>
    </row>
    <row r="1700" spans="1:15" x14ac:dyDescent="0.3">
      <c r="A1700" t="s">
        <v>12047</v>
      </c>
      <c r="B1700" t="s">
        <v>12048</v>
      </c>
      <c r="C1700" t="s">
        <v>1043</v>
      </c>
      <c r="D1700" t="s">
        <v>12049</v>
      </c>
      <c r="E1700" t="s">
        <v>12050</v>
      </c>
      <c r="F1700" t="s">
        <v>831</v>
      </c>
      <c r="G1700" t="s">
        <v>12051</v>
      </c>
      <c r="H1700" t="s">
        <v>12052</v>
      </c>
      <c r="I1700">
        <f t="shared" ca="1" si="104"/>
        <v>26</v>
      </c>
      <c r="J1700" t="str">
        <f t="shared" ca="1" si="105"/>
        <v>18-29</v>
      </c>
      <c r="K1700">
        <v>45715.57</v>
      </c>
      <c r="L1700" t="str">
        <f>IF(Workforce[[#This Row],[Salary]]&lt;50000,"30k-49k",IF(Workforce[[#This Row],[Salary]]&lt;70000,"50k-69k",IF(Workforce[[#This Row],[Salary]]&lt;90000,"70k-89k","90k+")))</f>
        <v>30k-49k</v>
      </c>
      <c r="M1700" t="s">
        <v>12053</v>
      </c>
      <c r="N1700">
        <f t="shared" ca="1" si="106"/>
        <v>10</v>
      </c>
      <c r="O1700" t="str">
        <f t="shared" ca="1" si="107"/>
        <v>Senior level</v>
      </c>
    </row>
    <row r="1701" spans="1:15" x14ac:dyDescent="0.3">
      <c r="A1701" t="s">
        <v>12054</v>
      </c>
      <c r="B1701" t="s">
        <v>12055</v>
      </c>
      <c r="C1701" t="s">
        <v>266</v>
      </c>
      <c r="D1701" t="s">
        <v>12056</v>
      </c>
      <c r="E1701" t="s">
        <v>12057</v>
      </c>
      <c r="F1701" t="s">
        <v>525</v>
      </c>
      <c r="G1701" t="s">
        <v>12058</v>
      </c>
      <c r="H1701" t="s">
        <v>12059</v>
      </c>
      <c r="I1701">
        <f t="shared" ca="1" si="104"/>
        <v>39</v>
      </c>
      <c r="J1701" t="str">
        <f t="shared" ca="1" si="105"/>
        <v>30-39</v>
      </c>
      <c r="K1701">
        <v>81025.97</v>
      </c>
      <c r="L1701" t="str">
        <f>IF(Workforce[[#This Row],[Salary]]&lt;50000,"30k-49k",IF(Workforce[[#This Row],[Salary]]&lt;70000,"50k-69k",IF(Workforce[[#This Row],[Salary]]&lt;90000,"70k-89k","90k+")))</f>
        <v>70k-89k</v>
      </c>
      <c r="M1701" t="s">
        <v>12060</v>
      </c>
      <c r="N1701">
        <f t="shared" ca="1" si="106"/>
        <v>8</v>
      </c>
      <c r="O1701" t="str">
        <f t="shared" ca="1" si="107"/>
        <v>Senior level</v>
      </c>
    </row>
    <row r="1702" spans="1:15" x14ac:dyDescent="0.3">
      <c r="A1702" t="s">
        <v>12061</v>
      </c>
      <c r="B1702" t="s">
        <v>12062</v>
      </c>
      <c r="C1702" t="s">
        <v>757</v>
      </c>
      <c r="D1702" t="s">
        <v>12063</v>
      </c>
      <c r="E1702" t="s">
        <v>12064</v>
      </c>
      <c r="F1702" t="s">
        <v>6661</v>
      </c>
      <c r="G1702" t="s">
        <v>12065</v>
      </c>
      <c r="H1702" t="s">
        <v>12066</v>
      </c>
      <c r="I1702">
        <f t="shared" ca="1" si="104"/>
        <v>47</v>
      </c>
      <c r="J1702" t="str">
        <f t="shared" ca="1" si="105"/>
        <v>40-49</v>
      </c>
      <c r="K1702">
        <v>119314.65</v>
      </c>
      <c r="L1702" t="str">
        <f>IF(Workforce[[#This Row],[Salary]]&lt;50000,"30k-49k",IF(Workforce[[#This Row],[Salary]]&lt;70000,"50k-69k",IF(Workforce[[#This Row],[Salary]]&lt;90000,"70k-89k","90k+")))</f>
        <v>90k+</v>
      </c>
      <c r="M1702" t="s">
        <v>2091</v>
      </c>
      <c r="N1702">
        <f t="shared" ca="1" si="106"/>
        <v>1</v>
      </c>
      <c r="O1702" t="str">
        <f t="shared" ca="1" si="107"/>
        <v>Beginner</v>
      </c>
    </row>
    <row r="1703" spans="1:15" x14ac:dyDescent="0.3">
      <c r="A1703" t="s">
        <v>12067</v>
      </c>
      <c r="B1703" t="s">
        <v>12068</v>
      </c>
      <c r="C1703" t="s">
        <v>757</v>
      </c>
      <c r="D1703" t="s">
        <v>12069</v>
      </c>
      <c r="E1703" t="s">
        <v>12070</v>
      </c>
      <c r="F1703" t="s">
        <v>1107</v>
      </c>
      <c r="G1703" t="s">
        <v>12071</v>
      </c>
      <c r="H1703" t="s">
        <v>12072</v>
      </c>
      <c r="I1703">
        <f t="shared" ca="1" si="104"/>
        <v>27</v>
      </c>
      <c r="J1703" t="str">
        <f t="shared" ca="1" si="105"/>
        <v>18-29</v>
      </c>
      <c r="K1703">
        <v>84313.4</v>
      </c>
      <c r="L1703" t="str">
        <f>IF(Workforce[[#This Row],[Salary]]&lt;50000,"30k-49k",IF(Workforce[[#This Row],[Salary]]&lt;70000,"50k-69k",IF(Workforce[[#This Row],[Salary]]&lt;90000,"70k-89k","90k+")))</f>
        <v>70k-89k</v>
      </c>
      <c r="M1703" t="s">
        <v>4491</v>
      </c>
      <c r="N1703">
        <f t="shared" ca="1" si="106"/>
        <v>8</v>
      </c>
      <c r="O1703" t="str">
        <f t="shared" ca="1" si="107"/>
        <v>Senior level</v>
      </c>
    </row>
    <row r="1704" spans="1:15" x14ac:dyDescent="0.3">
      <c r="A1704" t="s">
        <v>12073</v>
      </c>
      <c r="B1704" t="s">
        <v>12074</v>
      </c>
      <c r="C1704" t="s">
        <v>351</v>
      </c>
      <c r="D1704" t="s">
        <v>12075</v>
      </c>
      <c r="E1704" t="s">
        <v>12076</v>
      </c>
      <c r="F1704" t="s">
        <v>2117</v>
      </c>
      <c r="G1704" t="s">
        <v>12077</v>
      </c>
      <c r="H1704" t="s">
        <v>12078</v>
      </c>
      <c r="I1704">
        <f t="shared" ca="1" si="104"/>
        <v>58</v>
      </c>
      <c r="J1704" t="str">
        <f t="shared" ca="1" si="105"/>
        <v>50-59</v>
      </c>
      <c r="K1704">
        <v>60722.239999999998</v>
      </c>
      <c r="L1704" t="str">
        <f>IF(Workforce[[#This Row],[Salary]]&lt;50000,"30k-49k",IF(Workforce[[#This Row],[Salary]]&lt;70000,"50k-69k",IF(Workforce[[#This Row],[Salary]]&lt;90000,"70k-89k","90k+")))</f>
        <v>50k-69k</v>
      </c>
      <c r="M1704" t="s">
        <v>1506</v>
      </c>
      <c r="N1704">
        <f t="shared" ca="1" si="106"/>
        <v>3</v>
      </c>
      <c r="O1704" t="str">
        <f t="shared" ca="1" si="107"/>
        <v>Intermediate level</v>
      </c>
    </row>
    <row r="1705" spans="1:15" x14ac:dyDescent="0.3">
      <c r="A1705" t="s">
        <v>12079</v>
      </c>
      <c r="B1705" t="s">
        <v>12080</v>
      </c>
      <c r="C1705" t="s">
        <v>844</v>
      </c>
      <c r="D1705" t="s">
        <v>12081</v>
      </c>
      <c r="E1705" t="s">
        <v>12082</v>
      </c>
      <c r="F1705" t="s">
        <v>3500</v>
      </c>
      <c r="G1705" t="s">
        <v>12083</v>
      </c>
      <c r="H1705" t="s">
        <v>12084</v>
      </c>
      <c r="I1705">
        <f t="shared" ca="1" si="104"/>
        <v>58</v>
      </c>
      <c r="J1705" t="str">
        <f t="shared" ca="1" si="105"/>
        <v>50-59</v>
      </c>
      <c r="K1705">
        <v>110732.13</v>
      </c>
      <c r="L1705" t="str">
        <f>IF(Workforce[[#This Row],[Salary]]&lt;50000,"30k-49k",IF(Workforce[[#This Row],[Salary]]&lt;70000,"50k-69k",IF(Workforce[[#This Row],[Salary]]&lt;90000,"70k-89k","90k+")))</f>
        <v>90k+</v>
      </c>
      <c r="M1705" t="s">
        <v>12085</v>
      </c>
      <c r="N1705">
        <f t="shared" ca="1" si="106"/>
        <v>6</v>
      </c>
      <c r="O1705" t="str">
        <f t="shared" ca="1" si="107"/>
        <v>Intermediate level</v>
      </c>
    </row>
    <row r="1706" spans="1:15" x14ac:dyDescent="0.3">
      <c r="A1706" t="s">
        <v>12086</v>
      </c>
      <c r="B1706" t="s">
        <v>12087</v>
      </c>
      <c r="C1706" t="s">
        <v>169</v>
      </c>
      <c r="D1706" t="s">
        <v>12088</v>
      </c>
      <c r="E1706" t="s">
        <v>12089</v>
      </c>
      <c r="F1706" t="s">
        <v>370</v>
      </c>
      <c r="G1706" t="s">
        <v>12090</v>
      </c>
      <c r="H1706" t="s">
        <v>10513</v>
      </c>
      <c r="I1706">
        <f t="shared" ca="1" si="104"/>
        <v>56</v>
      </c>
      <c r="J1706" t="str">
        <f t="shared" ca="1" si="105"/>
        <v>50-59</v>
      </c>
      <c r="K1706">
        <v>30485.03</v>
      </c>
      <c r="L1706" t="str">
        <f>IF(Workforce[[#This Row],[Salary]]&lt;50000,"30k-49k",IF(Workforce[[#This Row],[Salary]]&lt;70000,"50k-69k",IF(Workforce[[#This Row],[Salary]]&lt;90000,"70k-89k","90k+")))</f>
        <v>30k-49k</v>
      </c>
      <c r="M1706" t="s">
        <v>12091</v>
      </c>
      <c r="N1706">
        <f t="shared" ca="1" si="106"/>
        <v>9</v>
      </c>
      <c r="O1706" t="str">
        <f t="shared" ca="1" si="107"/>
        <v>Senior level</v>
      </c>
    </row>
    <row r="1707" spans="1:15" x14ac:dyDescent="0.3">
      <c r="A1707" t="s">
        <v>12092</v>
      </c>
      <c r="B1707" t="s">
        <v>12093</v>
      </c>
      <c r="C1707" t="s">
        <v>106</v>
      </c>
      <c r="D1707" t="s">
        <v>12094</v>
      </c>
      <c r="E1707" t="s">
        <v>12095</v>
      </c>
      <c r="F1707" t="s">
        <v>7446</v>
      </c>
      <c r="G1707" t="s">
        <v>12096</v>
      </c>
      <c r="H1707" t="s">
        <v>12097</v>
      </c>
      <c r="I1707">
        <f t="shared" ca="1" si="104"/>
        <v>53</v>
      </c>
      <c r="J1707" t="str">
        <f t="shared" ca="1" si="105"/>
        <v>50-59</v>
      </c>
      <c r="K1707">
        <v>78380.179999999993</v>
      </c>
      <c r="L1707" t="str">
        <f>IF(Workforce[[#This Row],[Salary]]&lt;50000,"30k-49k",IF(Workforce[[#This Row],[Salary]]&lt;70000,"50k-69k",IF(Workforce[[#This Row],[Salary]]&lt;90000,"70k-89k","90k+")))</f>
        <v>70k-89k</v>
      </c>
      <c r="M1707" t="s">
        <v>12098</v>
      </c>
      <c r="N1707">
        <f t="shared" ca="1" si="106"/>
        <v>7</v>
      </c>
      <c r="O1707" t="str">
        <f t="shared" ca="1" si="107"/>
        <v>Senior level</v>
      </c>
    </row>
    <row r="1708" spans="1:15" x14ac:dyDescent="0.3">
      <c r="A1708" t="s">
        <v>12099</v>
      </c>
      <c r="B1708" t="s">
        <v>12100</v>
      </c>
      <c r="C1708" t="s">
        <v>1159</v>
      </c>
      <c r="D1708" t="s">
        <v>12101</v>
      </c>
      <c r="E1708" t="s">
        <v>12102</v>
      </c>
      <c r="F1708" t="s">
        <v>8172</v>
      </c>
      <c r="G1708" t="s">
        <v>12103</v>
      </c>
      <c r="H1708" t="s">
        <v>12104</v>
      </c>
      <c r="I1708">
        <f t="shared" ca="1" si="104"/>
        <v>55</v>
      </c>
      <c r="J1708" t="str">
        <f t="shared" ca="1" si="105"/>
        <v>50-59</v>
      </c>
      <c r="K1708">
        <v>83918.55</v>
      </c>
      <c r="L1708" t="str">
        <f>IF(Workforce[[#This Row],[Salary]]&lt;50000,"30k-49k",IF(Workforce[[#This Row],[Salary]]&lt;70000,"50k-69k",IF(Workforce[[#This Row],[Salary]]&lt;90000,"70k-89k","90k+")))</f>
        <v>70k-89k</v>
      </c>
      <c r="M1708" t="s">
        <v>10068</v>
      </c>
      <c r="N1708">
        <f t="shared" ca="1" si="106"/>
        <v>4</v>
      </c>
      <c r="O1708" t="str">
        <f t="shared" ca="1" si="107"/>
        <v>Intermediate level</v>
      </c>
    </row>
    <row r="1709" spans="1:15" x14ac:dyDescent="0.3">
      <c r="A1709" t="s">
        <v>12105</v>
      </c>
      <c r="B1709" t="s">
        <v>12106</v>
      </c>
      <c r="C1709" t="s">
        <v>351</v>
      </c>
      <c r="D1709" t="s">
        <v>12107</v>
      </c>
      <c r="E1709" t="s">
        <v>12108</v>
      </c>
      <c r="F1709" t="s">
        <v>7632</v>
      </c>
      <c r="G1709" t="s">
        <v>12109</v>
      </c>
      <c r="H1709" t="s">
        <v>12110</v>
      </c>
      <c r="I1709">
        <f t="shared" ca="1" si="104"/>
        <v>45</v>
      </c>
      <c r="J1709" t="str">
        <f t="shared" ca="1" si="105"/>
        <v>40-49</v>
      </c>
      <c r="K1709">
        <v>46527.96</v>
      </c>
      <c r="L1709" t="str">
        <f>IF(Workforce[[#This Row],[Salary]]&lt;50000,"30k-49k",IF(Workforce[[#This Row],[Salary]]&lt;70000,"50k-69k",IF(Workforce[[#This Row],[Salary]]&lt;90000,"70k-89k","90k+")))</f>
        <v>30k-49k</v>
      </c>
      <c r="M1709" t="s">
        <v>12111</v>
      </c>
      <c r="N1709">
        <f t="shared" ca="1" si="106"/>
        <v>5</v>
      </c>
      <c r="O1709" t="str">
        <f t="shared" ca="1" si="107"/>
        <v>Intermediate level</v>
      </c>
    </row>
    <row r="1710" spans="1:15" x14ac:dyDescent="0.3">
      <c r="A1710" t="s">
        <v>12112</v>
      </c>
      <c r="B1710" t="s">
        <v>12113</v>
      </c>
      <c r="C1710" t="s">
        <v>178</v>
      </c>
      <c r="D1710" t="s">
        <v>12114</v>
      </c>
      <c r="E1710" t="s">
        <v>12115</v>
      </c>
      <c r="F1710" t="s">
        <v>10080</v>
      </c>
      <c r="G1710" t="s">
        <v>12116</v>
      </c>
      <c r="H1710" t="s">
        <v>12117</v>
      </c>
      <c r="I1710">
        <f t="shared" ca="1" si="104"/>
        <v>27</v>
      </c>
      <c r="J1710" t="str">
        <f t="shared" ca="1" si="105"/>
        <v>18-29</v>
      </c>
      <c r="K1710">
        <v>36560.620000000003</v>
      </c>
      <c r="L1710" t="str">
        <f>IF(Workforce[[#This Row],[Salary]]&lt;50000,"30k-49k",IF(Workforce[[#This Row],[Salary]]&lt;70000,"50k-69k",IF(Workforce[[#This Row],[Salary]]&lt;90000,"70k-89k","90k+")))</f>
        <v>30k-49k</v>
      </c>
      <c r="M1710" t="s">
        <v>12118</v>
      </c>
      <c r="N1710">
        <f t="shared" ca="1" si="106"/>
        <v>3</v>
      </c>
      <c r="O1710" t="str">
        <f t="shared" ca="1" si="107"/>
        <v>Intermediate level</v>
      </c>
    </row>
    <row r="1711" spans="1:15" x14ac:dyDescent="0.3">
      <c r="A1711" t="s">
        <v>4348</v>
      </c>
      <c r="B1711" t="s">
        <v>12119</v>
      </c>
      <c r="C1711" t="s">
        <v>326</v>
      </c>
      <c r="D1711" t="s">
        <v>12120</v>
      </c>
      <c r="E1711" t="s">
        <v>12121</v>
      </c>
      <c r="F1711" t="s">
        <v>2194</v>
      </c>
      <c r="G1711" t="s">
        <v>12122</v>
      </c>
      <c r="H1711" t="s">
        <v>12123</v>
      </c>
      <c r="I1711">
        <f t="shared" ca="1" si="104"/>
        <v>40</v>
      </c>
      <c r="J1711" t="str">
        <f t="shared" ca="1" si="105"/>
        <v>40-49</v>
      </c>
      <c r="K1711">
        <v>111552.02</v>
      </c>
      <c r="L1711" t="str">
        <f>IF(Workforce[[#This Row],[Salary]]&lt;50000,"30k-49k",IF(Workforce[[#This Row],[Salary]]&lt;70000,"50k-69k",IF(Workforce[[#This Row],[Salary]]&lt;90000,"70k-89k","90k+")))</f>
        <v>90k+</v>
      </c>
      <c r="M1711" t="s">
        <v>12124</v>
      </c>
      <c r="N1711">
        <f t="shared" ca="1" si="106"/>
        <v>4</v>
      </c>
      <c r="O1711" t="str">
        <f t="shared" ca="1" si="107"/>
        <v>Intermediate level</v>
      </c>
    </row>
    <row r="1712" spans="1:15" x14ac:dyDescent="0.3">
      <c r="A1712" t="s">
        <v>12125</v>
      </c>
      <c r="B1712" t="s">
        <v>12126</v>
      </c>
      <c r="C1712" t="s">
        <v>124</v>
      </c>
      <c r="D1712" t="s">
        <v>12127</v>
      </c>
      <c r="E1712" t="s">
        <v>12128</v>
      </c>
      <c r="F1712" t="s">
        <v>2194</v>
      </c>
      <c r="G1712" t="s">
        <v>12129</v>
      </c>
      <c r="H1712" t="s">
        <v>12130</v>
      </c>
      <c r="I1712">
        <f t="shared" ca="1" si="104"/>
        <v>27</v>
      </c>
      <c r="J1712" t="str">
        <f t="shared" ca="1" si="105"/>
        <v>18-29</v>
      </c>
      <c r="K1712">
        <v>98931.89</v>
      </c>
      <c r="L1712" t="str">
        <f>IF(Workforce[[#This Row],[Salary]]&lt;50000,"30k-49k",IF(Workforce[[#This Row],[Salary]]&lt;70000,"50k-69k",IF(Workforce[[#This Row],[Salary]]&lt;90000,"70k-89k","90k+")))</f>
        <v>90k+</v>
      </c>
      <c r="M1712" t="s">
        <v>12131</v>
      </c>
      <c r="N1712">
        <f t="shared" ca="1" si="106"/>
        <v>6</v>
      </c>
      <c r="O1712" t="str">
        <f t="shared" ca="1" si="107"/>
        <v>Intermediate level</v>
      </c>
    </row>
    <row r="1713" spans="1:15" x14ac:dyDescent="0.3">
      <c r="A1713" t="s">
        <v>12132</v>
      </c>
      <c r="B1713" t="s">
        <v>12133</v>
      </c>
      <c r="C1713" t="s">
        <v>1159</v>
      </c>
      <c r="D1713" t="s">
        <v>12134</v>
      </c>
      <c r="E1713" t="s">
        <v>12135</v>
      </c>
      <c r="F1713" t="s">
        <v>10347</v>
      </c>
      <c r="G1713" t="s">
        <v>12136</v>
      </c>
      <c r="H1713" t="s">
        <v>12137</v>
      </c>
      <c r="I1713">
        <f t="shared" ca="1" si="104"/>
        <v>52</v>
      </c>
      <c r="J1713" t="str">
        <f t="shared" ca="1" si="105"/>
        <v>50-59</v>
      </c>
      <c r="K1713">
        <v>37046.620000000003</v>
      </c>
      <c r="L1713" t="str">
        <f>IF(Workforce[[#This Row],[Salary]]&lt;50000,"30k-49k",IF(Workforce[[#This Row],[Salary]]&lt;70000,"50k-69k",IF(Workforce[[#This Row],[Salary]]&lt;90000,"70k-89k","90k+")))</f>
        <v>30k-49k</v>
      </c>
      <c r="M1713" t="s">
        <v>12138</v>
      </c>
      <c r="N1713">
        <f t="shared" ca="1" si="106"/>
        <v>2</v>
      </c>
      <c r="O1713" t="str">
        <f t="shared" ca="1" si="107"/>
        <v>Beginner</v>
      </c>
    </row>
    <row r="1714" spans="1:15" x14ac:dyDescent="0.3">
      <c r="A1714" t="s">
        <v>12139</v>
      </c>
      <c r="B1714" t="s">
        <v>12140</v>
      </c>
      <c r="C1714" t="s">
        <v>70</v>
      </c>
      <c r="D1714" t="s">
        <v>12141</v>
      </c>
      <c r="E1714" t="s">
        <v>12142</v>
      </c>
      <c r="F1714" t="s">
        <v>9013</v>
      </c>
      <c r="G1714" t="s">
        <v>12143</v>
      </c>
      <c r="H1714" t="s">
        <v>12144</v>
      </c>
      <c r="I1714">
        <f t="shared" ca="1" si="104"/>
        <v>46</v>
      </c>
      <c r="J1714" t="str">
        <f t="shared" ca="1" si="105"/>
        <v>40-49</v>
      </c>
      <c r="K1714">
        <v>34660.480000000003</v>
      </c>
      <c r="L1714" t="str">
        <f>IF(Workforce[[#This Row],[Salary]]&lt;50000,"30k-49k",IF(Workforce[[#This Row],[Salary]]&lt;70000,"50k-69k",IF(Workforce[[#This Row],[Salary]]&lt;90000,"70k-89k","90k+")))</f>
        <v>30k-49k</v>
      </c>
      <c r="M1714" t="s">
        <v>12145</v>
      </c>
      <c r="N1714">
        <f t="shared" ca="1" si="106"/>
        <v>1</v>
      </c>
      <c r="O1714" t="str">
        <f t="shared" ca="1" si="107"/>
        <v>Beginner</v>
      </c>
    </row>
    <row r="1715" spans="1:15" x14ac:dyDescent="0.3">
      <c r="A1715" t="s">
        <v>12146</v>
      </c>
      <c r="B1715" t="s">
        <v>12147</v>
      </c>
      <c r="C1715" t="s">
        <v>2086</v>
      </c>
      <c r="D1715" t="s">
        <v>12148</v>
      </c>
      <c r="E1715" t="s">
        <v>12149</v>
      </c>
      <c r="F1715" t="s">
        <v>7446</v>
      </c>
      <c r="G1715" t="s">
        <v>12150</v>
      </c>
      <c r="H1715" t="s">
        <v>12151</v>
      </c>
      <c r="I1715">
        <f t="shared" ca="1" si="104"/>
        <v>50</v>
      </c>
      <c r="J1715" t="str">
        <f t="shared" ca="1" si="105"/>
        <v>50-59</v>
      </c>
      <c r="K1715">
        <v>76283.649999999994</v>
      </c>
      <c r="L1715" t="str">
        <f>IF(Workforce[[#This Row],[Salary]]&lt;50000,"30k-49k",IF(Workforce[[#This Row],[Salary]]&lt;70000,"50k-69k",IF(Workforce[[#This Row],[Salary]]&lt;90000,"70k-89k","90k+")))</f>
        <v>70k-89k</v>
      </c>
      <c r="M1715" t="s">
        <v>1118</v>
      </c>
      <c r="N1715">
        <f t="shared" ca="1" si="106"/>
        <v>2</v>
      </c>
      <c r="O1715" t="str">
        <f t="shared" ca="1" si="107"/>
        <v>Beginner</v>
      </c>
    </row>
    <row r="1716" spans="1:15" x14ac:dyDescent="0.3">
      <c r="A1716" t="s">
        <v>12152</v>
      </c>
      <c r="B1716" t="s">
        <v>12153</v>
      </c>
      <c r="C1716" t="s">
        <v>774</v>
      </c>
      <c r="D1716" t="s">
        <v>12154</v>
      </c>
      <c r="E1716" t="s">
        <v>12155</v>
      </c>
      <c r="F1716" t="s">
        <v>3892</v>
      </c>
      <c r="G1716" t="s">
        <v>12156</v>
      </c>
      <c r="H1716" t="s">
        <v>12157</v>
      </c>
      <c r="I1716">
        <f t="shared" ca="1" si="104"/>
        <v>39</v>
      </c>
      <c r="J1716" t="str">
        <f t="shared" ca="1" si="105"/>
        <v>30-39</v>
      </c>
      <c r="K1716">
        <v>114047.73</v>
      </c>
      <c r="L1716" t="str">
        <f>IF(Workforce[[#This Row],[Salary]]&lt;50000,"30k-49k",IF(Workforce[[#This Row],[Salary]]&lt;70000,"50k-69k",IF(Workforce[[#This Row],[Salary]]&lt;90000,"70k-89k","90k+")))</f>
        <v>90k+</v>
      </c>
      <c r="M1716" t="s">
        <v>11572</v>
      </c>
      <c r="N1716">
        <f t="shared" ca="1" si="106"/>
        <v>10</v>
      </c>
      <c r="O1716" t="str">
        <f t="shared" ca="1" si="107"/>
        <v>Senior level</v>
      </c>
    </row>
    <row r="1717" spans="1:15" x14ac:dyDescent="0.3">
      <c r="A1717" t="s">
        <v>12158</v>
      </c>
      <c r="B1717" t="s">
        <v>12159</v>
      </c>
      <c r="C1717" t="s">
        <v>88</v>
      </c>
      <c r="D1717" t="s">
        <v>12160</v>
      </c>
      <c r="E1717" t="s">
        <v>12161</v>
      </c>
      <c r="F1717" t="s">
        <v>1642</v>
      </c>
      <c r="G1717" t="s">
        <v>12162</v>
      </c>
      <c r="H1717" t="s">
        <v>12163</v>
      </c>
      <c r="I1717">
        <f t="shared" ca="1" si="104"/>
        <v>32</v>
      </c>
      <c r="J1717" t="str">
        <f t="shared" ca="1" si="105"/>
        <v>30-39</v>
      </c>
      <c r="K1717">
        <v>61332.22</v>
      </c>
      <c r="L1717" t="str">
        <f>IF(Workforce[[#This Row],[Salary]]&lt;50000,"30k-49k",IF(Workforce[[#This Row],[Salary]]&lt;70000,"50k-69k",IF(Workforce[[#This Row],[Salary]]&lt;90000,"70k-89k","90k+")))</f>
        <v>50k-69k</v>
      </c>
      <c r="M1717" t="s">
        <v>12164</v>
      </c>
      <c r="N1717">
        <f t="shared" ca="1" si="106"/>
        <v>9</v>
      </c>
      <c r="O1717" t="str">
        <f t="shared" ca="1" si="107"/>
        <v>Senior level</v>
      </c>
    </row>
    <row r="1718" spans="1:15" x14ac:dyDescent="0.3">
      <c r="A1718" t="s">
        <v>12165</v>
      </c>
      <c r="B1718" t="s">
        <v>12166</v>
      </c>
      <c r="C1718" t="s">
        <v>97</v>
      </c>
      <c r="D1718" t="s">
        <v>12167</v>
      </c>
      <c r="E1718" t="s">
        <v>12168</v>
      </c>
      <c r="F1718" t="s">
        <v>5424</v>
      </c>
      <c r="G1718" t="s">
        <v>12169</v>
      </c>
      <c r="H1718" t="s">
        <v>12170</v>
      </c>
      <c r="I1718">
        <f t="shared" ca="1" si="104"/>
        <v>58</v>
      </c>
      <c r="J1718" t="str">
        <f t="shared" ca="1" si="105"/>
        <v>50-59</v>
      </c>
      <c r="K1718">
        <v>106087.39</v>
      </c>
      <c r="L1718" t="str">
        <f>IF(Workforce[[#This Row],[Salary]]&lt;50000,"30k-49k",IF(Workforce[[#This Row],[Salary]]&lt;70000,"50k-69k",IF(Workforce[[#This Row],[Salary]]&lt;90000,"70k-89k","90k+")))</f>
        <v>90k+</v>
      </c>
      <c r="M1718" t="s">
        <v>12171</v>
      </c>
      <c r="N1718">
        <f t="shared" ca="1" si="106"/>
        <v>4</v>
      </c>
      <c r="O1718" t="str">
        <f t="shared" ca="1" si="107"/>
        <v>Intermediate level</v>
      </c>
    </row>
    <row r="1719" spans="1:15" x14ac:dyDescent="0.3">
      <c r="A1719" t="s">
        <v>12172</v>
      </c>
      <c r="B1719" t="s">
        <v>12173</v>
      </c>
      <c r="C1719" t="s">
        <v>326</v>
      </c>
      <c r="D1719" t="s">
        <v>12174</v>
      </c>
      <c r="E1719" t="s">
        <v>12175</v>
      </c>
      <c r="F1719" t="s">
        <v>2623</v>
      </c>
      <c r="G1719" t="s">
        <v>12176</v>
      </c>
      <c r="H1719" t="s">
        <v>12177</v>
      </c>
      <c r="I1719">
        <f t="shared" ca="1" si="104"/>
        <v>48</v>
      </c>
      <c r="J1719" t="str">
        <f t="shared" ca="1" si="105"/>
        <v>40-49</v>
      </c>
      <c r="K1719">
        <v>53017.760000000002</v>
      </c>
      <c r="L1719" t="str">
        <f>IF(Workforce[[#This Row],[Salary]]&lt;50000,"30k-49k",IF(Workforce[[#This Row],[Salary]]&lt;70000,"50k-69k",IF(Workforce[[#This Row],[Salary]]&lt;90000,"70k-89k","90k+")))</f>
        <v>50k-69k</v>
      </c>
      <c r="M1719" t="s">
        <v>12178</v>
      </c>
      <c r="N1719">
        <f t="shared" ca="1" si="106"/>
        <v>9</v>
      </c>
      <c r="O1719" t="str">
        <f t="shared" ca="1" si="107"/>
        <v>Senior level</v>
      </c>
    </row>
    <row r="1720" spans="1:15" x14ac:dyDescent="0.3">
      <c r="A1720" t="s">
        <v>12179</v>
      </c>
      <c r="B1720" t="s">
        <v>12180</v>
      </c>
      <c r="C1720" t="s">
        <v>748</v>
      </c>
      <c r="D1720" t="s">
        <v>12181</v>
      </c>
      <c r="E1720" t="s">
        <v>12182</v>
      </c>
      <c r="F1720" t="s">
        <v>4045</v>
      </c>
      <c r="G1720" t="s">
        <v>1534</v>
      </c>
      <c r="H1720" t="s">
        <v>12183</v>
      </c>
      <c r="I1720">
        <f t="shared" ca="1" si="104"/>
        <v>34</v>
      </c>
      <c r="J1720" t="str">
        <f t="shared" ca="1" si="105"/>
        <v>30-39</v>
      </c>
      <c r="K1720">
        <v>75863.960000000006</v>
      </c>
      <c r="L1720" t="str">
        <f>IF(Workforce[[#This Row],[Salary]]&lt;50000,"30k-49k",IF(Workforce[[#This Row],[Salary]]&lt;70000,"50k-69k",IF(Workforce[[#This Row],[Salary]]&lt;90000,"70k-89k","90k+")))</f>
        <v>70k-89k</v>
      </c>
      <c r="M1720" t="s">
        <v>12184</v>
      </c>
      <c r="N1720">
        <f t="shared" ca="1" si="106"/>
        <v>5</v>
      </c>
      <c r="O1720" t="str">
        <f t="shared" ca="1" si="107"/>
        <v>Intermediate level</v>
      </c>
    </row>
    <row r="1721" spans="1:15" x14ac:dyDescent="0.3">
      <c r="A1721" t="s">
        <v>12185</v>
      </c>
      <c r="B1721" t="s">
        <v>12186</v>
      </c>
      <c r="C1721" t="s">
        <v>326</v>
      </c>
      <c r="D1721" t="s">
        <v>12187</v>
      </c>
      <c r="E1721" t="s">
        <v>12188</v>
      </c>
      <c r="F1721" t="s">
        <v>1015</v>
      </c>
      <c r="G1721" t="s">
        <v>12189</v>
      </c>
      <c r="H1721" t="s">
        <v>7081</v>
      </c>
      <c r="I1721">
        <f t="shared" ca="1" si="104"/>
        <v>58</v>
      </c>
      <c r="J1721" t="str">
        <f t="shared" ca="1" si="105"/>
        <v>50-59</v>
      </c>
      <c r="K1721">
        <v>97498.559999999998</v>
      </c>
      <c r="L1721" t="str">
        <f>IF(Workforce[[#This Row],[Salary]]&lt;50000,"30k-49k",IF(Workforce[[#This Row],[Salary]]&lt;70000,"50k-69k",IF(Workforce[[#This Row],[Salary]]&lt;90000,"70k-89k","90k+")))</f>
        <v>90k+</v>
      </c>
      <c r="M1721" t="s">
        <v>12190</v>
      </c>
      <c r="N1721">
        <f t="shared" ca="1" si="106"/>
        <v>2</v>
      </c>
      <c r="O1721" t="str">
        <f t="shared" ca="1" si="107"/>
        <v>Beginner</v>
      </c>
    </row>
    <row r="1722" spans="1:15" x14ac:dyDescent="0.3">
      <c r="A1722" t="s">
        <v>12191</v>
      </c>
      <c r="B1722" t="s">
        <v>12192</v>
      </c>
      <c r="C1722" t="s">
        <v>231</v>
      </c>
      <c r="D1722" t="s">
        <v>12193</v>
      </c>
      <c r="E1722" t="s">
        <v>12194</v>
      </c>
      <c r="F1722" t="s">
        <v>2232</v>
      </c>
      <c r="G1722" t="s">
        <v>12195</v>
      </c>
      <c r="H1722" t="s">
        <v>12196</v>
      </c>
      <c r="I1722">
        <f t="shared" ca="1" si="104"/>
        <v>52</v>
      </c>
      <c r="J1722" t="str">
        <f t="shared" ca="1" si="105"/>
        <v>50-59</v>
      </c>
      <c r="K1722">
        <v>92373.49</v>
      </c>
      <c r="L1722" t="str">
        <f>IF(Workforce[[#This Row],[Salary]]&lt;50000,"30k-49k",IF(Workforce[[#This Row],[Salary]]&lt;70000,"50k-69k",IF(Workforce[[#This Row],[Salary]]&lt;90000,"70k-89k","90k+")))</f>
        <v>90k+</v>
      </c>
      <c r="M1722" t="s">
        <v>12197</v>
      </c>
      <c r="N1722">
        <f t="shared" ca="1" si="106"/>
        <v>3</v>
      </c>
      <c r="O1722" t="str">
        <f t="shared" ca="1" si="107"/>
        <v>Intermediate level</v>
      </c>
    </row>
    <row r="1723" spans="1:15" x14ac:dyDescent="0.3">
      <c r="A1723" t="s">
        <v>12198</v>
      </c>
      <c r="B1723" t="s">
        <v>12199</v>
      </c>
      <c r="C1723" t="s">
        <v>457</v>
      </c>
      <c r="D1723" t="s">
        <v>12200</v>
      </c>
      <c r="E1723" t="s">
        <v>12201</v>
      </c>
      <c r="F1723" t="s">
        <v>172</v>
      </c>
      <c r="G1723" t="s">
        <v>12202</v>
      </c>
      <c r="H1723" t="s">
        <v>1590</v>
      </c>
      <c r="I1723">
        <f t="shared" ca="1" si="104"/>
        <v>61</v>
      </c>
      <c r="J1723" t="str">
        <f t="shared" ca="1" si="105"/>
        <v>60+</v>
      </c>
      <c r="K1723">
        <v>112927.3</v>
      </c>
      <c r="L1723" t="str">
        <f>IF(Workforce[[#This Row],[Salary]]&lt;50000,"30k-49k",IF(Workforce[[#This Row],[Salary]]&lt;70000,"50k-69k",IF(Workforce[[#This Row],[Salary]]&lt;90000,"70k-89k","90k+")))</f>
        <v>90k+</v>
      </c>
      <c r="M1723" t="s">
        <v>2367</v>
      </c>
      <c r="N1723">
        <f t="shared" ca="1" si="106"/>
        <v>6</v>
      </c>
      <c r="O1723" t="str">
        <f t="shared" ca="1" si="107"/>
        <v>Intermediate level</v>
      </c>
    </row>
    <row r="1724" spans="1:15" x14ac:dyDescent="0.3">
      <c r="A1724" t="s">
        <v>12203</v>
      </c>
      <c r="B1724" t="s">
        <v>12204</v>
      </c>
      <c r="C1724" t="s">
        <v>1223</v>
      </c>
      <c r="D1724" t="s">
        <v>12205</v>
      </c>
      <c r="E1724" t="s">
        <v>12206</v>
      </c>
      <c r="F1724" t="s">
        <v>2028</v>
      </c>
      <c r="G1724" t="s">
        <v>12207</v>
      </c>
      <c r="H1724" t="s">
        <v>12208</v>
      </c>
      <c r="I1724">
        <f t="shared" ca="1" si="104"/>
        <v>24</v>
      </c>
      <c r="J1724" t="str">
        <f t="shared" ca="1" si="105"/>
        <v>18-29</v>
      </c>
      <c r="K1724">
        <v>71144.160000000003</v>
      </c>
      <c r="L1724" t="str">
        <f>IF(Workforce[[#This Row],[Salary]]&lt;50000,"30k-49k",IF(Workforce[[#This Row],[Salary]]&lt;70000,"50k-69k",IF(Workforce[[#This Row],[Salary]]&lt;90000,"70k-89k","90k+")))</f>
        <v>70k-89k</v>
      </c>
      <c r="M1724" t="s">
        <v>12209</v>
      </c>
      <c r="N1724">
        <f t="shared" ca="1" si="106"/>
        <v>4</v>
      </c>
      <c r="O1724" t="str">
        <f t="shared" ca="1" si="107"/>
        <v>Intermediate level</v>
      </c>
    </row>
    <row r="1725" spans="1:15" x14ac:dyDescent="0.3">
      <c r="A1725" t="s">
        <v>12210</v>
      </c>
      <c r="B1725" t="s">
        <v>12211</v>
      </c>
      <c r="C1725" t="s">
        <v>317</v>
      </c>
      <c r="D1725" t="s">
        <v>12212</v>
      </c>
      <c r="E1725" t="s">
        <v>12213</v>
      </c>
      <c r="F1725" t="s">
        <v>4278</v>
      </c>
      <c r="G1725" t="s">
        <v>12214</v>
      </c>
      <c r="H1725" t="s">
        <v>12215</v>
      </c>
      <c r="I1725">
        <f t="shared" ca="1" si="104"/>
        <v>32</v>
      </c>
      <c r="J1725" t="str">
        <f t="shared" ca="1" si="105"/>
        <v>30-39</v>
      </c>
      <c r="K1725">
        <v>90636.12</v>
      </c>
      <c r="L1725" t="str">
        <f>IF(Workforce[[#This Row],[Salary]]&lt;50000,"30k-49k",IF(Workforce[[#This Row],[Salary]]&lt;70000,"50k-69k",IF(Workforce[[#This Row],[Salary]]&lt;90000,"70k-89k","90k+")))</f>
        <v>90k+</v>
      </c>
      <c r="M1725" t="s">
        <v>8510</v>
      </c>
      <c r="N1725">
        <f t="shared" ca="1" si="106"/>
        <v>1</v>
      </c>
      <c r="O1725" t="str">
        <f t="shared" ca="1" si="107"/>
        <v>Beginner</v>
      </c>
    </row>
    <row r="1726" spans="1:15" x14ac:dyDescent="0.3">
      <c r="A1726" t="s">
        <v>12216</v>
      </c>
      <c r="B1726" t="s">
        <v>12217</v>
      </c>
      <c r="C1726" t="s">
        <v>1004</v>
      </c>
      <c r="D1726" t="s">
        <v>12218</v>
      </c>
      <c r="E1726" t="s">
        <v>12219</v>
      </c>
      <c r="F1726" t="s">
        <v>5206</v>
      </c>
      <c r="G1726" t="s">
        <v>11647</v>
      </c>
      <c r="H1726" t="s">
        <v>12220</v>
      </c>
      <c r="I1726">
        <f t="shared" ca="1" si="104"/>
        <v>58</v>
      </c>
      <c r="J1726" t="str">
        <f t="shared" ca="1" si="105"/>
        <v>50-59</v>
      </c>
      <c r="K1726">
        <v>111870.53</v>
      </c>
      <c r="L1726" t="str">
        <f>IF(Workforce[[#This Row],[Salary]]&lt;50000,"30k-49k",IF(Workforce[[#This Row],[Salary]]&lt;70000,"50k-69k",IF(Workforce[[#This Row],[Salary]]&lt;90000,"70k-89k","90k+")))</f>
        <v>90k+</v>
      </c>
      <c r="M1726" t="s">
        <v>12221</v>
      </c>
      <c r="N1726">
        <f t="shared" ca="1" si="106"/>
        <v>9</v>
      </c>
      <c r="O1726" t="str">
        <f t="shared" ca="1" si="107"/>
        <v>Senior level</v>
      </c>
    </row>
    <row r="1727" spans="1:15" x14ac:dyDescent="0.3">
      <c r="A1727" t="s">
        <v>12222</v>
      </c>
      <c r="B1727" t="s">
        <v>12223</v>
      </c>
      <c r="C1727" t="s">
        <v>326</v>
      </c>
      <c r="D1727" t="s">
        <v>12224</v>
      </c>
      <c r="E1727" t="s">
        <v>12225</v>
      </c>
      <c r="F1727" t="s">
        <v>4669</v>
      </c>
      <c r="G1727" t="s">
        <v>12226</v>
      </c>
      <c r="H1727" t="s">
        <v>12227</v>
      </c>
      <c r="I1727">
        <f t="shared" ca="1" si="104"/>
        <v>52</v>
      </c>
      <c r="J1727" t="str">
        <f t="shared" ca="1" si="105"/>
        <v>50-59</v>
      </c>
      <c r="K1727">
        <v>85056.76</v>
      </c>
      <c r="L1727" t="str">
        <f>IF(Workforce[[#This Row],[Salary]]&lt;50000,"30k-49k",IF(Workforce[[#This Row],[Salary]]&lt;70000,"50k-69k",IF(Workforce[[#This Row],[Salary]]&lt;90000,"70k-89k","90k+")))</f>
        <v>70k-89k</v>
      </c>
      <c r="M1727" t="s">
        <v>2492</v>
      </c>
      <c r="N1727">
        <f t="shared" ca="1" si="106"/>
        <v>1</v>
      </c>
      <c r="O1727" t="str">
        <f t="shared" ca="1" si="107"/>
        <v>Beginner</v>
      </c>
    </row>
    <row r="1728" spans="1:15" x14ac:dyDescent="0.3">
      <c r="A1728" t="s">
        <v>12228</v>
      </c>
      <c r="B1728" t="s">
        <v>12229</v>
      </c>
      <c r="C1728" t="s">
        <v>335</v>
      </c>
      <c r="D1728" t="s">
        <v>12230</v>
      </c>
      <c r="E1728" t="s">
        <v>12231</v>
      </c>
      <c r="F1728" t="s">
        <v>269</v>
      </c>
      <c r="G1728" t="s">
        <v>12232</v>
      </c>
      <c r="H1728" t="s">
        <v>11392</v>
      </c>
      <c r="I1728">
        <f t="shared" ca="1" si="104"/>
        <v>32</v>
      </c>
      <c r="J1728" t="str">
        <f t="shared" ca="1" si="105"/>
        <v>30-39</v>
      </c>
      <c r="K1728">
        <v>31946.37</v>
      </c>
      <c r="L1728" t="str">
        <f>IF(Workforce[[#This Row],[Salary]]&lt;50000,"30k-49k",IF(Workforce[[#This Row],[Salary]]&lt;70000,"50k-69k",IF(Workforce[[#This Row],[Salary]]&lt;90000,"70k-89k","90k+")))</f>
        <v>30k-49k</v>
      </c>
      <c r="M1728" t="s">
        <v>12233</v>
      </c>
      <c r="N1728">
        <f t="shared" ca="1" si="106"/>
        <v>8</v>
      </c>
      <c r="O1728" t="str">
        <f t="shared" ca="1" si="107"/>
        <v>Senior level</v>
      </c>
    </row>
    <row r="1729" spans="1:15" x14ac:dyDescent="0.3">
      <c r="A1729" t="s">
        <v>12234</v>
      </c>
      <c r="B1729" t="s">
        <v>12235</v>
      </c>
      <c r="C1729" t="s">
        <v>196</v>
      </c>
      <c r="D1729" t="s">
        <v>12236</v>
      </c>
      <c r="E1729" t="s">
        <v>12237</v>
      </c>
      <c r="F1729" t="s">
        <v>8319</v>
      </c>
      <c r="G1729" t="s">
        <v>12238</v>
      </c>
      <c r="H1729" t="s">
        <v>12239</v>
      </c>
      <c r="I1729">
        <f t="shared" ca="1" si="104"/>
        <v>19</v>
      </c>
      <c r="J1729" t="str">
        <f t="shared" ca="1" si="105"/>
        <v>18-29</v>
      </c>
      <c r="K1729">
        <v>72314.570000000007</v>
      </c>
      <c r="L1729" t="str">
        <f>IF(Workforce[[#This Row],[Salary]]&lt;50000,"30k-49k",IF(Workforce[[#This Row],[Salary]]&lt;70000,"50k-69k",IF(Workforce[[#This Row],[Salary]]&lt;90000,"70k-89k","90k+")))</f>
        <v>70k-89k</v>
      </c>
      <c r="M1729" t="s">
        <v>12240</v>
      </c>
      <c r="N1729">
        <f t="shared" ca="1" si="106"/>
        <v>1</v>
      </c>
      <c r="O1729" t="str">
        <f t="shared" ca="1" si="107"/>
        <v>Beginner</v>
      </c>
    </row>
    <row r="1730" spans="1:15" x14ac:dyDescent="0.3">
      <c r="A1730" t="s">
        <v>12241</v>
      </c>
      <c r="B1730" t="s">
        <v>12242</v>
      </c>
      <c r="C1730" t="s">
        <v>335</v>
      </c>
      <c r="D1730" t="s">
        <v>12243</v>
      </c>
      <c r="E1730" t="s">
        <v>12244</v>
      </c>
      <c r="F1730" t="s">
        <v>1757</v>
      </c>
      <c r="G1730" t="s">
        <v>12245</v>
      </c>
      <c r="H1730" t="s">
        <v>6988</v>
      </c>
      <c r="I1730">
        <f t="shared" ref="I1730:I1793" ca="1" si="108">DATEDIF(H1730,TODAY(),"y")</f>
        <v>24</v>
      </c>
      <c r="J1730" t="str">
        <f t="shared" ref="J1730:J1793" ca="1" si="109">IF(I1730&lt;30,"18-29",IF(I1730&lt;40,"30-39",IF(I1730&lt;50,"40-49",IF(I1730&lt;60,"50-59","60+"))))</f>
        <v>18-29</v>
      </c>
      <c r="K1730">
        <v>109652.98</v>
      </c>
      <c r="L1730" t="str">
        <f>IF(Workforce[[#This Row],[Salary]]&lt;50000,"30k-49k",IF(Workforce[[#This Row],[Salary]]&lt;70000,"50k-69k",IF(Workforce[[#This Row],[Salary]]&lt;90000,"70k-89k","90k+")))</f>
        <v>90k+</v>
      </c>
      <c r="M1730" t="s">
        <v>12246</v>
      </c>
      <c r="N1730">
        <f t="shared" ref="N1730:N1793" ca="1" si="110">DATEDIF(M1730,TODAY(),"y")</f>
        <v>8</v>
      </c>
      <c r="O1730" t="str">
        <f t="shared" ref="O1730:O1793" ca="1" si="111">IF(N1730&lt;=2,"Beginner",IF(N1730&lt;=6,"Intermediate level","Senior level"))</f>
        <v>Senior level</v>
      </c>
    </row>
    <row r="1731" spans="1:15" x14ac:dyDescent="0.3">
      <c r="A1731" t="s">
        <v>12247</v>
      </c>
      <c r="B1731" t="s">
        <v>12248</v>
      </c>
      <c r="C1731" t="s">
        <v>580</v>
      </c>
      <c r="D1731" t="s">
        <v>12249</v>
      </c>
      <c r="E1731" t="s">
        <v>12250</v>
      </c>
      <c r="F1731" t="s">
        <v>11622</v>
      </c>
      <c r="G1731" t="s">
        <v>5595</v>
      </c>
      <c r="H1731" t="s">
        <v>8676</v>
      </c>
      <c r="I1731">
        <f t="shared" ca="1" si="108"/>
        <v>28</v>
      </c>
      <c r="J1731" t="str">
        <f t="shared" ca="1" si="109"/>
        <v>18-29</v>
      </c>
      <c r="K1731">
        <v>118507.16</v>
      </c>
      <c r="L1731" t="str">
        <f>IF(Workforce[[#This Row],[Salary]]&lt;50000,"30k-49k",IF(Workforce[[#This Row],[Salary]]&lt;70000,"50k-69k",IF(Workforce[[#This Row],[Salary]]&lt;90000,"70k-89k","90k+")))</f>
        <v>90k+</v>
      </c>
      <c r="M1731" t="s">
        <v>11541</v>
      </c>
      <c r="N1731">
        <f t="shared" ca="1" si="110"/>
        <v>0</v>
      </c>
      <c r="O1731" t="str">
        <f t="shared" ca="1" si="111"/>
        <v>Beginner</v>
      </c>
    </row>
    <row r="1732" spans="1:15" x14ac:dyDescent="0.3">
      <c r="A1732" t="s">
        <v>12251</v>
      </c>
      <c r="B1732" t="s">
        <v>12252</v>
      </c>
      <c r="C1732" t="s">
        <v>124</v>
      </c>
      <c r="D1732" t="s">
        <v>12253</v>
      </c>
      <c r="E1732" t="s">
        <v>12254</v>
      </c>
      <c r="F1732" t="s">
        <v>1351</v>
      </c>
      <c r="G1732" t="s">
        <v>12255</v>
      </c>
      <c r="H1732" t="s">
        <v>12256</v>
      </c>
      <c r="I1732">
        <f t="shared" ca="1" si="108"/>
        <v>60</v>
      </c>
      <c r="J1732" t="str">
        <f t="shared" ca="1" si="109"/>
        <v>60+</v>
      </c>
      <c r="K1732">
        <v>102407.6</v>
      </c>
      <c r="L1732" t="str">
        <f>IF(Workforce[[#This Row],[Salary]]&lt;50000,"30k-49k",IF(Workforce[[#This Row],[Salary]]&lt;70000,"50k-69k",IF(Workforce[[#This Row],[Salary]]&lt;90000,"70k-89k","90k+")))</f>
        <v>90k+</v>
      </c>
      <c r="M1732" t="s">
        <v>9492</v>
      </c>
      <c r="N1732">
        <f t="shared" ca="1" si="110"/>
        <v>9</v>
      </c>
      <c r="O1732" t="str">
        <f t="shared" ca="1" si="111"/>
        <v>Senior level</v>
      </c>
    </row>
    <row r="1733" spans="1:15" x14ac:dyDescent="0.3">
      <c r="A1733" t="s">
        <v>12257</v>
      </c>
      <c r="B1733" t="s">
        <v>12258</v>
      </c>
      <c r="C1733" t="s">
        <v>284</v>
      </c>
      <c r="D1733" t="s">
        <v>12259</v>
      </c>
      <c r="E1733" t="s">
        <v>12260</v>
      </c>
      <c r="F1733" t="s">
        <v>4126</v>
      </c>
      <c r="G1733" t="s">
        <v>12261</v>
      </c>
      <c r="H1733" t="s">
        <v>12262</v>
      </c>
      <c r="I1733">
        <f t="shared" ca="1" si="108"/>
        <v>50</v>
      </c>
      <c r="J1733" t="str">
        <f t="shared" ca="1" si="109"/>
        <v>50-59</v>
      </c>
      <c r="K1733">
        <v>109152.1</v>
      </c>
      <c r="L1733" t="str">
        <f>IF(Workforce[[#This Row],[Salary]]&lt;50000,"30k-49k",IF(Workforce[[#This Row],[Salary]]&lt;70000,"50k-69k",IF(Workforce[[#This Row],[Salary]]&lt;90000,"70k-89k","90k+")))</f>
        <v>90k+</v>
      </c>
      <c r="M1733" t="s">
        <v>12263</v>
      </c>
      <c r="N1733">
        <f t="shared" ca="1" si="110"/>
        <v>7</v>
      </c>
      <c r="O1733" t="str">
        <f t="shared" ca="1" si="111"/>
        <v>Senior level</v>
      </c>
    </row>
    <row r="1734" spans="1:15" x14ac:dyDescent="0.3">
      <c r="A1734" t="s">
        <v>12264</v>
      </c>
      <c r="B1734" t="s">
        <v>12265</v>
      </c>
      <c r="C1734" t="s">
        <v>187</v>
      </c>
      <c r="D1734" t="s">
        <v>12266</v>
      </c>
      <c r="E1734" t="s">
        <v>12267</v>
      </c>
      <c r="F1734" t="s">
        <v>566</v>
      </c>
      <c r="G1734" t="s">
        <v>12268</v>
      </c>
      <c r="H1734" t="s">
        <v>11224</v>
      </c>
      <c r="I1734">
        <f t="shared" ca="1" si="108"/>
        <v>33</v>
      </c>
      <c r="J1734" t="str">
        <f t="shared" ca="1" si="109"/>
        <v>30-39</v>
      </c>
      <c r="K1734">
        <v>79965.789999999994</v>
      </c>
      <c r="L1734" t="str">
        <f>IF(Workforce[[#This Row],[Salary]]&lt;50000,"30k-49k",IF(Workforce[[#This Row],[Salary]]&lt;70000,"50k-69k",IF(Workforce[[#This Row],[Salary]]&lt;90000,"70k-89k","90k+")))</f>
        <v>70k-89k</v>
      </c>
      <c r="M1734" t="s">
        <v>8692</v>
      </c>
      <c r="N1734">
        <f t="shared" ca="1" si="110"/>
        <v>3</v>
      </c>
      <c r="O1734" t="str">
        <f t="shared" ca="1" si="111"/>
        <v>Intermediate level</v>
      </c>
    </row>
    <row r="1735" spans="1:15" x14ac:dyDescent="0.3">
      <c r="A1735" t="s">
        <v>12269</v>
      </c>
      <c r="B1735" t="s">
        <v>12270</v>
      </c>
      <c r="C1735" t="s">
        <v>222</v>
      </c>
      <c r="D1735" t="s">
        <v>12271</v>
      </c>
      <c r="E1735" t="s">
        <v>12272</v>
      </c>
      <c r="F1735" t="s">
        <v>5918</v>
      </c>
      <c r="G1735" t="s">
        <v>12273</v>
      </c>
      <c r="H1735" t="s">
        <v>12274</v>
      </c>
      <c r="I1735">
        <f t="shared" ca="1" si="108"/>
        <v>56</v>
      </c>
      <c r="J1735" t="str">
        <f t="shared" ca="1" si="109"/>
        <v>50-59</v>
      </c>
      <c r="K1735">
        <v>65109.08</v>
      </c>
      <c r="L1735" t="str">
        <f>IF(Workforce[[#This Row],[Salary]]&lt;50000,"30k-49k",IF(Workforce[[#This Row],[Salary]]&lt;70000,"50k-69k",IF(Workforce[[#This Row],[Salary]]&lt;90000,"70k-89k","90k+")))</f>
        <v>50k-69k</v>
      </c>
      <c r="M1735" t="s">
        <v>12275</v>
      </c>
      <c r="N1735">
        <f t="shared" ca="1" si="110"/>
        <v>2</v>
      </c>
      <c r="O1735" t="str">
        <f t="shared" ca="1" si="111"/>
        <v>Beginner</v>
      </c>
    </row>
    <row r="1736" spans="1:15" x14ac:dyDescent="0.3">
      <c r="A1736" t="s">
        <v>12276</v>
      </c>
      <c r="B1736" t="s">
        <v>12277</v>
      </c>
      <c r="C1736" t="s">
        <v>196</v>
      </c>
      <c r="D1736" t="s">
        <v>12278</v>
      </c>
      <c r="E1736" t="s">
        <v>12279</v>
      </c>
      <c r="F1736" t="s">
        <v>3087</v>
      </c>
      <c r="G1736" t="s">
        <v>12280</v>
      </c>
      <c r="H1736" t="s">
        <v>12281</v>
      </c>
      <c r="I1736">
        <f t="shared" ca="1" si="108"/>
        <v>35</v>
      </c>
      <c r="J1736" t="str">
        <f t="shared" ca="1" si="109"/>
        <v>30-39</v>
      </c>
      <c r="K1736">
        <v>98916.05</v>
      </c>
      <c r="L1736" t="str">
        <f>IF(Workforce[[#This Row],[Salary]]&lt;50000,"30k-49k",IF(Workforce[[#This Row],[Salary]]&lt;70000,"50k-69k",IF(Workforce[[#This Row],[Salary]]&lt;90000,"70k-89k","90k+")))</f>
        <v>90k+</v>
      </c>
      <c r="M1736" t="s">
        <v>12282</v>
      </c>
      <c r="N1736">
        <f t="shared" ca="1" si="110"/>
        <v>4</v>
      </c>
      <c r="O1736" t="str">
        <f t="shared" ca="1" si="111"/>
        <v>Intermediate level</v>
      </c>
    </row>
    <row r="1737" spans="1:15" x14ac:dyDescent="0.3">
      <c r="A1737" t="s">
        <v>12283</v>
      </c>
      <c r="B1737" t="s">
        <v>12284</v>
      </c>
      <c r="C1737" t="s">
        <v>231</v>
      </c>
      <c r="D1737" t="s">
        <v>12285</v>
      </c>
      <c r="E1737" t="s">
        <v>12286</v>
      </c>
      <c r="F1737" t="s">
        <v>311</v>
      </c>
      <c r="G1737" t="s">
        <v>412</v>
      </c>
      <c r="H1737" t="s">
        <v>12287</v>
      </c>
      <c r="I1737">
        <f t="shared" ca="1" si="108"/>
        <v>43</v>
      </c>
      <c r="J1737" t="str">
        <f t="shared" ca="1" si="109"/>
        <v>40-49</v>
      </c>
      <c r="K1737">
        <v>68598.850000000006</v>
      </c>
      <c r="L1737" t="str">
        <f>IF(Workforce[[#This Row],[Salary]]&lt;50000,"30k-49k",IF(Workforce[[#This Row],[Salary]]&lt;70000,"50k-69k",IF(Workforce[[#This Row],[Salary]]&lt;90000,"70k-89k","90k+")))</f>
        <v>50k-69k</v>
      </c>
      <c r="M1737" t="s">
        <v>3741</v>
      </c>
      <c r="N1737">
        <f t="shared" ca="1" si="110"/>
        <v>5</v>
      </c>
      <c r="O1737" t="str">
        <f t="shared" ca="1" si="111"/>
        <v>Intermediate level</v>
      </c>
    </row>
    <row r="1738" spans="1:15" x14ac:dyDescent="0.3">
      <c r="A1738" t="s">
        <v>12288</v>
      </c>
      <c r="B1738" t="s">
        <v>12289</v>
      </c>
      <c r="C1738" t="s">
        <v>284</v>
      </c>
      <c r="D1738" t="s">
        <v>12290</v>
      </c>
      <c r="E1738" t="s">
        <v>12291</v>
      </c>
      <c r="F1738" t="s">
        <v>1418</v>
      </c>
      <c r="G1738" t="s">
        <v>12292</v>
      </c>
      <c r="H1738" t="s">
        <v>9148</v>
      </c>
      <c r="I1738">
        <f t="shared" ca="1" si="108"/>
        <v>41</v>
      </c>
      <c r="J1738" t="str">
        <f t="shared" ca="1" si="109"/>
        <v>40-49</v>
      </c>
      <c r="K1738">
        <v>58445.26</v>
      </c>
      <c r="L1738" t="str">
        <f>IF(Workforce[[#This Row],[Salary]]&lt;50000,"30k-49k",IF(Workforce[[#This Row],[Salary]]&lt;70000,"50k-69k",IF(Workforce[[#This Row],[Salary]]&lt;90000,"70k-89k","90k+")))</f>
        <v>50k-69k</v>
      </c>
      <c r="M1738" t="s">
        <v>12293</v>
      </c>
      <c r="N1738">
        <f t="shared" ca="1" si="110"/>
        <v>7</v>
      </c>
      <c r="O1738" t="str">
        <f t="shared" ca="1" si="111"/>
        <v>Senior level</v>
      </c>
    </row>
    <row r="1739" spans="1:15" x14ac:dyDescent="0.3">
      <c r="A1739" t="s">
        <v>12294</v>
      </c>
      <c r="B1739" t="s">
        <v>12295</v>
      </c>
      <c r="C1739" t="s">
        <v>995</v>
      </c>
      <c r="D1739" t="s">
        <v>12296</v>
      </c>
      <c r="E1739" t="s">
        <v>12297</v>
      </c>
      <c r="F1739" t="s">
        <v>4843</v>
      </c>
      <c r="G1739" t="s">
        <v>12298</v>
      </c>
      <c r="H1739" t="s">
        <v>12299</v>
      </c>
      <c r="I1739">
        <f t="shared" ca="1" si="108"/>
        <v>27</v>
      </c>
      <c r="J1739" t="str">
        <f t="shared" ca="1" si="109"/>
        <v>18-29</v>
      </c>
      <c r="K1739">
        <v>71957.87</v>
      </c>
      <c r="L1739" t="str">
        <f>IF(Workforce[[#This Row],[Salary]]&lt;50000,"30k-49k",IF(Workforce[[#This Row],[Salary]]&lt;70000,"50k-69k",IF(Workforce[[#This Row],[Salary]]&lt;90000,"70k-89k","90k+")))</f>
        <v>70k-89k</v>
      </c>
      <c r="M1739" t="s">
        <v>2031</v>
      </c>
      <c r="N1739">
        <f t="shared" ca="1" si="110"/>
        <v>5</v>
      </c>
      <c r="O1739" t="str">
        <f t="shared" ca="1" si="111"/>
        <v>Intermediate level</v>
      </c>
    </row>
    <row r="1740" spans="1:15" x14ac:dyDescent="0.3">
      <c r="A1740" t="s">
        <v>12300</v>
      </c>
      <c r="B1740" t="s">
        <v>12301</v>
      </c>
      <c r="C1740" t="s">
        <v>1043</v>
      </c>
      <c r="D1740" t="s">
        <v>12302</v>
      </c>
      <c r="E1740" t="s">
        <v>12303</v>
      </c>
      <c r="F1740" t="s">
        <v>3095</v>
      </c>
      <c r="G1740" t="s">
        <v>12304</v>
      </c>
      <c r="H1740" t="s">
        <v>12305</v>
      </c>
      <c r="I1740">
        <f t="shared" ca="1" si="108"/>
        <v>49</v>
      </c>
      <c r="J1740" t="str">
        <f t="shared" ca="1" si="109"/>
        <v>40-49</v>
      </c>
      <c r="K1740">
        <v>41187.269999999997</v>
      </c>
      <c r="L1740" t="str">
        <f>IF(Workforce[[#This Row],[Salary]]&lt;50000,"30k-49k",IF(Workforce[[#This Row],[Salary]]&lt;70000,"50k-69k",IF(Workforce[[#This Row],[Salary]]&lt;90000,"70k-89k","90k+")))</f>
        <v>30k-49k</v>
      </c>
      <c r="M1740" t="s">
        <v>6551</v>
      </c>
      <c r="N1740">
        <f t="shared" ca="1" si="110"/>
        <v>6</v>
      </c>
      <c r="O1740" t="str">
        <f t="shared" ca="1" si="111"/>
        <v>Intermediate level</v>
      </c>
    </row>
    <row r="1741" spans="1:15" x14ac:dyDescent="0.3">
      <c r="A1741" t="s">
        <v>12306</v>
      </c>
      <c r="B1741" t="s">
        <v>12307</v>
      </c>
      <c r="C1741" t="s">
        <v>187</v>
      </c>
      <c r="D1741" t="s">
        <v>12308</v>
      </c>
      <c r="E1741" t="s">
        <v>12309</v>
      </c>
      <c r="F1741" t="s">
        <v>4103</v>
      </c>
      <c r="G1741" t="s">
        <v>12310</v>
      </c>
      <c r="H1741" t="s">
        <v>12311</v>
      </c>
      <c r="I1741">
        <f t="shared" ca="1" si="108"/>
        <v>63</v>
      </c>
      <c r="J1741" t="str">
        <f t="shared" ca="1" si="109"/>
        <v>60+</v>
      </c>
      <c r="K1741">
        <v>45573.37</v>
      </c>
      <c r="L1741" t="str">
        <f>IF(Workforce[[#This Row],[Salary]]&lt;50000,"30k-49k",IF(Workforce[[#This Row],[Salary]]&lt;70000,"50k-69k",IF(Workforce[[#This Row],[Salary]]&lt;90000,"70k-89k","90k+")))</f>
        <v>30k-49k</v>
      </c>
      <c r="M1741" t="s">
        <v>10692</v>
      </c>
      <c r="N1741">
        <f t="shared" ca="1" si="110"/>
        <v>8</v>
      </c>
      <c r="O1741" t="str">
        <f t="shared" ca="1" si="111"/>
        <v>Senior level</v>
      </c>
    </row>
    <row r="1742" spans="1:15" x14ac:dyDescent="0.3">
      <c r="A1742" t="s">
        <v>12312</v>
      </c>
      <c r="B1742" t="s">
        <v>12313</v>
      </c>
      <c r="C1742" t="s">
        <v>1159</v>
      </c>
      <c r="D1742" t="s">
        <v>12314</v>
      </c>
      <c r="E1742" t="s">
        <v>12315</v>
      </c>
      <c r="F1742" t="s">
        <v>2028</v>
      </c>
      <c r="G1742" t="s">
        <v>12316</v>
      </c>
      <c r="H1742" t="s">
        <v>12317</v>
      </c>
      <c r="I1742">
        <f t="shared" ca="1" si="108"/>
        <v>24</v>
      </c>
      <c r="J1742" t="str">
        <f t="shared" ca="1" si="109"/>
        <v>18-29</v>
      </c>
      <c r="K1742">
        <v>54927.88</v>
      </c>
      <c r="L1742" t="str">
        <f>IF(Workforce[[#This Row],[Salary]]&lt;50000,"30k-49k",IF(Workforce[[#This Row],[Salary]]&lt;70000,"50k-69k",IF(Workforce[[#This Row],[Salary]]&lt;90000,"70k-89k","90k+")))</f>
        <v>50k-69k</v>
      </c>
      <c r="M1742" t="s">
        <v>3628</v>
      </c>
      <c r="N1742">
        <f t="shared" ca="1" si="110"/>
        <v>7</v>
      </c>
      <c r="O1742" t="str">
        <f t="shared" ca="1" si="111"/>
        <v>Senior level</v>
      </c>
    </row>
    <row r="1743" spans="1:15" x14ac:dyDescent="0.3">
      <c r="A1743" t="s">
        <v>12318</v>
      </c>
      <c r="B1743" t="s">
        <v>12319</v>
      </c>
      <c r="C1743" t="s">
        <v>17</v>
      </c>
      <c r="D1743" t="s">
        <v>12320</v>
      </c>
      <c r="E1743" t="s">
        <v>12321</v>
      </c>
      <c r="F1743" t="s">
        <v>1872</v>
      </c>
      <c r="G1743" t="s">
        <v>12322</v>
      </c>
      <c r="H1743" t="s">
        <v>12323</v>
      </c>
      <c r="I1743">
        <f t="shared" ca="1" si="108"/>
        <v>66</v>
      </c>
      <c r="J1743" t="str">
        <f t="shared" ca="1" si="109"/>
        <v>60+</v>
      </c>
      <c r="K1743">
        <v>94580.07</v>
      </c>
      <c r="L1743" t="str">
        <f>IF(Workforce[[#This Row],[Salary]]&lt;50000,"30k-49k",IF(Workforce[[#This Row],[Salary]]&lt;70000,"50k-69k",IF(Workforce[[#This Row],[Salary]]&lt;90000,"70k-89k","90k+")))</f>
        <v>90k+</v>
      </c>
      <c r="M1743" t="s">
        <v>7627</v>
      </c>
      <c r="N1743">
        <f t="shared" ca="1" si="110"/>
        <v>7</v>
      </c>
      <c r="O1743" t="str">
        <f t="shared" ca="1" si="111"/>
        <v>Senior level</v>
      </c>
    </row>
    <row r="1744" spans="1:15" x14ac:dyDescent="0.3">
      <c r="A1744" t="s">
        <v>12324</v>
      </c>
      <c r="B1744" t="s">
        <v>12325</v>
      </c>
      <c r="C1744" t="s">
        <v>35</v>
      </c>
      <c r="D1744" t="s">
        <v>12326</v>
      </c>
      <c r="E1744" t="s">
        <v>12327</v>
      </c>
      <c r="F1744" t="s">
        <v>4873</v>
      </c>
      <c r="G1744" t="s">
        <v>12328</v>
      </c>
      <c r="H1744" t="s">
        <v>12329</v>
      </c>
      <c r="I1744">
        <f t="shared" ca="1" si="108"/>
        <v>52</v>
      </c>
      <c r="J1744" t="str">
        <f t="shared" ca="1" si="109"/>
        <v>50-59</v>
      </c>
      <c r="K1744">
        <v>31451.52</v>
      </c>
      <c r="L1744" t="str">
        <f>IF(Workforce[[#This Row],[Salary]]&lt;50000,"30k-49k",IF(Workforce[[#This Row],[Salary]]&lt;70000,"50k-69k",IF(Workforce[[#This Row],[Salary]]&lt;90000,"70k-89k","90k+")))</f>
        <v>30k-49k</v>
      </c>
      <c r="M1744" t="s">
        <v>5865</v>
      </c>
      <c r="N1744">
        <f t="shared" ca="1" si="110"/>
        <v>1</v>
      </c>
      <c r="O1744" t="str">
        <f t="shared" ca="1" si="111"/>
        <v>Beginner</v>
      </c>
    </row>
    <row r="1745" spans="1:15" x14ac:dyDescent="0.3">
      <c r="A1745" t="s">
        <v>12330</v>
      </c>
      <c r="B1745" t="s">
        <v>12331</v>
      </c>
      <c r="C1745" t="s">
        <v>151</v>
      </c>
      <c r="D1745" t="s">
        <v>12332</v>
      </c>
      <c r="E1745" t="s">
        <v>12333</v>
      </c>
      <c r="F1745" t="s">
        <v>329</v>
      </c>
      <c r="G1745" t="s">
        <v>673</v>
      </c>
      <c r="H1745" t="s">
        <v>12334</v>
      </c>
      <c r="I1745">
        <f t="shared" ca="1" si="108"/>
        <v>59</v>
      </c>
      <c r="J1745" t="str">
        <f t="shared" ca="1" si="109"/>
        <v>50-59</v>
      </c>
      <c r="K1745">
        <v>71798.94</v>
      </c>
      <c r="L1745" t="str">
        <f>IF(Workforce[[#This Row],[Salary]]&lt;50000,"30k-49k",IF(Workforce[[#This Row],[Salary]]&lt;70000,"50k-69k",IF(Workforce[[#This Row],[Salary]]&lt;90000,"70k-89k","90k+")))</f>
        <v>70k-89k</v>
      </c>
      <c r="M1745" t="s">
        <v>12335</v>
      </c>
      <c r="N1745">
        <f t="shared" ca="1" si="110"/>
        <v>3</v>
      </c>
      <c r="O1745" t="str">
        <f t="shared" ca="1" si="111"/>
        <v>Intermediate level</v>
      </c>
    </row>
    <row r="1746" spans="1:15" x14ac:dyDescent="0.3">
      <c r="A1746" t="s">
        <v>12336</v>
      </c>
      <c r="B1746" t="s">
        <v>12337</v>
      </c>
      <c r="C1746" t="s">
        <v>61</v>
      </c>
      <c r="D1746" t="s">
        <v>12338</v>
      </c>
      <c r="E1746" t="s">
        <v>12339</v>
      </c>
      <c r="F1746" t="s">
        <v>6175</v>
      </c>
      <c r="G1746" t="s">
        <v>12340</v>
      </c>
      <c r="H1746" t="s">
        <v>12341</v>
      </c>
      <c r="I1746">
        <f t="shared" ca="1" si="108"/>
        <v>58</v>
      </c>
      <c r="J1746" t="str">
        <f t="shared" ca="1" si="109"/>
        <v>50-59</v>
      </c>
      <c r="K1746">
        <v>74596.160000000003</v>
      </c>
      <c r="L1746" t="str">
        <f>IF(Workforce[[#This Row],[Salary]]&lt;50000,"30k-49k",IF(Workforce[[#This Row],[Salary]]&lt;70000,"50k-69k",IF(Workforce[[#This Row],[Salary]]&lt;90000,"70k-89k","90k+")))</f>
        <v>70k-89k</v>
      </c>
      <c r="M1746" t="s">
        <v>586</v>
      </c>
      <c r="N1746">
        <f t="shared" ca="1" si="110"/>
        <v>3</v>
      </c>
      <c r="O1746" t="str">
        <f t="shared" ca="1" si="111"/>
        <v>Intermediate level</v>
      </c>
    </row>
    <row r="1747" spans="1:15" x14ac:dyDescent="0.3">
      <c r="A1747" t="s">
        <v>12342</v>
      </c>
      <c r="B1747" t="s">
        <v>12343</v>
      </c>
      <c r="C1747" t="s">
        <v>748</v>
      </c>
      <c r="D1747" t="s">
        <v>12344</v>
      </c>
      <c r="E1747" t="s">
        <v>12345</v>
      </c>
      <c r="F1747" t="s">
        <v>1366</v>
      </c>
      <c r="G1747" t="s">
        <v>12346</v>
      </c>
      <c r="H1747" t="s">
        <v>1337</v>
      </c>
      <c r="I1747">
        <f t="shared" ca="1" si="108"/>
        <v>30</v>
      </c>
      <c r="J1747" t="str">
        <f t="shared" ca="1" si="109"/>
        <v>30-39</v>
      </c>
      <c r="K1747">
        <v>117621.99</v>
      </c>
      <c r="L1747" t="str">
        <f>IF(Workforce[[#This Row],[Salary]]&lt;50000,"30k-49k",IF(Workforce[[#This Row],[Salary]]&lt;70000,"50k-69k",IF(Workforce[[#This Row],[Salary]]&lt;90000,"70k-89k","90k+")))</f>
        <v>90k+</v>
      </c>
      <c r="M1747" t="s">
        <v>12347</v>
      </c>
      <c r="N1747">
        <f t="shared" ca="1" si="110"/>
        <v>1</v>
      </c>
      <c r="O1747" t="str">
        <f t="shared" ca="1" si="111"/>
        <v>Beginner</v>
      </c>
    </row>
    <row r="1748" spans="1:15" x14ac:dyDescent="0.3">
      <c r="A1748" t="s">
        <v>12348</v>
      </c>
      <c r="B1748" t="s">
        <v>12349</v>
      </c>
      <c r="C1748" t="s">
        <v>482</v>
      </c>
      <c r="D1748" t="s">
        <v>12350</v>
      </c>
      <c r="E1748" t="s">
        <v>12351</v>
      </c>
      <c r="F1748" t="s">
        <v>2840</v>
      </c>
      <c r="G1748" t="s">
        <v>12352</v>
      </c>
      <c r="H1748" t="s">
        <v>12353</v>
      </c>
      <c r="I1748">
        <f t="shared" ca="1" si="108"/>
        <v>42</v>
      </c>
      <c r="J1748" t="str">
        <f t="shared" ca="1" si="109"/>
        <v>40-49</v>
      </c>
      <c r="K1748">
        <v>41837.040000000001</v>
      </c>
      <c r="L1748" t="str">
        <f>IF(Workforce[[#This Row],[Salary]]&lt;50000,"30k-49k",IF(Workforce[[#This Row],[Salary]]&lt;70000,"50k-69k",IF(Workforce[[#This Row],[Salary]]&lt;90000,"70k-89k","90k+")))</f>
        <v>30k-49k</v>
      </c>
      <c r="M1748" t="s">
        <v>12354</v>
      </c>
      <c r="N1748">
        <f t="shared" ca="1" si="110"/>
        <v>7</v>
      </c>
      <c r="O1748" t="str">
        <f t="shared" ca="1" si="111"/>
        <v>Senior level</v>
      </c>
    </row>
    <row r="1749" spans="1:15" x14ac:dyDescent="0.3">
      <c r="A1749" t="s">
        <v>12355</v>
      </c>
      <c r="B1749" t="s">
        <v>12356</v>
      </c>
      <c r="C1749" t="s">
        <v>275</v>
      </c>
      <c r="D1749" t="s">
        <v>12357</v>
      </c>
      <c r="E1749" t="s">
        <v>12358</v>
      </c>
      <c r="F1749" t="s">
        <v>2960</v>
      </c>
      <c r="G1749" t="s">
        <v>12359</v>
      </c>
      <c r="H1749" t="s">
        <v>12360</v>
      </c>
      <c r="I1749">
        <f t="shared" ca="1" si="108"/>
        <v>50</v>
      </c>
      <c r="J1749" t="str">
        <f t="shared" ca="1" si="109"/>
        <v>50-59</v>
      </c>
      <c r="K1749">
        <v>58947.05</v>
      </c>
      <c r="L1749" t="str">
        <f>IF(Workforce[[#This Row],[Salary]]&lt;50000,"30k-49k",IF(Workforce[[#This Row],[Salary]]&lt;70000,"50k-69k",IF(Workforce[[#This Row],[Salary]]&lt;90000,"70k-89k","90k+")))</f>
        <v>50k-69k</v>
      </c>
      <c r="M1749" t="s">
        <v>12361</v>
      </c>
      <c r="N1749">
        <f t="shared" ca="1" si="110"/>
        <v>8</v>
      </c>
      <c r="O1749" t="str">
        <f t="shared" ca="1" si="111"/>
        <v>Senior level</v>
      </c>
    </row>
    <row r="1750" spans="1:15" x14ac:dyDescent="0.3">
      <c r="A1750" t="s">
        <v>12362</v>
      </c>
      <c r="B1750" t="s">
        <v>12363</v>
      </c>
      <c r="C1750" t="s">
        <v>335</v>
      </c>
      <c r="D1750" t="s">
        <v>12364</v>
      </c>
      <c r="E1750" t="s">
        <v>12365</v>
      </c>
      <c r="F1750" t="s">
        <v>1351</v>
      </c>
      <c r="G1750" t="s">
        <v>12366</v>
      </c>
      <c r="H1750" t="s">
        <v>11308</v>
      </c>
      <c r="I1750">
        <f t="shared" ca="1" si="108"/>
        <v>46</v>
      </c>
      <c r="J1750" t="str">
        <f t="shared" ca="1" si="109"/>
        <v>40-49</v>
      </c>
      <c r="K1750">
        <v>35809.96</v>
      </c>
      <c r="L1750" t="str">
        <f>IF(Workforce[[#This Row],[Salary]]&lt;50000,"30k-49k",IF(Workforce[[#This Row],[Salary]]&lt;70000,"50k-69k",IF(Workforce[[#This Row],[Salary]]&lt;90000,"70k-89k","90k+")))</f>
        <v>30k-49k</v>
      </c>
      <c r="M1750" t="s">
        <v>12367</v>
      </c>
      <c r="N1750">
        <f t="shared" ca="1" si="110"/>
        <v>7</v>
      </c>
      <c r="O1750" t="str">
        <f t="shared" ca="1" si="111"/>
        <v>Senior level</v>
      </c>
    </row>
    <row r="1751" spans="1:15" x14ac:dyDescent="0.3">
      <c r="A1751" t="s">
        <v>12368</v>
      </c>
      <c r="B1751" t="s">
        <v>12369</v>
      </c>
      <c r="C1751" t="s">
        <v>653</v>
      </c>
      <c r="D1751" t="s">
        <v>12370</v>
      </c>
      <c r="E1751" t="s">
        <v>12371</v>
      </c>
      <c r="F1751" t="s">
        <v>2653</v>
      </c>
      <c r="G1751" t="s">
        <v>12372</v>
      </c>
      <c r="H1751" t="s">
        <v>12373</v>
      </c>
      <c r="I1751">
        <f t="shared" ca="1" si="108"/>
        <v>57</v>
      </c>
      <c r="J1751" t="str">
        <f t="shared" ca="1" si="109"/>
        <v>50-59</v>
      </c>
      <c r="K1751">
        <v>41130.28</v>
      </c>
      <c r="L1751" t="str">
        <f>IF(Workforce[[#This Row],[Salary]]&lt;50000,"30k-49k",IF(Workforce[[#This Row],[Salary]]&lt;70000,"50k-69k",IF(Workforce[[#This Row],[Salary]]&lt;90000,"70k-89k","90k+")))</f>
        <v>30k-49k</v>
      </c>
      <c r="M1751" t="s">
        <v>12374</v>
      </c>
      <c r="N1751">
        <f t="shared" ca="1" si="110"/>
        <v>9</v>
      </c>
      <c r="O1751" t="str">
        <f t="shared" ca="1" si="111"/>
        <v>Senior level</v>
      </c>
    </row>
    <row r="1752" spans="1:15" x14ac:dyDescent="0.3">
      <c r="A1752" t="s">
        <v>12375</v>
      </c>
      <c r="B1752" t="s">
        <v>12376</v>
      </c>
      <c r="C1752" t="s">
        <v>266</v>
      </c>
      <c r="D1752" t="s">
        <v>12377</v>
      </c>
      <c r="E1752" t="s">
        <v>12378</v>
      </c>
      <c r="F1752" t="s">
        <v>3464</v>
      </c>
      <c r="G1752" t="s">
        <v>12379</v>
      </c>
      <c r="H1752" t="s">
        <v>12380</v>
      </c>
      <c r="I1752">
        <f t="shared" ca="1" si="108"/>
        <v>46</v>
      </c>
      <c r="J1752" t="str">
        <f t="shared" ca="1" si="109"/>
        <v>40-49</v>
      </c>
      <c r="K1752">
        <v>105117.96</v>
      </c>
      <c r="L1752" t="str">
        <f>IF(Workforce[[#This Row],[Salary]]&lt;50000,"30k-49k",IF(Workforce[[#This Row],[Salary]]&lt;70000,"50k-69k",IF(Workforce[[#This Row],[Salary]]&lt;90000,"70k-89k","90k+")))</f>
        <v>90k+</v>
      </c>
      <c r="M1752" t="s">
        <v>11999</v>
      </c>
      <c r="N1752">
        <f t="shared" ca="1" si="110"/>
        <v>7</v>
      </c>
      <c r="O1752" t="str">
        <f t="shared" ca="1" si="111"/>
        <v>Senior level</v>
      </c>
    </row>
    <row r="1753" spans="1:15" x14ac:dyDescent="0.3">
      <c r="A1753" t="s">
        <v>12381</v>
      </c>
      <c r="B1753" t="s">
        <v>12382</v>
      </c>
      <c r="C1753" t="s">
        <v>142</v>
      </c>
      <c r="D1753" t="s">
        <v>12383</v>
      </c>
      <c r="E1753" t="s">
        <v>12384</v>
      </c>
      <c r="F1753" t="s">
        <v>1343</v>
      </c>
      <c r="G1753" t="s">
        <v>12385</v>
      </c>
      <c r="H1753" t="s">
        <v>12386</v>
      </c>
      <c r="I1753">
        <f t="shared" ca="1" si="108"/>
        <v>22</v>
      </c>
      <c r="J1753" t="str">
        <f t="shared" ca="1" si="109"/>
        <v>18-29</v>
      </c>
      <c r="K1753">
        <v>91254.42</v>
      </c>
      <c r="L1753" t="str">
        <f>IF(Workforce[[#This Row],[Salary]]&lt;50000,"30k-49k",IF(Workforce[[#This Row],[Salary]]&lt;70000,"50k-69k",IF(Workforce[[#This Row],[Salary]]&lt;90000,"70k-89k","90k+")))</f>
        <v>90k+</v>
      </c>
      <c r="M1753" t="s">
        <v>4737</v>
      </c>
      <c r="N1753">
        <f t="shared" ca="1" si="110"/>
        <v>8</v>
      </c>
      <c r="O1753" t="str">
        <f t="shared" ca="1" si="111"/>
        <v>Senior level</v>
      </c>
    </row>
    <row r="1754" spans="1:15" x14ac:dyDescent="0.3">
      <c r="A1754" t="s">
        <v>12387</v>
      </c>
      <c r="B1754" t="s">
        <v>12388</v>
      </c>
      <c r="C1754" t="s">
        <v>326</v>
      </c>
      <c r="D1754" t="s">
        <v>12389</v>
      </c>
      <c r="E1754" t="s">
        <v>12390</v>
      </c>
      <c r="F1754" t="s">
        <v>5516</v>
      </c>
      <c r="G1754" t="s">
        <v>12391</v>
      </c>
      <c r="H1754" t="s">
        <v>12392</v>
      </c>
      <c r="I1754">
        <f t="shared" ca="1" si="108"/>
        <v>58</v>
      </c>
      <c r="J1754" t="str">
        <f t="shared" ca="1" si="109"/>
        <v>50-59</v>
      </c>
      <c r="K1754">
        <v>40918.11</v>
      </c>
      <c r="L1754" t="str">
        <f>IF(Workforce[[#This Row],[Salary]]&lt;50000,"30k-49k",IF(Workforce[[#This Row],[Salary]]&lt;70000,"50k-69k",IF(Workforce[[#This Row],[Salary]]&lt;90000,"70k-89k","90k+")))</f>
        <v>30k-49k</v>
      </c>
      <c r="M1754" t="s">
        <v>12393</v>
      </c>
      <c r="N1754">
        <f t="shared" ca="1" si="110"/>
        <v>10</v>
      </c>
      <c r="O1754" t="str">
        <f t="shared" ca="1" si="111"/>
        <v>Senior level</v>
      </c>
    </row>
    <row r="1755" spans="1:15" x14ac:dyDescent="0.3">
      <c r="A1755" t="s">
        <v>12394</v>
      </c>
      <c r="B1755" t="s">
        <v>12395</v>
      </c>
      <c r="C1755" t="s">
        <v>1043</v>
      </c>
      <c r="D1755" t="s">
        <v>12396</v>
      </c>
      <c r="E1755" t="s">
        <v>12397</v>
      </c>
      <c r="F1755" t="s">
        <v>2117</v>
      </c>
      <c r="G1755" t="s">
        <v>12398</v>
      </c>
      <c r="H1755" t="s">
        <v>12399</v>
      </c>
      <c r="I1755">
        <f t="shared" ca="1" si="108"/>
        <v>30</v>
      </c>
      <c r="J1755" t="str">
        <f t="shared" ca="1" si="109"/>
        <v>30-39</v>
      </c>
      <c r="K1755">
        <v>47887.77</v>
      </c>
      <c r="L1755" t="str">
        <f>IF(Workforce[[#This Row],[Salary]]&lt;50000,"30k-49k",IF(Workforce[[#This Row],[Salary]]&lt;70000,"50k-69k",IF(Workforce[[#This Row],[Salary]]&lt;90000,"70k-89k","90k+")))</f>
        <v>30k-49k</v>
      </c>
      <c r="M1755" t="s">
        <v>12400</v>
      </c>
      <c r="N1755">
        <f t="shared" ca="1" si="110"/>
        <v>9</v>
      </c>
      <c r="O1755" t="str">
        <f t="shared" ca="1" si="111"/>
        <v>Senior level</v>
      </c>
    </row>
    <row r="1756" spans="1:15" x14ac:dyDescent="0.3">
      <c r="A1756" t="s">
        <v>12401</v>
      </c>
      <c r="B1756" t="s">
        <v>12402</v>
      </c>
      <c r="C1756" t="s">
        <v>317</v>
      </c>
      <c r="D1756" t="s">
        <v>12403</v>
      </c>
      <c r="E1756" t="s">
        <v>12404</v>
      </c>
      <c r="F1756" t="s">
        <v>5587</v>
      </c>
      <c r="G1756" t="s">
        <v>12405</v>
      </c>
      <c r="H1756" t="s">
        <v>12406</v>
      </c>
      <c r="I1756">
        <f t="shared" ca="1" si="108"/>
        <v>52</v>
      </c>
      <c r="J1756" t="str">
        <f t="shared" ca="1" si="109"/>
        <v>50-59</v>
      </c>
      <c r="K1756">
        <v>82669.919999999998</v>
      </c>
      <c r="L1756" t="str">
        <f>IF(Workforce[[#This Row],[Salary]]&lt;50000,"30k-49k",IF(Workforce[[#This Row],[Salary]]&lt;70000,"50k-69k",IF(Workforce[[#This Row],[Salary]]&lt;90000,"70k-89k","90k+")))</f>
        <v>70k-89k</v>
      </c>
      <c r="M1756" t="s">
        <v>12407</v>
      </c>
      <c r="N1756">
        <f t="shared" ca="1" si="110"/>
        <v>8</v>
      </c>
      <c r="O1756" t="str">
        <f t="shared" ca="1" si="111"/>
        <v>Senior level</v>
      </c>
    </row>
    <row r="1757" spans="1:15" x14ac:dyDescent="0.3">
      <c r="A1757" t="s">
        <v>12408</v>
      </c>
      <c r="B1757" t="s">
        <v>12409</v>
      </c>
      <c r="C1757" t="s">
        <v>196</v>
      </c>
      <c r="D1757" t="s">
        <v>12410</v>
      </c>
      <c r="E1757" t="s">
        <v>12411</v>
      </c>
      <c r="F1757" t="s">
        <v>109</v>
      </c>
      <c r="G1757" t="s">
        <v>12412</v>
      </c>
      <c r="H1757" t="s">
        <v>12413</v>
      </c>
      <c r="I1757">
        <f t="shared" ca="1" si="108"/>
        <v>35</v>
      </c>
      <c r="J1757" t="str">
        <f t="shared" ca="1" si="109"/>
        <v>30-39</v>
      </c>
      <c r="K1757">
        <v>94465.67</v>
      </c>
      <c r="L1757" t="str">
        <f>IF(Workforce[[#This Row],[Salary]]&lt;50000,"30k-49k",IF(Workforce[[#This Row],[Salary]]&lt;70000,"50k-69k",IF(Workforce[[#This Row],[Salary]]&lt;90000,"70k-89k","90k+")))</f>
        <v>90k+</v>
      </c>
      <c r="M1757" t="s">
        <v>12414</v>
      </c>
      <c r="N1757">
        <f t="shared" ca="1" si="110"/>
        <v>8</v>
      </c>
      <c r="O1757" t="str">
        <f t="shared" ca="1" si="111"/>
        <v>Senior level</v>
      </c>
    </row>
    <row r="1758" spans="1:15" x14ac:dyDescent="0.3">
      <c r="A1758" t="s">
        <v>12415</v>
      </c>
      <c r="B1758" t="s">
        <v>12416</v>
      </c>
      <c r="C1758" t="s">
        <v>351</v>
      </c>
      <c r="D1758" t="s">
        <v>12417</v>
      </c>
      <c r="E1758" t="s">
        <v>12418</v>
      </c>
      <c r="F1758" t="s">
        <v>5416</v>
      </c>
      <c r="G1758" t="s">
        <v>12419</v>
      </c>
      <c r="H1758" t="s">
        <v>12420</v>
      </c>
      <c r="I1758">
        <f t="shared" ca="1" si="108"/>
        <v>19</v>
      </c>
      <c r="J1758" t="str">
        <f t="shared" ca="1" si="109"/>
        <v>18-29</v>
      </c>
      <c r="K1758">
        <v>94523.61</v>
      </c>
      <c r="L1758" t="str">
        <f>IF(Workforce[[#This Row],[Salary]]&lt;50000,"30k-49k",IF(Workforce[[#This Row],[Salary]]&lt;70000,"50k-69k",IF(Workforce[[#This Row],[Salary]]&lt;90000,"70k-89k","90k+")))</f>
        <v>90k+</v>
      </c>
      <c r="M1758" t="s">
        <v>3007</v>
      </c>
      <c r="N1758">
        <f t="shared" ca="1" si="110"/>
        <v>8</v>
      </c>
      <c r="O1758" t="str">
        <f t="shared" ca="1" si="111"/>
        <v>Senior level</v>
      </c>
    </row>
    <row r="1759" spans="1:15" x14ac:dyDescent="0.3">
      <c r="A1759" t="s">
        <v>12421</v>
      </c>
      <c r="B1759" t="s">
        <v>12422</v>
      </c>
      <c r="C1759" t="s">
        <v>257</v>
      </c>
      <c r="D1759" t="s">
        <v>12423</v>
      </c>
      <c r="E1759" t="s">
        <v>12424</v>
      </c>
      <c r="F1759" t="s">
        <v>4787</v>
      </c>
      <c r="G1759" t="s">
        <v>12425</v>
      </c>
      <c r="H1759" t="s">
        <v>12426</v>
      </c>
      <c r="I1759">
        <f t="shared" ca="1" si="108"/>
        <v>56</v>
      </c>
      <c r="J1759" t="str">
        <f t="shared" ca="1" si="109"/>
        <v>50-59</v>
      </c>
      <c r="K1759">
        <v>49828.28</v>
      </c>
      <c r="L1759" t="str">
        <f>IF(Workforce[[#This Row],[Salary]]&lt;50000,"30k-49k",IF(Workforce[[#This Row],[Salary]]&lt;70000,"50k-69k",IF(Workforce[[#This Row],[Salary]]&lt;90000,"70k-89k","90k+")))</f>
        <v>30k-49k</v>
      </c>
      <c r="M1759" t="s">
        <v>12427</v>
      </c>
      <c r="N1759">
        <f t="shared" ca="1" si="110"/>
        <v>0</v>
      </c>
      <c r="O1759" t="str">
        <f t="shared" ca="1" si="111"/>
        <v>Beginner</v>
      </c>
    </row>
    <row r="1760" spans="1:15" x14ac:dyDescent="0.3">
      <c r="A1760" t="s">
        <v>12428</v>
      </c>
      <c r="B1760" t="s">
        <v>12429</v>
      </c>
      <c r="C1760" t="s">
        <v>106</v>
      </c>
      <c r="D1760" t="s">
        <v>12430</v>
      </c>
      <c r="E1760" t="s">
        <v>12431</v>
      </c>
      <c r="F1760" t="s">
        <v>260</v>
      </c>
      <c r="G1760" t="s">
        <v>12432</v>
      </c>
      <c r="H1760" t="s">
        <v>12433</v>
      </c>
      <c r="I1760">
        <f t="shared" ca="1" si="108"/>
        <v>63</v>
      </c>
      <c r="J1760" t="str">
        <f t="shared" ca="1" si="109"/>
        <v>60+</v>
      </c>
      <c r="K1760">
        <v>102712.52</v>
      </c>
      <c r="L1760" t="str">
        <f>IF(Workforce[[#This Row],[Salary]]&lt;50000,"30k-49k",IF(Workforce[[#This Row],[Salary]]&lt;70000,"50k-69k",IF(Workforce[[#This Row],[Salary]]&lt;90000,"70k-89k","90k+")))</f>
        <v>90k+</v>
      </c>
      <c r="M1760" t="s">
        <v>12434</v>
      </c>
      <c r="N1760">
        <f t="shared" ca="1" si="110"/>
        <v>9</v>
      </c>
      <c r="O1760" t="str">
        <f t="shared" ca="1" si="111"/>
        <v>Senior level</v>
      </c>
    </row>
    <row r="1761" spans="1:15" x14ac:dyDescent="0.3">
      <c r="A1761" t="s">
        <v>11703</v>
      </c>
      <c r="B1761" t="s">
        <v>12435</v>
      </c>
      <c r="C1761" t="s">
        <v>70</v>
      </c>
      <c r="D1761" t="s">
        <v>12436</v>
      </c>
      <c r="E1761" t="s">
        <v>12437</v>
      </c>
      <c r="F1761" t="s">
        <v>4045</v>
      </c>
      <c r="G1761" t="s">
        <v>12438</v>
      </c>
      <c r="H1761" t="s">
        <v>12439</v>
      </c>
      <c r="I1761">
        <f t="shared" ca="1" si="108"/>
        <v>45</v>
      </c>
      <c r="J1761" t="str">
        <f t="shared" ca="1" si="109"/>
        <v>40-49</v>
      </c>
      <c r="K1761">
        <v>61516.66</v>
      </c>
      <c r="L1761" t="str">
        <f>IF(Workforce[[#This Row],[Salary]]&lt;50000,"30k-49k",IF(Workforce[[#This Row],[Salary]]&lt;70000,"50k-69k",IF(Workforce[[#This Row],[Salary]]&lt;90000,"70k-89k","90k+")))</f>
        <v>50k-69k</v>
      </c>
      <c r="M1761" t="s">
        <v>12440</v>
      </c>
      <c r="N1761">
        <f t="shared" ca="1" si="110"/>
        <v>10</v>
      </c>
      <c r="O1761" t="str">
        <f t="shared" ca="1" si="111"/>
        <v>Senior level</v>
      </c>
    </row>
    <row r="1762" spans="1:15" x14ac:dyDescent="0.3">
      <c r="A1762" t="s">
        <v>12441</v>
      </c>
      <c r="B1762" t="s">
        <v>12442</v>
      </c>
      <c r="C1762" t="s">
        <v>1159</v>
      </c>
      <c r="D1762" t="s">
        <v>12443</v>
      </c>
      <c r="E1762" t="s">
        <v>12444</v>
      </c>
      <c r="F1762" t="s">
        <v>10586</v>
      </c>
      <c r="G1762" t="s">
        <v>12445</v>
      </c>
      <c r="H1762" t="s">
        <v>11007</v>
      </c>
      <c r="I1762">
        <f t="shared" ca="1" si="108"/>
        <v>51</v>
      </c>
      <c r="J1762" t="str">
        <f t="shared" ca="1" si="109"/>
        <v>50-59</v>
      </c>
      <c r="K1762">
        <v>59132.07</v>
      </c>
      <c r="L1762" t="str">
        <f>IF(Workforce[[#This Row],[Salary]]&lt;50000,"30k-49k",IF(Workforce[[#This Row],[Salary]]&lt;70000,"50k-69k",IF(Workforce[[#This Row],[Salary]]&lt;90000,"70k-89k","90k+")))</f>
        <v>50k-69k</v>
      </c>
      <c r="M1762" t="s">
        <v>8078</v>
      </c>
      <c r="N1762">
        <f t="shared" ca="1" si="110"/>
        <v>1</v>
      </c>
      <c r="O1762" t="str">
        <f t="shared" ca="1" si="111"/>
        <v>Beginner</v>
      </c>
    </row>
    <row r="1763" spans="1:15" x14ac:dyDescent="0.3">
      <c r="A1763" t="s">
        <v>12446</v>
      </c>
      <c r="B1763" t="s">
        <v>12447</v>
      </c>
      <c r="C1763" t="s">
        <v>284</v>
      </c>
      <c r="D1763" t="s">
        <v>12448</v>
      </c>
      <c r="E1763" t="s">
        <v>12449</v>
      </c>
      <c r="F1763" t="s">
        <v>3056</v>
      </c>
      <c r="G1763" t="s">
        <v>12450</v>
      </c>
      <c r="H1763" t="s">
        <v>12451</v>
      </c>
      <c r="I1763">
        <f t="shared" ca="1" si="108"/>
        <v>31</v>
      </c>
      <c r="J1763" t="str">
        <f t="shared" ca="1" si="109"/>
        <v>30-39</v>
      </c>
      <c r="K1763">
        <v>72349.73</v>
      </c>
      <c r="L1763" t="str">
        <f>IF(Workforce[[#This Row],[Salary]]&lt;50000,"30k-49k",IF(Workforce[[#This Row],[Salary]]&lt;70000,"50k-69k",IF(Workforce[[#This Row],[Salary]]&lt;90000,"70k-89k","90k+")))</f>
        <v>70k-89k</v>
      </c>
      <c r="M1763" t="s">
        <v>11656</v>
      </c>
      <c r="N1763">
        <f t="shared" ca="1" si="110"/>
        <v>5</v>
      </c>
      <c r="O1763" t="str">
        <f t="shared" ca="1" si="111"/>
        <v>Intermediate level</v>
      </c>
    </row>
    <row r="1764" spans="1:15" x14ac:dyDescent="0.3">
      <c r="A1764" t="s">
        <v>9519</v>
      </c>
      <c r="B1764" t="s">
        <v>12452</v>
      </c>
      <c r="C1764" t="s">
        <v>106</v>
      </c>
      <c r="D1764" t="s">
        <v>12453</v>
      </c>
      <c r="E1764" t="s">
        <v>12454</v>
      </c>
      <c r="F1764" t="s">
        <v>5910</v>
      </c>
      <c r="G1764" t="s">
        <v>12455</v>
      </c>
      <c r="H1764" t="s">
        <v>12456</v>
      </c>
      <c r="I1764">
        <f t="shared" ca="1" si="108"/>
        <v>42</v>
      </c>
      <c r="J1764" t="str">
        <f t="shared" ca="1" si="109"/>
        <v>40-49</v>
      </c>
      <c r="K1764">
        <v>48940.92</v>
      </c>
      <c r="L1764" t="str">
        <f>IF(Workforce[[#This Row],[Salary]]&lt;50000,"30k-49k",IF(Workforce[[#This Row],[Salary]]&lt;70000,"50k-69k",IF(Workforce[[#This Row],[Salary]]&lt;90000,"70k-89k","90k+")))</f>
        <v>30k-49k</v>
      </c>
      <c r="M1764" t="s">
        <v>12457</v>
      </c>
      <c r="N1764">
        <f t="shared" ca="1" si="110"/>
        <v>7</v>
      </c>
      <c r="O1764" t="str">
        <f t="shared" ca="1" si="111"/>
        <v>Senior level</v>
      </c>
    </row>
    <row r="1765" spans="1:15" x14ac:dyDescent="0.3">
      <c r="A1765" t="s">
        <v>12458</v>
      </c>
      <c r="B1765" t="s">
        <v>12459</v>
      </c>
      <c r="C1765" t="s">
        <v>257</v>
      </c>
      <c r="D1765" t="s">
        <v>12460</v>
      </c>
      <c r="E1765" t="s">
        <v>12461</v>
      </c>
      <c r="F1765" t="s">
        <v>11471</v>
      </c>
      <c r="G1765" t="s">
        <v>9352</v>
      </c>
      <c r="H1765" t="s">
        <v>12462</v>
      </c>
      <c r="I1765">
        <f t="shared" ca="1" si="108"/>
        <v>37</v>
      </c>
      <c r="J1765" t="str">
        <f t="shared" ca="1" si="109"/>
        <v>30-39</v>
      </c>
      <c r="K1765">
        <v>50307.519999999997</v>
      </c>
      <c r="L1765" t="str">
        <f>IF(Workforce[[#This Row],[Salary]]&lt;50000,"30k-49k",IF(Workforce[[#This Row],[Salary]]&lt;70000,"50k-69k",IF(Workforce[[#This Row],[Salary]]&lt;90000,"70k-89k","90k+")))</f>
        <v>50k-69k</v>
      </c>
      <c r="M1765" t="s">
        <v>12463</v>
      </c>
      <c r="N1765">
        <f t="shared" ca="1" si="110"/>
        <v>8</v>
      </c>
      <c r="O1765" t="str">
        <f t="shared" ca="1" si="111"/>
        <v>Senior level</v>
      </c>
    </row>
    <row r="1766" spans="1:15" x14ac:dyDescent="0.3">
      <c r="A1766" t="s">
        <v>12464</v>
      </c>
      <c r="B1766" t="s">
        <v>12465</v>
      </c>
      <c r="C1766" t="s">
        <v>222</v>
      </c>
      <c r="D1766" t="s">
        <v>12466</v>
      </c>
      <c r="E1766" t="s">
        <v>12467</v>
      </c>
      <c r="F1766" t="s">
        <v>5792</v>
      </c>
      <c r="G1766" t="s">
        <v>12468</v>
      </c>
      <c r="H1766" t="s">
        <v>12469</v>
      </c>
      <c r="I1766">
        <f t="shared" ca="1" si="108"/>
        <v>29</v>
      </c>
      <c r="J1766" t="str">
        <f t="shared" ca="1" si="109"/>
        <v>18-29</v>
      </c>
      <c r="K1766">
        <v>89067.54</v>
      </c>
      <c r="L1766" t="str">
        <f>IF(Workforce[[#This Row],[Salary]]&lt;50000,"30k-49k",IF(Workforce[[#This Row],[Salary]]&lt;70000,"50k-69k",IF(Workforce[[#This Row],[Salary]]&lt;90000,"70k-89k","90k+")))</f>
        <v>70k-89k</v>
      </c>
      <c r="M1766" t="s">
        <v>4063</v>
      </c>
      <c r="N1766">
        <f t="shared" ca="1" si="110"/>
        <v>3</v>
      </c>
      <c r="O1766" t="str">
        <f t="shared" ca="1" si="111"/>
        <v>Intermediate level</v>
      </c>
    </row>
    <row r="1767" spans="1:15" x14ac:dyDescent="0.3">
      <c r="A1767" t="s">
        <v>12470</v>
      </c>
      <c r="B1767" t="s">
        <v>12471</v>
      </c>
      <c r="C1767" t="s">
        <v>335</v>
      </c>
      <c r="D1767" t="s">
        <v>12472</v>
      </c>
      <c r="E1767" t="s">
        <v>12473</v>
      </c>
      <c r="F1767" t="s">
        <v>2864</v>
      </c>
      <c r="G1767" t="s">
        <v>12474</v>
      </c>
      <c r="H1767" t="s">
        <v>12475</v>
      </c>
      <c r="I1767">
        <f t="shared" ca="1" si="108"/>
        <v>31</v>
      </c>
      <c r="J1767" t="str">
        <f t="shared" ca="1" si="109"/>
        <v>30-39</v>
      </c>
      <c r="K1767">
        <v>110925.67</v>
      </c>
      <c r="L1767" t="str">
        <f>IF(Workforce[[#This Row],[Salary]]&lt;50000,"30k-49k",IF(Workforce[[#This Row],[Salary]]&lt;70000,"50k-69k",IF(Workforce[[#This Row],[Salary]]&lt;90000,"70k-89k","90k+")))</f>
        <v>90k+</v>
      </c>
      <c r="M1767" t="s">
        <v>12476</v>
      </c>
      <c r="N1767">
        <f t="shared" ca="1" si="110"/>
        <v>4</v>
      </c>
      <c r="O1767" t="str">
        <f t="shared" ca="1" si="111"/>
        <v>Intermediate level</v>
      </c>
    </row>
    <row r="1768" spans="1:15" x14ac:dyDescent="0.3">
      <c r="A1768" t="s">
        <v>12477</v>
      </c>
      <c r="B1768" t="s">
        <v>12478</v>
      </c>
      <c r="C1768" t="s">
        <v>133</v>
      </c>
      <c r="D1768" t="s">
        <v>12479</v>
      </c>
      <c r="E1768" t="s">
        <v>12480</v>
      </c>
      <c r="F1768" t="s">
        <v>91</v>
      </c>
      <c r="G1768" t="s">
        <v>12481</v>
      </c>
      <c r="H1768" t="s">
        <v>12482</v>
      </c>
      <c r="I1768">
        <f t="shared" ca="1" si="108"/>
        <v>49</v>
      </c>
      <c r="J1768" t="str">
        <f t="shared" ca="1" si="109"/>
        <v>40-49</v>
      </c>
      <c r="K1768">
        <v>40583.96</v>
      </c>
      <c r="L1768" t="str">
        <f>IF(Workforce[[#This Row],[Salary]]&lt;50000,"30k-49k",IF(Workforce[[#This Row],[Salary]]&lt;70000,"50k-69k",IF(Workforce[[#This Row],[Salary]]&lt;90000,"70k-89k","90k+")))</f>
        <v>30k-49k</v>
      </c>
      <c r="M1768" t="s">
        <v>12483</v>
      </c>
      <c r="N1768">
        <f t="shared" ca="1" si="110"/>
        <v>3</v>
      </c>
      <c r="O1768" t="str">
        <f t="shared" ca="1" si="111"/>
        <v>Intermediate level</v>
      </c>
    </row>
    <row r="1769" spans="1:15" x14ac:dyDescent="0.3">
      <c r="A1769" t="s">
        <v>12484</v>
      </c>
      <c r="B1769" t="s">
        <v>12485</v>
      </c>
      <c r="C1769" t="s">
        <v>653</v>
      </c>
      <c r="D1769" t="s">
        <v>12486</v>
      </c>
      <c r="E1769" t="s">
        <v>12487</v>
      </c>
      <c r="F1769" t="s">
        <v>10802</v>
      </c>
      <c r="G1769" t="s">
        <v>12488</v>
      </c>
      <c r="H1769" t="s">
        <v>12489</v>
      </c>
      <c r="I1769">
        <f t="shared" ca="1" si="108"/>
        <v>66</v>
      </c>
      <c r="J1769" t="str">
        <f t="shared" ca="1" si="109"/>
        <v>60+</v>
      </c>
      <c r="K1769">
        <v>81856.25</v>
      </c>
      <c r="L1769" t="str">
        <f>IF(Workforce[[#This Row],[Salary]]&lt;50000,"30k-49k",IF(Workforce[[#This Row],[Salary]]&lt;70000,"50k-69k",IF(Workforce[[#This Row],[Salary]]&lt;90000,"70k-89k","90k+")))</f>
        <v>70k-89k</v>
      </c>
      <c r="M1769" t="s">
        <v>12490</v>
      </c>
      <c r="N1769">
        <f t="shared" ca="1" si="110"/>
        <v>4</v>
      </c>
      <c r="O1769" t="str">
        <f t="shared" ca="1" si="111"/>
        <v>Intermediate level</v>
      </c>
    </row>
    <row r="1770" spans="1:15" x14ac:dyDescent="0.3">
      <c r="A1770" t="s">
        <v>12491</v>
      </c>
      <c r="B1770" t="s">
        <v>12492</v>
      </c>
      <c r="C1770" t="s">
        <v>222</v>
      </c>
      <c r="D1770" t="s">
        <v>12493</v>
      </c>
      <c r="E1770" t="s">
        <v>12494</v>
      </c>
      <c r="F1770" t="s">
        <v>1872</v>
      </c>
      <c r="G1770" t="s">
        <v>4633</v>
      </c>
      <c r="H1770" t="s">
        <v>12495</v>
      </c>
      <c r="I1770">
        <f t="shared" ca="1" si="108"/>
        <v>39</v>
      </c>
      <c r="J1770" t="str">
        <f t="shared" ca="1" si="109"/>
        <v>30-39</v>
      </c>
      <c r="K1770">
        <v>49072.07</v>
      </c>
      <c r="L1770" t="str">
        <f>IF(Workforce[[#This Row],[Salary]]&lt;50000,"30k-49k",IF(Workforce[[#This Row],[Salary]]&lt;70000,"50k-69k",IF(Workforce[[#This Row],[Salary]]&lt;90000,"70k-89k","90k+")))</f>
        <v>30k-49k</v>
      </c>
      <c r="M1770" t="s">
        <v>12496</v>
      </c>
      <c r="N1770">
        <f t="shared" ca="1" si="110"/>
        <v>9</v>
      </c>
      <c r="O1770" t="str">
        <f t="shared" ca="1" si="111"/>
        <v>Senior level</v>
      </c>
    </row>
    <row r="1771" spans="1:15" x14ac:dyDescent="0.3">
      <c r="A1771" t="s">
        <v>12497</v>
      </c>
      <c r="B1771" t="s">
        <v>12498</v>
      </c>
      <c r="C1771" t="s">
        <v>169</v>
      </c>
      <c r="D1771" t="s">
        <v>12499</v>
      </c>
      <c r="E1771" t="s">
        <v>12500</v>
      </c>
      <c r="F1771" t="s">
        <v>12501</v>
      </c>
      <c r="G1771" t="s">
        <v>9050</v>
      </c>
      <c r="H1771" t="s">
        <v>12502</v>
      </c>
      <c r="I1771">
        <f t="shared" ca="1" si="108"/>
        <v>54</v>
      </c>
      <c r="J1771" t="str">
        <f t="shared" ca="1" si="109"/>
        <v>50-59</v>
      </c>
      <c r="K1771">
        <v>104141.94</v>
      </c>
      <c r="L1771" t="str">
        <f>IF(Workforce[[#This Row],[Salary]]&lt;50000,"30k-49k",IF(Workforce[[#This Row],[Salary]]&lt;70000,"50k-69k",IF(Workforce[[#This Row],[Salary]]&lt;90000,"70k-89k","90k+")))</f>
        <v>90k+</v>
      </c>
      <c r="M1771" t="s">
        <v>12503</v>
      </c>
      <c r="N1771">
        <f t="shared" ca="1" si="110"/>
        <v>9</v>
      </c>
      <c r="O1771" t="str">
        <f t="shared" ca="1" si="111"/>
        <v>Senior level</v>
      </c>
    </row>
    <row r="1772" spans="1:15" x14ac:dyDescent="0.3">
      <c r="A1772" t="s">
        <v>12504</v>
      </c>
      <c r="B1772" t="s">
        <v>12505</v>
      </c>
      <c r="C1772" t="s">
        <v>317</v>
      </c>
      <c r="D1772" t="s">
        <v>12506</v>
      </c>
      <c r="E1772" t="s">
        <v>12507</v>
      </c>
      <c r="F1772" t="s">
        <v>7341</v>
      </c>
      <c r="G1772" t="s">
        <v>12508</v>
      </c>
      <c r="H1772" t="s">
        <v>12509</v>
      </c>
      <c r="I1772">
        <f t="shared" ca="1" si="108"/>
        <v>51</v>
      </c>
      <c r="J1772" t="str">
        <f t="shared" ca="1" si="109"/>
        <v>50-59</v>
      </c>
      <c r="K1772">
        <v>107344.25</v>
      </c>
      <c r="L1772" t="str">
        <f>IF(Workforce[[#This Row],[Salary]]&lt;50000,"30k-49k",IF(Workforce[[#This Row],[Salary]]&lt;70000,"50k-69k",IF(Workforce[[#This Row],[Salary]]&lt;90000,"70k-89k","90k+")))</f>
        <v>90k+</v>
      </c>
      <c r="M1772" t="s">
        <v>11393</v>
      </c>
      <c r="N1772">
        <f t="shared" ca="1" si="110"/>
        <v>4</v>
      </c>
      <c r="O1772" t="str">
        <f t="shared" ca="1" si="111"/>
        <v>Intermediate level</v>
      </c>
    </row>
    <row r="1773" spans="1:15" x14ac:dyDescent="0.3">
      <c r="A1773" t="s">
        <v>12510</v>
      </c>
      <c r="B1773" t="s">
        <v>12511</v>
      </c>
      <c r="C1773" t="s">
        <v>124</v>
      </c>
      <c r="D1773" t="s">
        <v>12512</v>
      </c>
      <c r="E1773" t="s">
        <v>12513</v>
      </c>
      <c r="F1773" t="s">
        <v>295</v>
      </c>
      <c r="G1773" t="s">
        <v>12514</v>
      </c>
      <c r="H1773" t="s">
        <v>12515</v>
      </c>
      <c r="I1773">
        <f t="shared" ca="1" si="108"/>
        <v>43</v>
      </c>
      <c r="J1773" t="str">
        <f t="shared" ca="1" si="109"/>
        <v>40-49</v>
      </c>
      <c r="K1773">
        <v>70808.539999999994</v>
      </c>
      <c r="L1773" t="str">
        <f>IF(Workforce[[#This Row],[Salary]]&lt;50000,"30k-49k",IF(Workforce[[#This Row],[Salary]]&lt;70000,"50k-69k",IF(Workforce[[#This Row],[Salary]]&lt;90000,"70k-89k","90k+")))</f>
        <v>70k-89k</v>
      </c>
      <c r="M1773" t="s">
        <v>12516</v>
      </c>
      <c r="N1773">
        <f t="shared" ca="1" si="110"/>
        <v>9</v>
      </c>
      <c r="O1773" t="str">
        <f t="shared" ca="1" si="111"/>
        <v>Senior level</v>
      </c>
    </row>
    <row r="1774" spans="1:15" x14ac:dyDescent="0.3">
      <c r="A1774" t="s">
        <v>12517</v>
      </c>
      <c r="B1774" t="s">
        <v>12518</v>
      </c>
      <c r="C1774" t="s">
        <v>1223</v>
      </c>
      <c r="D1774" t="s">
        <v>12519</v>
      </c>
      <c r="E1774" t="s">
        <v>12520</v>
      </c>
      <c r="F1774" t="s">
        <v>2840</v>
      </c>
      <c r="G1774" t="s">
        <v>12521</v>
      </c>
      <c r="H1774" t="s">
        <v>12522</v>
      </c>
      <c r="I1774">
        <f t="shared" ca="1" si="108"/>
        <v>35</v>
      </c>
      <c r="J1774" t="str">
        <f t="shared" ca="1" si="109"/>
        <v>30-39</v>
      </c>
      <c r="K1774">
        <v>106616.41</v>
      </c>
      <c r="L1774" t="str">
        <f>IF(Workforce[[#This Row],[Salary]]&lt;50000,"30k-49k",IF(Workforce[[#This Row],[Salary]]&lt;70000,"50k-69k",IF(Workforce[[#This Row],[Salary]]&lt;90000,"70k-89k","90k+")))</f>
        <v>90k+</v>
      </c>
      <c r="M1774" t="s">
        <v>11874</v>
      </c>
      <c r="N1774">
        <f t="shared" ca="1" si="110"/>
        <v>2</v>
      </c>
      <c r="O1774" t="str">
        <f t="shared" ca="1" si="111"/>
        <v>Beginner</v>
      </c>
    </row>
    <row r="1775" spans="1:15" x14ac:dyDescent="0.3">
      <c r="A1775" t="s">
        <v>12523</v>
      </c>
      <c r="B1775" t="s">
        <v>12524</v>
      </c>
      <c r="C1775" t="s">
        <v>169</v>
      </c>
      <c r="D1775" t="s">
        <v>12525</v>
      </c>
      <c r="E1775" t="s">
        <v>12526</v>
      </c>
      <c r="F1775" t="s">
        <v>73</v>
      </c>
      <c r="G1775" t="s">
        <v>12527</v>
      </c>
      <c r="H1775" t="s">
        <v>12528</v>
      </c>
      <c r="I1775">
        <f t="shared" ca="1" si="108"/>
        <v>53</v>
      </c>
      <c r="J1775" t="str">
        <f t="shared" ca="1" si="109"/>
        <v>50-59</v>
      </c>
      <c r="K1775">
        <v>36201.769999999997</v>
      </c>
      <c r="L1775" t="str">
        <f>IF(Workforce[[#This Row],[Salary]]&lt;50000,"30k-49k",IF(Workforce[[#This Row],[Salary]]&lt;70000,"50k-69k",IF(Workforce[[#This Row],[Salary]]&lt;90000,"70k-89k","90k+")))</f>
        <v>30k-49k</v>
      </c>
      <c r="M1775" t="s">
        <v>6621</v>
      </c>
      <c r="N1775">
        <f t="shared" ca="1" si="110"/>
        <v>9</v>
      </c>
      <c r="O1775" t="str">
        <f t="shared" ca="1" si="111"/>
        <v>Senior level</v>
      </c>
    </row>
    <row r="1776" spans="1:15" x14ac:dyDescent="0.3">
      <c r="A1776" t="s">
        <v>12529</v>
      </c>
      <c r="B1776" t="s">
        <v>12530</v>
      </c>
      <c r="C1776" t="s">
        <v>35</v>
      </c>
      <c r="D1776" t="s">
        <v>12531</v>
      </c>
      <c r="E1776" t="s">
        <v>12532</v>
      </c>
      <c r="F1776" t="s">
        <v>958</v>
      </c>
      <c r="G1776" t="s">
        <v>12533</v>
      </c>
      <c r="H1776" t="s">
        <v>12534</v>
      </c>
      <c r="I1776">
        <f t="shared" ca="1" si="108"/>
        <v>59</v>
      </c>
      <c r="J1776" t="str">
        <f t="shared" ca="1" si="109"/>
        <v>50-59</v>
      </c>
      <c r="K1776">
        <v>79839.53</v>
      </c>
      <c r="L1776" t="str">
        <f>IF(Workforce[[#This Row],[Salary]]&lt;50000,"30k-49k",IF(Workforce[[#This Row],[Salary]]&lt;70000,"50k-69k",IF(Workforce[[#This Row],[Salary]]&lt;90000,"70k-89k","90k+")))</f>
        <v>70k-89k</v>
      </c>
      <c r="M1776" t="s">
        <v>1560</v>
      </c>
      <c r="N1776">
        <f t="shared" ca="1" si="110"/>
        <v>5</v>
      </c>
      <c r="O1776" t="str">
        <f t="shared" ca="1" si="111"/>
        <v>Intermediate level</v>
      </c>
    </row>
    <row r="1777" spans="1:15" x14ac:dyDescent="0.3">
      <c r="A1777" t="s">
        <v>12535</v>
      </c>
      <c r="B1777" t="s">
        <v>12536</v>
      </c>
      <c r="C1777" t="s">
        <v>266</v>
      </c>
      <c r="D1777" t="s">
        <v>12537</v>
      </c>
      <c r="E1777" t="s">
        <v>12538</v>
      </c>
      <c r="F1777" t="s">
        <v>1788</v>
      </c>
      <c r="G1777" t="s">
        <v>12539</v>
      </c>
      <c r="H1777" t="s">
        <v>12540</v>
      </c>
      <c r="I1777">
        <f t="shared" ca="1" si="108"/>
        <v>64</v>
      </c>
      <c r="J1777" t="str">
        <f t="shared" ca="1" si="109"/>
        <v>60+</v>
      </c>
      <c r="K1777">
        <v>51723.35</v>
      </c>
      <c r="L1777" t="str">
        <f>IF(Workforce[[#This Row],[Salary]]&lt;50000,"30k-49k",IF(Workforce[[#This Row],[Salary]]&lt;70000,"50k-69k",IF(Workforce[[#This Row],[Salary]]&lt;90000,"70k-89k","90k+")))</f>
        <v>50k-69k</v>
      </c>
      <c r="M1777" t="s">
        <v>6525</v>
      </c>
      <c r="N1777">
        <f t="shared" ca="1" si="110"/>
        <v>8</v>
      </c>
      <c r="O1777" t="str">
        <f t="shared" ca="1" si="111"/>
        <v>Senior level</v>
      </c>
    </row>
    <row r="1778" spans="1:15" x14ac:dyDescent="0.3">
      <c r="A1778" t="s">
        <v>12541</v>
      </c>
      <c r="B1778" t="s">
        <v>12542</v>
      </c>
      <c r="C1778" t="s">
        <v>169</v>
      </c>
      <c r="D1778" t="s">
        <v>12543</v>
      </c>
      <c r="E1778" t="s">
        <v>12544</v>
      </c>
      <c r="F1778" t="s">
        <v>370</v>
      </c>
      <c r="G1778" t="s">
        <v>12545</v>
      </c>
      <c r="H1778" t="s">
        <v>12546</v>
      </c>
      <c r="I1778">
        <f t="shared" ca="1" si="108"/>
        <v>24</v>
      </c>
      <c r="J1778" t="str">
        <f t="shared" ca="1" si="109"/>
        <v>18-29</v>
      </c>
      <c r="K1778">
        <v>100739.7</v>
      </c>
      <c r="L1778" t="str">
        <f>IF(Workforce[[#This Row],[Salary]]&lt;50000,"30k-49k",IF(Workforce[[#This Row],[Salary]]&lt;70000,"50k-69k",IF(Workforce[[#This Row],[Salary]]&lt;90000,"70k-89k","90k+")))</f>
        <v>90k+</v>
      </c>
      <c r="M1778" t="s">
        <v>12547</v>
      </c>
      <c r="N1778">
        <f t="shared" ca="1" si="110"/>
        <v>3</v>
      </c>
      <c r="O1778" t="str">
        <f t="shared" ca="1" si="111"/>
        <v>Intermediate level</v>
      </c>
    </row>
    <row r="1779" spans="1:15" x14ac:dyDescent="0.3">
      <c r="A1779" t="s">
        <v>12548</v>
      </c>
      <c r="B1779" t="s">
        <v>12549</v>
      </c>
      <c r="C1779" t="s">
        <v>774</v>
      </c>
      <c r="D1779" t="s">
        <v>12550</v>
      </c>
      <c r="E1779" t="s">
        <v>12551</v>
      </c>
      <c r="F1779" t="s">
        <v>3264</v>
      </c>
      <c r="G1779" t="s">
        <v>12552</v>
      </c>
      <c r="H1779" t="s">
        <v>12553</v>
      </c>
      <c r="I1779">
        <f t="shared" ca="1" si="108"/>
        <v>50</v>
      </c>
      <c r="J1779" t="str">
        <f t="shared" ca="1" si="109"/>
        <v>50-59</v>
      </c>
      <c r="K1779">
        <v>99427.22</v>
      </c>
      <c r="L1779" t="str">
        <f>IF(Workforce[[#This Row],[Salary]]&lt;50000,"30k-49k",IF(Workforce[[#This Row],[Salary]]&lt;70000,"50k-69k",IF(Workforce[[#This Row],[Salary]]&lt;90000,"70k-89k","90k+")))</f>
        <v>90k+</v>
      </c>
      <c r="M1779" t="s">
        <v>12554</v>
      </c>
      <c r="N1779">
        <f t="shared" ca="1" si="110"/>
        <v>6</v>
      </c>
      <c r="O1779" t="str">
        <f t="shared" ca="1" si="111"/>
        <v>Intermediate level</v>
      </c>
    </row>
    <row r="1780" spans="1:15" x14ac:dyDescent="0.3">
      <c r="A1780" t="s">
        <v>12555</v>
      </c>
      <c r="B1780" t="s">
        <v>12556</v>
      </c>
      <c r="C1780" t="s">
        <v>26</v>
      </c>
      <c r="D1780" t="s">
        <v>12557</v>
      </c>
      <c r="E1780" t="s">
        <v>12558</v>
      </c>
      <c r="F1780" t="s">
        <v>2446</v>
      </c>
      <c r="G1780" t="s">
        <v>12559</v>
      </c>
      <c r="H1780" t="s">
        <v>12560</v>
      </c>
      <c r="I1780">
        <f t="shared" ca="1" si="108"/>
        <v>35</v>
      </c>
      <c r="J1780" t="str">
        <f t="shared" ca="1" si="109"/>
        <v>30-39</v>
      </c>
      <c r="K1780">
        <v>93073.39</v>
      </c>
      <c r="L1780" t="str">
        <f>IF(Workforce[[#This Row],[Salary]]&lt;50000,"30k-49k",IF(Workforce[[#This Row],[Salary]]&lt;70000,"50k-69k",IF(Workforce[[#This Row],[Salary]]&lt;90000,"70k-89k","90k+")))</f>
        <v>90k+</v>
      </c>
      <c r="M1780" t="s">
        <v>12561</v>
      </c>
      <c r="N1780">
        <f t="shared" ca="1" si="110"/>
        <v>9</v>
      </c>
      <c r="O1780" t="str">
        <f t="shared" ca="1" si="111"/>
        <v>Senior level</v>
      </c>
    </row>
    <row r="1781" spans="1:15" x14ac:dyDescent="0.3">
      <c r="A1781" t="s">
        <v>12562</v>
      </c>
      <c r="B1781" t="s">
        <v>12563</v>
      </c>
      <c r="C1781" t="s">
        <v>133</v>
      </c>
      <c r="D1781" t="s">
        <v>12564</v>
      </c>
      <c r="E1781" t="s">
        <v>12565</v>
      </c>
      <c r="F1781" t="s">
        <v>3696</v>
      </c>
      <c r="G1781" t="s">
        <v>12566</v>
      </c>
      <c r="H1781" t="s">
        <v>12567</v>
      </c>
      <c r="I1781">
        <f t="shared" ca="1" si="108"/>
        <v>54</v>
      </c>
      <c r="J1781" t="str">
        <f t="shared" ca="1" si="109"/>
        <v>50-59</v>
      </c>
      <c r="K1781">
        <v>87644.7</v>
      </c>
      <c r="L1781" t="str">
        <f>IF(Workforce[[#This Row],[Salary]]&lt;50000,"30k-49k",IF(Workforce[[#This Row],[Salary]]&lt;70000,"50k-69k",IF(Workforce[[#This Row],[Salary]]&lt;90000,"70k-89k","90k+")))</f>
        <v>70k-89k</v>
      </c>
      <c r="M1781" t="s">
        <v>2896</v>
      </c>
      <c r="N1781">
        <f t="shared" ca="1" si="110"/>
        <v>2</v>
      </c>
      <c r="O1781" t="str">
        <f t="shared" ca="1" si="111"/>
        <v>Beginner</v>
      </c>
    </row>
    <row r="1782" spans="1:15" x14ac:dyDescent="0.3">
      <c r="A1782" t="s">
        <v>12568</v>
      </c>
      <c r="B1782" t="s">
        <v>12569</v>
      </c>
      <c r="C1782" t="s">
        <v>257</v>
      </c>
      <c r="D1782" t="s">
        <v>12570</v>
      </c>
      <c r="E1782" t="s">
        <v>12571</v>
      </c>
      <c r="F1782" t="s">
        <v>2282</v>
      </c>
      <c r="G1782" t="s">
        <v>12572</v>
      </c>
      <c r="H1782" t="s">
        <v>12573</v>
      </c>
      <c r="I1782">
        <f t="shared" ca="1" si="108"/>
        <v>19</v>
      </c>
      <c r="J1782" t="str">
        <f t="shared" ca="1" si="109"/>
        <v>18-29</v>
      </c>
      <c r="K1782">
        <v>62523.62</v>
      </c>
      <c r="L1782" t="str">
        <f>IF(Workforce[[#This Row],[Salary]]&lt;50000,"30k-49k",IF(Workforce[[#This Row],[Salary]]&lt;70000,"50k-69k",IF(Workforce[[#This Row],[Salary]]&lt;90000,"70k-89k","90k+")))</f>
        <v>50k-69k</v>
      </c>
      <c r="M1782" t="s">
        <v>12574</v>
      </c>
      <c r="N1782">
        <f t="shared" ca="1" si="110"/>
        <v>6</v>
      </c>
      <c r="O1782" t="str">
        <f t="shared" ca="1" si="111"/>
        <v>Intermediate level</v>
      </c>
    </row>
    <row r="1783" spans="1:15" x14ac:dyDescent="0.3">
      <c r="A1783" t="s">
        <v>12575</v>
      </c>
      <c r="B1783" t="s">
        <v>12576</v>
      </c>
      <c r="C1783" t="s">
        <v>231</v>
      </c>
      <c r="D1783" t="s">
        <v>12577</v>
      </c>
      <c r="E1783" t="s">
        <v>12578</v>
      </c>
      <c r="F1783" t="s">
        <v>4379</v>
      </c>
      <c r="G1783" t="s">
        <v>12579</v>
      </c>
      <c r="H1783" t="s">
        <v>12580</v>
      </c>
      <c r="I1783">
        <f t="shared" ca="1" si="108"/>
        <v>45</v>
      </c>
      <c r="J1783" t="str">
        <f t="shared" ca="1" si="109"/>
        <v>40-49</v>
      </c>
      <c r="K1783">
        <v>69528.56</v>
      </c>
      <c r="L1783" t="str">
        <f>IF(Workforce[[#This Row],[Salary]]&lt;50000,"30k-49k",IF(Workforce[[#This Row],[Salary]]&lt;70000,"50k-69k",IF(Workforce[[#This Row],[Salary]]&lt;90000,"70k-89k","90k+")))</f>
        <v>50k-69k</v>
      </c>
      <c r="M1783" t="s">
        <v>12581</v>
      </c>
      <c r="N1783">
        <f t="shared" ca="1" si="110"/>
        <v>9</v>
      </c>
      <c r="O1783" t="str">
        <f t="shared" ca="1" si="111"/>
        <v>Senior level</v>
      </c>
    </row>
    <row r="1784" spans="1:15" x14ac:dyDescent="0.3">
      <c r="A1784" t="s">
        <v>12582</v>
      </c>
      <c r="B1784" t="s">
        <v>12583</v>
      </c>
      <c r="C1784" t="s">
        <v>748</v>
      </c>
      <c r="D1784" t="s">
        <v>12584</v>
      </c>
      <c r="E1784" t="s">
        <v>12585</v>
      </c>
      <c r="F1784" t="s">
        <v>4697</v>
      </c>
      <c r="G1784" t="s">
        <v>12586</v>
      </c>
      <c r="H1784" t="s">
        <v>12587</v>
      </c>
      <c r="I1784">
        <f t="shared" ca="1" si="108"/>
        <v>46</v>
      </c>
      <c r="J1784" t="str">
        <f t="shared" ca="1" si="109"/>
        <v>40-49</v>
      </c>
      <c r="K1784">
        <v>39738.94</v>
      </c>
      <c r="L1784" t="str">
        <f>IF(Workforce[[#This Row],[Salary]]&lt;50000,"30k-49k",IF(Workforce[[#This Row],[Salary]]&lt;70000,"50k-69k",IF(Workforce[[#This Row],[Salary]]&lt;90000,"70k-89k","90k+")))</f>
        <v>30k-49k</v>
      </c>
      <c r="M1784" t="s">
        <v>12588</v>
      </c>
      <c r="N1784">
        <f t="shared" ca="1" si="110"/>
        <v>2</v>
      </c>
      <c r="O1784" t="str">
        <f t="shared" ca="1" si="111"/>
        <v>Beginner</v>
      </c>
    </row>
    <row r="1785" spans="1:15" x14ac:dyDescent="0.3">
      <c r="A1785" t="s">
        <v>12589</v>
      </c>
      <c r="B1785" t="s">
        <v>12590</v>
      </c>
      <c r="C1785" t="s">
        <v>44</v>
      </c>
      <c r="D1785" t="s">
        <v>12591</v>
      </c>
      <c r="E1785" t="s">
        <v>12592</v>
      </c>
      <c r="F1785" t="s">
        <v>12593</v>
      </c>
      <c r="G1785" t="s">
        <v>12594</v>
      </c>
      <c r="H1785" t="s">
        <v>12595</v>
      </c>
      <c r="I1785">
        <f t="shared" ca="1" si="108"/>
        <v>42</v>
      </c>
      <c r="J1785" t="str">
        <f t="shared" ca="1" si="109"/>
        <v>40-49</v>
      </c>
      <c r="K1785">
        <v>34091.160000000003</v>
      </c>
      <c r="L1785" t="str">
        <f>IF(Workforce[[#This Row],[Salary]]&lt;50000,"30k-49k",IF(Workforce[[#This Row],[Salary]]&lt;70000,"50k-69k",IF(Workforce[[#This Row],[Salary]]&lt;90000,"70k-89k","90k+")))</f>
        <v>30k-49k</v>
      </c>
      <c r="M1785" t="s">
        <v>12596</v>
      </c>
      <c r="N1785">
        <f t="shared" ca="1" si="110"/>
        <v>8</v>
      </c>
      <c r="O1785" t="str">
        <f t="shared" ca="1" si="111"/>
        <v>Senior level</v>
      </c>
    </row>
    <row r="1786" spans="1:15" x14ac:dyDescent="0.3">
      <c r="A1786" t="s">
        <v>12597</v>
      </c>
      <c r="B1786" t="s">
        <v>12598</v>
      </c>
      <c r="C1786" t="s">
        <v>440</v>
      </c>
      <c r="D1786" t="s">
        <v>12599</v>
      </c>
      <c r="E1786" t="s">
        <v>12600</v>
      </c>
      <c r="F1786" t="s">
        <v>6993</v>
      </c>
      <c r="G1786" t="s">
        <v>12601</v>
      </c>
      <c r="H1786" t="s">
        <v>12602</v>
      </c>
      <c r="I1786">
        <f t="shared" ca="1" si="108"/>
        <v>58</v>
      </c>
      <c r="J1786" t="str">
        <f t="shared" ca="1" si="109"/>
        <v>50-59</v>
      </c>
      <c r="K1786">
        <v>93161.06</v>
      </c>
      <c r="L1786" t="str">
        <f>IF(Workforce[[#This Row],[Salary]]&lt;50000,"30k-49k",IF(Workforce[[#This Row],[Salary]]&lt;70000,"50k-69k",IF(Workforce[[#This Row],[Salary]]&lt;90000,"70k-89k","90k+")))</f>
        <v>90k+</v>
      </c>
      <c r="M1786" t="s">
        <v>12603</v>
      </c>
      <c r="N1786">
        <f t="shared" ca="1" si="110"/>
        <v>8</v>
      </c>
      <c r="O1786" t="str">
        <f t="shared" ca="1" si="111"/>
        <v>Senior level</v>
      </c>
    </row>
    <row r="1787" spans="1:15" x14ac:dyDescent="0.3">
      <c r="A1787" t="s">
        <v>12604</v>
      </c>
      <c r="B1787" t="s">
        <v>12605</v>
      </c>
      <c r="C1787" t="s">
        <v>61</v>
      </c>
      <c r="D1787" t="s">
        <v>12606</v>
      </c>
      <c r="E1787" t="s">
        <v>12607</v>
      </c>
      <c r="F1787" t="s">
        <v>2832</v>
      </c>
      <c r="G1787" t="s">
        <v>12608</v>
      </c>
      <c r="H1787" t="s">
        <v>12609</v>
      </c>
      <c r="I1787">
        <f t="shared" ca="1" si="108"/>
        <v>53</v>
      </c>
      <c r="J1787" t="str">
        <f t="shared" ca="1" si="109"/>
        <v>50-59</v>
      </c>
      <c r="K1787">
        <v>39045.120000000003</v>
      </c>
      <c r="L1787" t="str">
        <f>IF(Workforce[[#This Row],[Salary]]&lt;50000,"30k-49k",IF(Workforce[[#This Row],[Salary]]&lt;70000,"50k-69k",IF(Workforce[[#This Row],[Salary]]&lt;90000,"70k-89k","90k+")))</f>
        <v>30k-49k</v>
      </c>
      <c r="M1787" t="s">
        <v>12610</v>
      </c>
      <c r="N1787">
        <f t="shared" ca="1" si="110"/>
        <v>4</v>
      </c>
      <c r="O1787" t="str">
        <f t="shared" ca="1" si="111"/>
        <v>Intermediate level</v>
      </c>
    </row>
    <row r="1788" spans="1:15" x14ac:dyDescent="0.3">
      <c r="A1788" t="s">
        <v>12611</v>
      </c>
      <c r="B1788" t="s">
        <v>12612</v>
      </c>
      <c r="C1788" t="s">
        <v>115</v>
      </c>
      <c r="D1788" t="s">
        <v>12613</v>
      </c>
      <c r="E1788" t="s">
        <v>12614</v>
      </c>
      <c r="F1788" t="s">
        <v>9475</v>
      </c>
      <c r="G1788" t="s">
        <v>10129</v>
      </c>
      <c r="H1788" t="s">
        <v>12615</v>
      </c>
      <c r="I1788">
        <f t="shared" ca="1" si="108"/>
        <v>24</v>
      </c>
      <c r="J1788" t="str">
        <f t="shared" ca="1" si="109"/>
        <v>18-29</v>
      </c>
      <c r="K1788">
        <v>81250.11</v>
      </c>
      <c r="L1788" t="str">
        <f>IF(Workforce[[#This Row],[Salary]]&lt;50000,"30k-49k",IF(Workforce[[#This Row],[Salary]]&lt;70000,"50k-69k",IF(Workforce[[#This Row],[Salary]]&lt;90000,"70k-89k","90k+")))</f>
        <v>70k-89k</v>
      </c>
      <c r="M1788" t="s">
        <v>12616</v>
      </c>
      <c r="N1788">
        <f t="shared" ca="1" si="110"/>
        <v>4</v>
      </c>
      <c r="O1788" t="str">
        <f t="shared" ca="1" si="111"/>
        <v>Intermediate level</v>
      </c>
    </row>
    <row r="1789" spans="1:15" x14ac:dyDescent="0.3">
      <c r="A1789" t="s">
        <v>12617</v>
      </c>
      <c r="B1789" t="s">
        <v>12618</v>
      </c>
      <c r="C1789" t="s">
        <v>748</v>
      </c>
      <c r="D1789" t="s">
        <v>12619</v>
      </c>
      <c r="E1789" t="s">
        <v>12620</v>
      </c>
      <c r="F1789" t="s">
        <v>6876</v>
      </c>
      <c r="G1789" t="s">
        <v>12621</v>
      </c>
      <c r="H1789" t="s">
        <v>12622</v>
      </c>
      <c r="I1789">
        <f t="shared" ca="1" si="108"/>
        <v>55</v>
      </c>
      <c r="J1789" t="str">
        <f t="shared" ca="1" si="109"/>
        <v>50-59</v>
      </c>
      <c r="K1789">
        <v>111338</v>
      </c>
      <c r="L1789" t="str">
        <f>IF(Workforce[[#This Row],[Salary]]&lt;50000,"30k-49k",IF(Workforce[[#This Row],[Salary]]&lt;70000,"50k-69k",IF(Workforce[[#This Row],[Salary]]&lt;90000,"70k-89k","90k+")))</f>
        <v>90k+</v>
      </c>
      <c r="M1789" t="s">
        <v>12623</v>
      </c>
      <c r="N1789">
        <f t="shared" ca="1" si="110"/>
        <v>9</v>
      </c>
      <c r="O1789" t="str">
        <f t="shared" ca="1" si="111"/>
        <v>Senior level</v>
      </c>
    </row>
    <row r="1790" spans="1:15" x14ac:dyDescent="0.3">
      <c r="A1790" t="s">
        <v>12624</v>
      </c>
      <c r="B1790" t="s">
        <v>12625</v>
      </c>
      <c r="C1790" t="s">
        <v>196</v>
      </c>
      <c r="D1790" t="s">
        <v>12626</v>
      </c>
      <c r="E1790" t="s">
        <v>12627</v>
      </c>
      <c r="F1790" t="s">
        <v>1973</v>
      </c>
      <c r="G1790" t="s">
        <v>12628</v>
      </c>
      <c r="H1790" t="s">
        <v>12629</v>
      </c>
      <c r="I1790">
        <f t="shared" ca="1" si="108"/>
        <v>59</v>
      </c>
      <c r="J1790" t="str">
        <f t="shared" ca="1" si="109"/>
        <v>50-59</v>
      </c>
      <c r="K1790">
        <v>36211.550000000003</v>
      </c>
      <c r="L1790" t="str">
        <f>IF(Workforce[[#This Row],[Salary]]&lt;50000,"30k-49k",IF(Workforce[[#This Row],[Salary]]&lt;70000,"50k-69k",IF(Workforce[[#This Row],[Salary]]&lt;90000,"70k-89k","90k+")))</f>
        <v>30k-49k</v>
      </c>
      <c r="M1790" t="s">
        <v>12630</v>
      </c>
      <c r="N1790">
        <f t="shared" ca="1" si="110"/>
        <v>9</v>
      </c>
      <c r="O1790" t="str">
        <f t="shared" ca="1" si="111"/>
        <v>Senior level</v>
      </c>
    </row>
    <row r="1791" spans="1:15" x14ac:dyDescent="0.3">
      <c r="A1791" t="s">
        <v>12631</v>
      </c>
      <c r="B1791" t="s">
        <v>12632</v>
      </c>
      <c r="C1791" t="s">
        <v>1159</v>
      </c>
      <c r="D1791" t="s">
        <v>12633</v>
      </c>
      <c r="E1791" t="s">
        <v>12634</v>
      </c>
      <c r="F1791" t="s">
        <v>7632</v>
      </c>
      <c r="G1791" t="s">
        <v>12635</v>
      </c>
      <c r="H1791" t="s">
        <v>12636</v>
      </c>
      <c r="I1791">
        <f t="shared" ca="1" si="108"/>
        <v>44</v>
      </c>
      <c r="J1791" t="str">
        <f t="shared" ca="1" si="109"/>
        <v>40-49</v>
      </c>
      <c r="K1791">
        <v>95028.96</v>
      </c>
      <c r="L1791" t="str">
        <f>IF(Workforce[[#This Row],[Salary]]&lt;50000,"30k-49k",IF(Workforce[[#This Row],[Salary]]&lt;70000,"50k-69k",IF(Workforce[[#This Row],[Salary]]&lt;90000,"70k-89k","90k+")))</f>
        <v>90k+</v>
      </c>
      <c r="M1791" t="s">
        <v>5114</v>
      </c>
      <c r="N1791">
        <f t="shared" ca="1" si="110"/>
        <v>1</v>
      </c>
      <c r="O1791" t="str">
        <f t="shared" ca="1" si="111"/>
        <v>Beginner</v>
      </c>
    </row>
    <row r="1792" spans="1:15" x14ac:dyDescent="0.3">
      <c r="A1792" t="s">
        <v>12637</v>
      </c>
      <c r="B1792" t="s">
        <v>12638</v>
      </c>
      <c r="C1792" t="s">
        <v>774</v>
      </c>
      <c r="D1792" t="s">
        <v>12639</v>
      </c>
      <c r="E1792" t="s">
        <v>12640</v>
      </c>
      <c r="F1792" t="s">
        <v>1249</v>
      </c>
      <c r="G1792" t="s">
        <v>12641</v>
      </c>
      <c r="H1792" t="s">
        <v>12642</v>
      </c>
      <c r="I1792">
        <f t="shared" ca="1" si="108"/>
        <v>58</v>
      </c>
      <c r="J1792" t="str">
        <f t="shared" ca="1" si="109"/>
        <v>50-59</v>
      </c>
      <c r="K1792">
        <v>101454.76</v>
      </c>
      <c r="L1792" t="str">
        <f>IF(Workforce[[#This Row],[Salary]]&lt;50000,"30k-49k",IF(Workforce[[#This Row],[Salary]]&lt;70000,"50k-69k",IF(Workforce[[#This Row],[Salary]]&lt;90000,"70k-89k","90k+")))</f>
        <v>90k+</v>
      </c>
      <c r="M1792" t="s">
        <v>12643</v>
      </c>
      <c r="N1792">
        <f t="shared" ca="1" si="110"/>
        <v>4</v>
      </c>
      <c r="O1792" t="str">
        <f t="shared" ca="1" si="111"/>
        <v>Intermediate level</v>
      </c>
    </row>
    <row r="1793" spans="1:15" x14ac:dyDescent="0.3">
      <c r="A1793" t="s">
        <v>12644</v>
      </c>
      <c r="B1793" t="s">
        <v>12645</v>
      </c>
      <c r="C1793" t="s">
        <v>142</v>
      </c>
      <c r="D1793" t="s">
        <v>12646</v>
      </c>
      <c r="E1793" t="s">
        <v>12647</v>
      </c>
      <c r="F1793" t="s">
        <v>784</v>
      </c>
      <c r="G1793" t="s">
        <v>12648</v>
      </c>
      <c r="H1793" t="s">
        <v>12649</v>
      </c>
      <c r="I1793">
        <f t="shared" ca="1" si="108"/>
        <v>33</v>
      </c>
      <c r="J1793" t="str">
        <f t="shared" ca="1" si="109"/>
        <v>30-39</v>
      </c>
      <c r="K1793">
        <v>55944.97</v>
      </c>
      <c r="L1793" t="str">
        <f>IF(Workforce[[#This Row],[Salary]]&lt;50000,"30k-49k",IF(Workforce[[#This Row],[Salary]]&lt;70000,"50k-69k",IF(Workforce[[#This Row],[Salary]]&lt;90000,"70k-89k","90k+")))</f>
        <v>50k-69k</v>
      </c>
      <c r="M1793" t="s">
        <v>12650</v>
      </c>
      <c r="N1793">
        <f t="shared" ca="1" si="110"/>
        <v>2</v>
      </c>
      <c r="O1793" t="str">
        <f t="shared" ca="1" si="111"/>
        <v>Beginner</v>
      </c>
    </row>
    <row r="1794" spans="1:15" x14ac:dyDescent="0.3">
      <c r="A1794" t="s">
        <v>12651</v>
      </c>
      <c r="B1794" t="s">
        <v>12652</v>
      </c>
      <c r="C1794" t="s">
        <v>317</v>
      </c>
      <c r="D1794" t="s">
        <v>12653</v>
      </c>
      <c r="E1794" t="s">
        <v>12654</v>
      </c>
      <c r="F1794" t="s">
        <v>8319</v>
      </c>
      <c r="G1794" t="s">
        <v>12655</v>
      </c>
      <c r="H1794" t="s">
        <v>12656</v>
      </c>
      <c r="I1794">
        <f t="shared" ref="I1794:I1857" ca="1" si="112">DATEDIF(H1794,TODAY(),"y")</f>
        <v>53</v>
      </c>
      <c r="J1794" t="str">
        <f t="shared" ref="J1794:J1857" ca="1" si="113">IF(I1794&lt;30,"18-29",IF(I1794&lt;40,"30-39",IF(I1794&lt;50,"40-49",IF(I1794&lt;60,"50-59","60+"))))</f>
        <v>50-59</v>
      </c>
      <c r="K1794">
        <v>100076.57</v>
      </c>
      <c r="L1794" t="str">
        <f>IF(Workforce[[#This Row],[Salary]]&lt;50000,"30k-49k",IF(Workforce[[#This Row],[Salary]]&lt;70000,"50k-69k",IF(Workforce[[#This Row],[Salary]]&lt;90000,"70k-89k","90k+")))</f>
        <v>90k+</v>
      </c>
      <c r="M1794" t="s">
        <v>12657</v>
      </c>
      <c r="N1794">
        <f t="shared" ref="N1794:N1857" ca="1" si="114">DATEDIF(M1794,TODAY(),"y")</f>
        <v>2</v>
      </c>
      <c r="O1794" t="str">
        <f t="shared" ref="O1794:O1857" ca="1" si="115">IF(N1794&lt;=2,"Beginner",IF(N1794&lt;=6,"Intermediate level","Senior level"))</f>
        <v>Beginner</v>
      </c>
    </row>
    <row r="1795" spans="1:15" x14ac:dyDescent="0.3">
      <c r="A1795" t="s">
        <v>12658</v>
      </c>
      <c r="B1795" t="s">
        <v>12659</v>
      </c>
      <c r="C1795" t="s">
        <v>44</v>
      </c>
      <c r="D1795" t="s">
        <v>12660</v>
      </c>
      <c r="E1795" t="s">
        <v>12661</v>
      </c>
      <c r="F1795" t="s">
        <v>1872</v>
      </c>
      <c r="G1795" t="s">
        <v>12662</v>
      </c>
      <c r="H1795" t="s">
        <v>12663</v>
      </c>
      <c r="I1795">
        <f t="shared" ca="1" si="112"/>
        <v>43</v>
      </c>
      <c r="J1795" t="str">
        <f t="shared" ca="1" si="113"/>
        <v>40-49</v>
      </c>
      <c r="K1795">
        <v>107372.67</v>
      </c>
      <c r="L1795" t="str">
        <f>IF(Workforce[[#This Row],[Salary]]&lt;50000,"30k-49k",IF(Workforce[[#This Row],[Salary]]&lt;70000,"50k-69k",IF(Workforce[[#This Row],[Salary]]&lt;90000,"70k-89k","90k+")))</f>
        <v>90k+</v>
      </c>
      <c r="M1795" t="s">
        <v>905</v>
      </c>
      <c r="N1795">
        <f t="shared" ca="1" si="114"/>
        <v>6</v>
      </c>
      <c r="O1795" t="str">
        <f t="shared" ca="1" si="115"/>
        <v>Intermediate level</v>
      </c>
    </row>
    <row r="1796" spans="1:15" x14ac:dyDescent="0.3">
      <c r="A1796" t="s">
        <v>12664</v>
      </c>
      <c r="B1796" t="s">
        <v>12665</v>
      </c>
      <c r="C1796" t="s">
        <v>604</v>
      </c>
      <c r="D1796" t="s">
        <v>12666</v>
      </c>
      <c r="E1796" t="s">
        <v>12667</v>
      </c>
      <c r="F1796" t="s">
        <v>4278</v>
      </c>
      <c r="G1796" t="s">
        <v>5715</v>
      </c>
      <c r="H1796" t="s">
        <v>12668</v>
      </c>
      <c r="I1796">
        <f t="shared" ca="1" si="112"/>
        <v>36</v>
      </c>
      <c r="J1796" t="str">
        <f t="shared" ca="1" si="113"/>
        <v>30-39</v>
      </c>
      <c r="K1796">
        <v>97836.11</v>
      </c>
      <c r="L1796" t="str">
        <f>IF(Workforce[[#This Row],[Salary]]&lt;50000,"30k-49k",IF(Workforce[[#This Row],[Salary]]&lt;70000,"50k-69k",IF(Workforce[[#This Row],[Salary]]&lt;90000,"70k-89k","90k+")))</f>
        <v>90k+</v>
      </c>
      <c r="M1796" t="s">
        <v>12669</v>
      </c>
      <c r="N1796">
        <f t="shared" ca="1" si="114"/>
        <v>4</v>
      </c>
      <c r="O1796" t="str">
        <f t="shared" ca="1" si="115"/>
        <v>Intermediate level</v>
      </c>
    </row>
    <row r="1797" spans="1:15" x14ac:dyDescent="0.3">
      <c r="A1797" t="s">
        <v>12670</v>
      </c>
      <c r="B1797" t="s">
        <v>12671</v>
      </c>
      <c r="C1797" t="s">
        <v>335</v>
      </c>
      <c r="D1797" t="s">
        <v>12672</v>
      </c>
      <c r="E1797" t="s">
        <v>12673</v>
      </c>
      <c r="F1797" t="s">
        <v>4170</v>
      </c>
      <c r="G1797" t="s">
        <v>12674</v>
      </c>
      <c r="H1797" t="s">
        <v>12649</v>
      </c>
      <c r="I1797">
        <f t="shared" ca="1" si="112"/>
        <v>33</v>
      </c>
      <c r="J1797" t="str">
        <f t="shared" ca="1" si="113"/>
        <v>30-39</v>
      </c>
      <c r="K1797">
        <v>87242.66</v>
      </c>
      <c r="L1797" t="str">
        <f>IF(Workforce[[#This Row],[Salary]]&lt;50000,"30k-49k",IF(Workforce[[#This Row],[Salary]]&lt;70000,"50k-69k",IF(Workforce[[#This Row],[Salary]]&lt;90000,"70k-89k","90k+")))</f>
        <v>70k-89k</v>
      </c>
      <c r="M1797" t="s">
        <v>12675</v>
      </c>
      <c r="N1797">
        <f t="shared" ca="1" si="114"/>
        <v>9</v>
      </c>
      <c r="O1797" t="str">
        <f t="shared" ca="1" si="115"/>
        <v>Senior level</v>
      </c>
    </row>
    <row r="1798" spans="1:15" x14ac:dyDescent="0.3">
      <c r="A1798" t="s">
        <v>12676</v>
      </c>
      <c r="B1798" t="s">
        <v>12677</v>
      </c>
      <c r="C1798" t="s">
        <v>169</v>
      </c>
      <c r="D1798" t="s">
        <v>12678</v>
      </c>
      <c r="E1798" t="s">
        <v>12679</v>
      </c>
      <c r="F1798" t="s">
        <v>4344</v>
      </c>
      <c r="G1798" t="s">
        <v>12680</v>
      </c>
      <c r="H1798" t="s">
        <v>12681</v>
      </c>
      <c r="I1798">
        <f t="shared" ca="1" si="112"/>
        <v>65</v>
      </c>
      <c r="J1798" t="str">
        <f t="shared" ca="1" si="113"/>
        <v>60+</v>
      </c>
      <c r="K1798">
        <v>54300.17</v>
      </c>
      <c r="L1798" t="str">
        <f>IF(Workforce[[#This Row],[Salary]]&lt;50000,"30k-49k",IF(Workforce[[#This Row],[Salary]]&lt;70000,"50k-69k",IF(Workforce[[#This Row],[Salary]]&lt;90000,"70k-89k","90k+")))</f>
        <v>50k-69k</v>
      </c>
      <c r="M1798" t="s">
        <v>10942</v>
      </c>
      <c r="N1798">
        <f t="shared" ca="1" si="114"/>
        <v>9</v>
      </c>
      <c r="O1798" t="str">
        <f t="shared" ca="1" si="115"/>
        <v>Senior level</v>
      </c>
    </row>
    <row r="1799" spans="1:15" x14ac:dyDescent="0.3">
      <c r="A1799" t="s">
        <v>12682</v>
      </c>
      <c r="B1799" t="s">
        <v>12683</v>
      </c>
      <c r="C1799" t="s">
        <v>539</v>
      </c>
      <c r="D1799" t="s">
        <v>12684</v>
      </c>
      <c r="E1799" t="s">
        <v>12685</v>
      </c>
      <c r="F1799" t="s">
        <v>7446</v>
      </c>
      <c r="G1799" t="s">
        <v>12686</v>
      </c>
      <c r="H1799" t="s">
        <v>12687</v>
      </c>
      <c r="I1799">
        <f t="shared" ca="1" si="112"/>
        <v>46</v>
      </c>
      <c r="J1799" t="str">
        <f t="shared" ca="1" si="113"/>
        <v>40-49</v>
      </c>
      <c r="K1799">
        <v>80018.539999999994</v>
      </c>
      <c r="L1799" t="str">
        <f>IF(Workforce[[#This Row],[Salary]]&lt;50000,"30k-49k",IF(Workforce[[#This Row],[Salary]]&lt;70000,"50k-69k",IF(Workforce[[#This Row],[Salary]]&lt;90000,"70k-89k","90k+")))</f>
        <v>70k-89k</v>
      </c>
      <c r="M1799" t="s">
        <v>8503</v>
      </c>
      <c r="N1799">
        <f t="shared" ca="1" si="114"/>
        <v>8</v>
      </c>
      <c r="O1799" t="str">
        <f t="shared" ca="1" si="115"/>
        <v>Senior level</v>
      </c>
    </row>
    <row r="1800" spans="1:15" x14ac:dyDescent="0.3">
      <c r="A1800" t="s">
        <v>12688</v>
      </c>
      <c r="B1800" t="s">
        <v>12689</v>
      </c>
      <c r="C1800" t="s">
        <v>317</v>
      </c>
      <c r="D1800" t="s">
        <v>12690</v>
      </c>
      <c r="E1800" t="s">
        <v>12691</v>
      </c>
      <c r="F1800" t="s">
        <v>525</v>
      </c>
      <c r="G1800" t="s">
        <v>12692</v>
      </c>
      <c r="H1800" t="s">
        <v>12693</v>
      </c>
      <c r="I1800">
        <f t="shared" ca="1" si="112"/>
        <v>33</v>
      </c>
      <c r="J1800" t="str">
        <f t="shared" ca="1" si="113"/>
        <v>30-39</v>
      </c>
      <c r="K1800">
        <v>32982.94</v>
      </c>
      <c r="L1800" t="str">
        <f>IF(Workforce[[#This Row],[Salary]]&lt;50000,"30k-49k",IF(Workforce[[#This Row],[Salary]]&lt;70000,"50k-69k",IF(Workforce[[#This Row],[Salary]]&lt;90000,"70k-89k","90k+")))</f>
        <v>30k-49k</v>
      </c>
      <c r="M1800" t="s">
        <v>12694</v>
      </c>
      <c r="N1800">
        <f t="shared" ca="1" si="114"/>
        <v>1</v>
      </c>
      <c r="O1800" t="str">
        <f t="shared" ca="1" si="115"/>
        <v>Beginner</v>
      </c>
    </row>
    <row r="1801" spans="1:15" x14ac:dyDescent="0.3">
      <c r="A1801" t="s">
        <v>12695</v>
      </c>
      <c r="B1801" t="s">
        <v>12696</v>
      </c>
      <c r="C1801" t="s">
        <v>88</v>
      </c>
      <c r="D1801" t="s">
        <v>12697</v>
      </c>
      <c r="E1801" t="s">
        <v>12698</v>
      </c>
      <c r="F1801" t="s">
        <v>1981</v>
      </c>
      <c r="G1801" t="s">
        <v>12699</v>
      </c>
      <c r="H1801" t="s">
        <v>11282</v>
      </c>
      <c r="I1801">
        <f t="shared" ca="1" si="112"/>
        <v>44</v>
      </c>
      <c r="J1801" t="str">
        <f t="shared" ca="1" si="113"/>
        <v>40-49</v>
      </c>
      <c r="K1801">
        <v>105200.31</v>
      </c>
      <c r="L1801" t="str">
        <f>IF(Workforce[[#This Row],[Salary]]&lt;50000,"30k-49k",IF(Workforce[[#This Row],[Salary]]&lt;70000,"50k-69k",IF(Workforce[[#This Row],[Salary]]&lt;90000,"70k-89k","90k+")))</f>
        <v>90k+</v>
      </c>
      <c r="M1801" t="s">
        <v>9593</v>
      </c>
      <c r="N1801">
        <f t="shared" ca="1" si="114"/>
        <v>9</v>
      </c>
      <c r="O1801" t="str">
        <f t="shared" ca="1" si="115"/>
        <v>Senior level</v>
      </c>
    </row>
    <row r="1802" spans="1:15" x14ac:dyDescent="0.3">
      <c r="A1802" t="s">
        <v>12700</v>
      </c>
      <c r="B1802" t="s">
        <v>12701</v>
      </c>
      <c r="C1802" t="s">
        <v>400</v>
      </c>
      <c r="D1802" t="s">
        <v>12702</v>
      </c>
      <c r="E1802" t="s">
        <v>12703</v>
      </c>
      <c r="F1802" t="s">
        <v>966</v>
      </c>
      <c r="G1802" t="s">
        <v>12704</v>
      </c>
      <c r="H1802" t="s">
        <v>12705</v>
      </c>
      <c r="I1802">
        <f t="shared" ca="1" si="112"/>
        <v>39</v>
      </c>
      <c r="J1802" t="str">
        <f t="shared" ca="1" si="113"/>
        <v>30-39</v>
      </c>
      <c r="K1802">
        <v>85914.72</v>
      </c>
      <c r="L1802" t="str">
        <f>IF(Workforce[[#This Row],[Salary]]&lt;50000,"30k-49k",IF(Workforce[[#This Row],[Salary]]&lt;70000,"50k-69k",IF(Workforce[[#This Row],[Salary]]&lt;90000,"70k-89k","90k+")))</f>
        <v>70k-89k</v>
      </c>
      <c r="M1802" t="s">
        <v>12706</v>
      </c>
      <c r="N1802">
        <f t="shared" ca="1" si="114"/>
        <v>2</v>
      </c>
      <c r="O1802" t="str">
        <f t="shared" ca="1" si="115"/>
        <v>Beginner</v>
      </c>
    </row>
    <row r="1803" spans="1:15" x14ac:dyDescent="0.3">
      <c r="A1803" t="s">
        <v>12707</v>
      </c>
      <c r="B1803" t="s">
        <v>12708</v>
      </c>
      <c r="C1803" t="s">
        <v>400</v>
      </c>
      <c r="D1803" t="s">
        <v>12709</v>
      </c>
      <c r="E1803" t="s">
        <v>12710</v>
      </c>
      <c r="F1803" t="s">
        <v>181</v>
      </c>
      <c r="G1803" t="s">
        <v>12711</v>
      </c>
      <c r="H1803" t="s">
        <v>12712</v>
      </c>
      <c r="I1803">
        <f t="shared" ca="1" si="112"/>
        <v>25</v>
      </c>
      <c r="J1803" t="str">
        <f t="shared" ca="1" si="113"/>
        <v>18-29</v>
      </c>
      <c r="K1803">
        <v>111096.01</v>
      </c>
      <c r="L1803" t="str">
        <f>IF(Workforce[[#This Row],[Salary]]&lt;50000,"30k-49k",IF(Workforce[[#This Row],[Salary]]&lt;70000,"50k-69k",IF(Workforce[[#This Row],[Salary]]&lt;90000,"70k-89k","90k+")))</f>
        <v>90k+</v>
      </c>
      <c r="M1803" t="s">
        <v>314</v>
      </c>
      <c r="N1803">
        <f t="shared" ca="1" si="114"/>
        <v>3</v>
      </c>
      <c r="O1803" t="str">
        <f t="shared" ca="1" si="115"/>
        <v>Intermediate level</v>
      </c>
    </row>
    <row r="1804" spans="1:15" x14ac:dyDescent="0.3">
      <c r="A1804" t="s">
        <v>12713</v>
      </c>
      <c r="B1804" t="s">
        <v>12714</v>
      </c>
      <c r="C1804" t="s">
        <v>317</v>
      </c>
      <c r="D1804" t="s">
        <v>12715</v>
      </c>
      <c r="E1804" t="s">
        <v>12716</v>
      </c>
      <c r="F1804" t="s">
        <v>3828</v>
      </c>
      <c r="G1804" t="s">
        <v>2513</v>
      </c>
      <c r="H1804" t="s">
        <v>12717</v>
      </c>
      <c r="I1804">
        <f t="shared" ca="1" si="112"/>
        <v>28</v>
      </c>
      <c r="J1804" t="str">
        <f t="shared" ca="1" si="113"/>
        <v>18-29</v>
      </c>
      <c r="K1804">
        <v>63363.7</v>
      </c>
      <c r="L1804" t="str">
        <f>IF(Workforce[[#This Row],[Salary]]&lt;50000,"30k-49k",IF(Workforce[[#This Row],[Salary]]&lt;70000,"50k-69k",IF(Workforce[[#This Row],[Salary]]&lt;90000,"70k-89k","90k+")))</f>
        <v>50k-69k</v>
      </c>
      <c r="M1804" t="s">
        <v>12718</v>
      </c>
      <c r="N1804">
        <f t="shared" ca="1" si="114"/>
        <v>6</v>
      </c>
      <c r="O1804" t="str">
        <f t="shared" ca="1" si="115"/>
        <v>Intermediate level</v>
      </c>
    </row>
    <row r="1805" spans="1:15" x14ac:dyDescent="0.3">
      <c r="A1805" t="s">
        <v>12719</v>
      </c>
      <c r="B1805" t="s">
        <v>12720</v>
      </c>
      <c r="C1805" t="s">
        <v>457</v>
      </c>
      <c r="D1805" t="s">
        <v>12721</v>
      </c>
      <c r="E1805" t="s">
        <v>12722</v>
      </c>
      <c r="F1805" t="s">
        <v>3028</v>
      </c>
      <c r="G1805" t="s">
        <v>12723</v>
      </c>
      <c r="H1805" t="s">
        <v>12724</v>
      </c>
      <c r="I1805">
        <f t="shared" ca="1" si="112"/>
        <v>47</v>
      </c>
      <c r="J1805" t="str">
        <f t="shared" ca="1" si="113"/>
        <v>40-49</v>
      </c>
      <c r="K1805">
        <v>105147.16</v>
      </c>
      <c r="L1805" t="str">
        <f>IF(Workforce[[#This Row],[Salary]]&lt;50000,"30k-49k",IF(Workforce[[#This Row],[Salary]]&lt;70000,"50k-69k",IF(Workforce[[#This Row],[Salary]]&lt;90000,"70k-89k","90k+")))</f>
        <v>90k+</v>
      </c>
      <c r="M1805" t="s">
        <v>12725</v>
      </c>
      <c r="N1805">
        <f t="shared" ca="1" si="114"/>
        <v>6</v>
      </c>
      <c r="O1805" t="str">
        <f t="shared" ca="1" si="115"/>
        <v>Intermediate level</v>
      </c>
    </row>
    <row r="1806" spans="1:15" x14ac:dyDescent="0.3">
      <c r="A1806" t="s">
        <v>12726</v>
      </c>
      <c r="B1806" t="s">
        <v>12727</v>
      </c>
      <c r="C1806" t="s">
        <v>169</v>
      </c>
      <c r="D1806" t="s">
        <v>12728</v>
      </c>
      <c r="E1806" t="s">
        <v>12729</v>
      </c>
      <c r="F1806" t="s">
        <v>2416</v>
      </c>
      <c r="G1806" t="s">
        <v>12730</v>
      </c>
      <c r="H1806" t="s">
        <v>12731</v>
      </c>
      <c r="I1806">
        <f t="shared" ca="1" si="112"/>
        <v>45</v>
      </c>
      <c r="J1806" t="str">
        <f t="shared" ca="1" si="113"/>
        <v>40-49</v>
      </c>
      <c r="K1806">
        <v>45502.31</v>
      </c>
      <c r="L1806" t="str">
        <f>IF(Workforce[[#This Row],[Salary]]&lt;50000,"30k-49k",IF(Workforce[[#This Row],[Salary]]&lt;70000,"50k-69k",IF(Workforce[[#This Row],[Salary]]&lt;90000,"70k-89k","90k+")))</f>
        <v>30k-49k</v>
      </c>
      <c r="M1806" t="s">
        <v>874</v>
      </c>
      <c r="N1806">
        <f t="shared" ca="1" si="114"/>
        <v>2</v>
      </c>
      <c r="O1806" t="str">
        <f t="shared" ca="1" si="115"/>
        <v>Beginner</v>
      </c>
    </row>
    <row r="1807" spans="1:15" x14ac:dyDescent="0.3">
      <c r="A1807" t="s">
        <v>12732</v>
      </c>
      <c r="B1807" t="s">
        <v>12733</v>
      </c>
      <c r="C1807" t="s">
        <v>653</v>
      </c>
      <c r="D1807" t="s">
        <v>12734</v>
      </c>
      <c r="E1807" t="s">
        <v>12735</v>
      </c>
      <c r="F1807" t="s">
        <v>1572</v>
      </c>
      <c r="G1807" t="s">
        <v>12736</v>
      </c>
      <c r="H1807" t="s">
        <v>12737</v>
      </c>
      <c r="I1807">
        <f t="shared" ca="1" si="112"/>
        <v>52</v>
      </c>
      <c r="J1807" t="str">
        <f t="shared" ca="1" si="113"/>
        <v>50-59</v>
      </c>
      <c r="K1807">
        <v>57281.71</v>
      </c>
      <c r="L1807" t="str">
        <f>IF(Workforce[[#This Row],[Salary]]&lt;50000,"30k-49k",IF(Workforce[[#This Row],[Salary]]&lt;70000,"50k-69k",IF(Workforce[[#This Row],[Salary]]&lt;90000,"70k-89k","90k+")))</f>
        <v>50k-69k</v>
      </c>
      <c r="M1807" t="s">
        <v>12738</v>
      </c>
      <c r="N1807">
        <f t="shared" ca="1" si="114"/>
        <v>6</v>
      </c>
      <c r="O1807" t="str">
        <f t="shared" ca="1" si="115"/>
        <v>Intermediate level</v>
      </c>
    </row>
    <row r="1808" spans="1:15" x14ac:dyDescent="0.3">
      <c r="A1808" t="s">
        <v>12739</v>
      </c>
      <c r="B1808" t="s">
        <v>12740</v>
      </c>
      <c r="C1808" t="s">
        <v>79</v>
      </c>
      <c r="D1808" t="s">
        <v>12741</v>
      </c>
      <c r="E1808" t="s">
        <v>12742</v>
      </c>
      <c r="F1808" t="s">
        <v>12743</v>
      </c>
      <c r="G1808" t="s">
        <v>1827</v>
      </c>
      <c r="H1808" t="s">
        <v>12744</v>
      </c>
      <c r="I1808">
        <f t="shared" ca="1" si="112"/>
        <v>45</v>
      </c>
      <c r="J1808" t="str">
        <f t="shared" ca="1" si="113"/>
        <v>40-49</v>
      </c>
      <c r="K1808">
        <v>30262.42</v>
      </c>
      <c r="L1808" t="str">
        <f>IF(Workforce[[#This Row],[Salary]]&lt;50000,"30k-49k",IF(Workforce[[#This Row],[Salary]]&lt;70000,"50k-69k",IF(Workforce[[#This Row],[Salary]]&lt;90000,"70k-89k","90k+")))</f>
        <v>30k-49k</v>
      </c>
      <c r="M1808" t="s">
        <v>12745</v>
      </c>
      <c r="N1808">
        <f t="shared" ca="1" si="114"/>
        <v>5</v>
      </c>
      <c r="O1808" t="str">
        <f t="shared" ca="1" si="115"/>
        <v>Intermediate level</v>
      </c>
    </row>
    <row r="1809" spans="1:15" x14ac:dyDescent="0.3">
      <c r="A1809" t="s">
        <v>12746</v>
      </c>
      <c r="B1809" t="s">
        <v>12747</v>
      </c>
      <c r="C1809" t="s">
        <v>1223</v>
      </c>
      <c r="D1809" t="s">
        <v>12748</v>
      </c>
      <c r="E1809" t="s">
        <v>12749</v>
      </c>
      <c r="F1809" t="s">
        <v>6827</v>
      </c>
      <c r="G1809" t="s">
        <v>12750</v>
      </c>
      <c r="H1809" t="s">
        <v>12751</v>
      </c>
      <c r="I1809">
        <f t="shared" ca="1" si="112"/>
        <v>38</v>
      </c>
      <c r="J1809" t="str">
        <f t="shared" ca="1" si="113"/>
        <v>30-39</v>
      </c>
      <c r="K1809">
        <v>105585.4</v>
      </c>
      <c r="L1809" t="str">
        <f>IF(Workforce[[#This Row],[Salary]]&lt;50000,"30k-49k",IF(Workforce[[#This Row],[Salary]]&lt;70000,"50k-69k",IF(Workforce[[#This Row],[Salary]]&lt;90000,"70k-89k","90k+")))</f>
        <v>90k+</v>
      </c>
      <c r="M1809" t="s">
        <v>12752</v>
      </c>
      <c r="N1809">
        <f t="shared" ca="1" si="114"/>
        <v>1</v>
      </c>
      <c r="O1809" t="str">
        <f t="shared" ca="1" si="115"/>
        <v>Beginner</v>
      </c>
    </row>
    <row r="1810" spans="1:15" x14ac:dyDescent="0.3">
      <c r="A1810" t="s">
        <v>12753</v>
      </c>
      <c r="B1810" t="s">
        <v>12754</v>
      </c>
      <c r="C1810" t="s">
        <v>2086</v>
      </c>
      <c r="D1810" t="s">
        <v>12755</v>
      </c>
      <c r="E1810" t="s">
        <v>12756</v>
      </c>
      <c r="F1810" t="s">
        <v>5394</v>
      </c>
      <c r="G1810" t="s">
        <v>12757</v>
      </c>
      <c r="H1810" t="s">
        <v>12758</v>
      </c>
      <c r="I1810">
        <f t="shared" ca="1" si="112"/>
        <v>33</v>
      </c>
      <c r="J1810" t="str">
        <f t="shared" ca="1" si="113"/>
        <v>30-39</v>
      </c>
      <c r="K1810">
        <v>66332.5</v>
      </c>
      <c r="L1810" t="str">
        <f>IF(Workforce[[#This Row],[Salary]]&lt;50000,"30k-49k",IF(Workforce[[#This Row],[Salary]]&lt;70000,"50k-69k",IF(Workforce[[#This Row],[Salary]]&lt;90000,"70k-89k","90k+")))</f>
        <v>50k-69k</v>
      </c>
      <c r="M1810" t="s">
        <v>12759</v>
      </c>
      <c r="N1810">
        <f t="shared" ca="1" si="114"/>
        <v>1</v>
      </c>
      <c r="O1810" t="str">
        <f t="shared" ca="1" si="115"/>
        <v>Beginner</v>
      </c>
    </row>
    <row r="1811" spans="1:15" x14ac:dyDescent="0.3">
      <c r="A1811" t="s">
        <v>12760</v>
      </c>
      <c r="B1811" t="s">
        <v>12761</v>
      </c>
      <c r="C1811" t="s">
        <v>160</v>
      </c>
      <c r="D1811" t="s">
        <v>12762</v>
      </c>
      <c r="E1811" t="s">
        <v>12763</v>
      </c>
      <c r="F1811" t="s">
        <v>10073</v>
      </c>
      <c r="G1811" t="s">
        <v>1974</v>
      </c>
      <c r="H1811" t="s">
        <v>12764</v>
      </c>
      <c r="I1811">
        <f t="shared" ca="1" si="112"/>
        <v>51</v>
      </c>
      <c r="J1811" t="str">
        <f t="shared" ca="1" si="113"/>
        <v>50-59</v>
      </c>
      <c r="K1811">
        <v>68146.009999999995</v>
      </c>
      <c r="L1811" t="str">
        <f>IF(Workforce[[#This Row],[Salary]]&lt;50000,"30k-49k",IF(Workforce[[#This Row],[Salary]]&lt;70000,"50k-69k",IF(Workforce[[#This Row],[Salary]]&lt;90000,"70k-89k","90k+")))</f>
        <v>50k-69k</v>
      </c>
      <c r="M1811" t="s">
        <v>12765</v>
      </c>
      <c r="N1811">
        <f t="shared" ca="1" si="114"/>
        <v>1</v>
      </c>
      <c r="O1811" t="str">
        <f t="shared" ca="1" si="115"/>
        <v>Beginner</v>
      </c>
    </row>
    <row r="1812" spans="1:15" x14ac:dyDescent="0.3">
      <c r="A1812" t="s">
        <v>12766</v>
      </c>
      <c r="B1812" t="s">
        <v>12767</v>
      </c>
      <c r="C1812" t="s">
        <v>580</v>
      </c>
      <c r="D1812" t="s">
        <v>12768</v>
      </c>
      <c r="E1812" t="s">
        <v>12769</v>
      </c>
      <c r="F1812" t="s">
        <v>216</v>
      </c>
      <c r="G1812" t="s">
        <v>12770</v>
      </c>
      <c r="H1812" t="s">
        <v>12771</v>
      </c>
      <c r="I1812">
        <f t="shared" ca="1" si="112"/>
        <v>51</v>
      </c>
      <c r="J1812" t="str">
        <f t="shared" ca="1" si="113"/>
        <v>50-59</v>
      </c>
      <c r="K1812">
        <v>87190.45</v>
      </c>
      <c r="L1812" t="str">
        <f>IF(Workforce[[#This Row],[Salary]]&lt;50000,"30k-49k",IF(Workforce[[#This Row],[Salary]]&lt;70000,"50k-69k",IF(Workforce[[#This Row],[Salary]]&lt;90000,"70k-89k","90k+")))</f>
        <v>70k-89k</v>
      </c>
      <c r="M1812" t="s">
        <v>12772</v>
      </c>
      <c r="N1812">
        <f t="shared" ca="1" si="114"/>
        <v>9</v>
      </c>
      <c r="O1812" t="str">
        <f t="shared" ca="1" si="115"/>
        <v>Senior level</v>
      </c>
    </row>
    <row r="1813" spans="1:15" x14ac:dyDescent="0.3">
      <c r="A1813" t="s">
        <v>12773</v>
      </c>
      <c r="B1813" t="s">
        <v>12774</v>
      </c>
      <c r="C1813" t="s">
        <v>1159</v>
      </c>
      <c r="D1813" t="s">
        <v>12775</v>
      </c>
      <c r="E1813" t="s">
        <v>12776</v>
      </c>
      <c r="F1813" t="s">
        <v>3812</v>
      </c>
      <c r="G1813" t="s">
        <v>12777</v>
      </c>
      <c r="H1813" t="s">
        <v>12778</v>
      </c>
      <c r="I1813">
        <f t="shared" ca="1" si="112"/>
        <v>33</v>
      </c>
      <c r="J1813" t="str">
        <f t="shared" ca="1" si="113"/>
        <v>30-39</v>
      </c>
      <c r="K1813">
        <v>57871.09</v>
      </c>
      <c r="L1813" t="str">
        <f>IF(Workforce[[#This Row],[Salary]]&lt;50000,"30k-49k",IF(Workforce[[#This Row],[Salary]]&lt;70000,"50k-69k",IF(Workforce[[#This Row],[Salary]]&lt;90000,"70k-89k","90k+")))</f>
        <v>50k-69k</v>
      </c>
      <c r="M1813" t="s">
        <v>12779</v>
      </c>
      <c r="N1813">
        <f t="shared" ca="1" si="114"/>
        <v>9</v>
      </c>
      <c r="O1813" t="str">
        <f t="shared" ca="1" si="115"/>
        <v>Senior level</v>
      </c>
    </row>
    <row r="1814" spans="1:15" x14ac:dyDescent="0.3">
      <c r="A1814" t="s">
        <v>12780</v>
      </c>
      <c r="B1814" t="s">
        <v>12781</v>
      </c>
      <c r="C1814" t="s">
        <v>151</v>
      </c>
      <c r="D1814" t="s">
        <v>12782</v>
      </c>
      <c r="E1814" t="s">
        <v>12783</v>
      </c>
      <c r="F1814" t="s">
        <v>386</v>
      </c>
      <c r="G1814" t="s">
        <v>12784</v>
      </c>
      <c r="H1814" t="s">
        <v>7029</v>
      </c>
      <c r="I1814">
        <f t="shared" ca="1" si="112"/>
        <v>31</v>
      </c>
      <c r="J1814" t="str">
        <f t="shared" ca="1" si="113"/>
        <v>30-39</v>
      </c>
      <c r="K1814">
        <v>56504.98</v>
      </c>
      <c r="L1814" t="str">
        <f>IF(Workforce[[#This Row],[Salary]]&lt;50000,"30k-49k",IF(Workforce[[#This Row],[Salary]]&lt;70000,"50k-69k",IF(Workforce[[#This Row],[Salary]]&lt;90000,"70k-89k","90k+")))</f>
        <v>50k-69k</v>
      </c>
      <c r="M1814" t="s">
        <v>4265</v>
      </c>
      <c r="N1814">
        <f t="shared" ca="1" si="114"/>
        <v>1</v>
      </c>
      <c r="O1814" t="str">
        <f t="shared" ca="1" si="115"/>
        <v>Beginner</v>
      </c>
    </row>
    <row r="1815" spans="1:15" x14ac:dyDescent="0.3">
      <c r="A1815" t="s">
        <v>12785</v>
      </c>
      <c r="B1815" t="s">
        <v>12786</v>
      </c>
      <c r="C1815" t="s">
        <v>70</v>
      </c>
      <c r="D1815" t="s">
        <v>12787</v>
      </c>
      <c r="E1815" t="s">
        <v>12788</v>
      </c>
      <c r="F1815" t="s">
        <v>11077</v>
      </c>
      <c r="G1815" t="s">
        <v>12011</v>
      </c>
      <c r="H1815" t="s">
        <v>12789</v>
      </c>
      <c r="I1815">
        <f t="shared" ca="1" si="112"/>
        <v>47</v>
      </c>
      <c r="J1815" t="str">
        <f t="shared" ca="1" si="113"/>
        <v>40-49</v>
      </c>
      <c r="K1815">
        <v>41224.769999999997</v>
      </c>
      <c r="L1815" t="str">
        <f>IF(Workforce[[#This Row],[Salary]]&lt;50000,"30k-49k",IF(Workforce[[#This Row],[Salary]]&lt;70000,"50k-69k",IF(Workforce[[#This Row],[Salary]]&lt;90000,"70k-89k","90k+")))</f>
        <v>30k-49k</v>
      </c>
      <c r="M1815" t="s">
        <v>1307</v>
      </c>
      <c r="N1815">
        <f t="shared" ca="1" si="114"/>
        <v>1</v>
      </c>
      <c r="O1815" t="str">
        <f t="shared" ca="1" si="115"/>
        <v>Beginner</v>
      </c>
    </row>
    <row r="1816" spans="1:15" x14ac:dyDescent="0.3">
      <c r="A1816" t="s">
        <v>12790</v>
      </c>
      <c r="B1816" t="s">
        <v>12791</v>
      </c>
      <c r="C1816" t="s">
        <v>653</v>
      </c>
      <c r="D1816" t="s">
        <v>12792</v>
      </c>
      <c r="E1816" t="s">
        <v>12793</v>
      </c>
      <c r="F1816" t="s">
        <v>2832</v>
      </c>
      <c r="G1816" t="s">
        <v>11057</v>
      </c>
      <c r="H1816" t="s">
        <v>12794</v>
      </c>
      <c r="I1816">
        <f t="shared" ca="1" si="112"/>
        <v>20</v>
      </c>
      <c r="J1816" t="str">
        <f t="shared" ca="1" si="113"/>
        <v>18-29</v>
      </c>
      <c r="K1816">
        <v>49207.89</v>
      </c>
      <c r="L1816" t="str">
        <f>IF(Workforce[[#This Row],[Salary]]&lt;50000,"30k-49k",IF(Workforce[[#This Row],[Salary]]&lt;70000,"50k-69k",IF(Workforce[[#This Row],[Salary]]&lt;90000,"70k-89k","90k+")))</f>
        <v>30k-49k</v>
      </c>
      <c r="M1816" t="s">
        <v>12795</v>
      </c>
      <c r="N1816">
        <f t="shared" ca="1" si="114"/>
        <v>2</v>
      </c>
      <c r="O1816" t="str">
        <f t="shared" ca="1" si="115"/>
        <v>Beginner</v>
      </c>
    </row>
    <row r="1817" spans="1:15" x14ac:dyDescent="0.3">
      <c r="A1817" t="s">
        <v>12796</v>
      </c>
      <c r="B1817" t="s">
        <v>12797</v>
      </c>
      <c r="C1817" t="s">
        <v>400</v>
      </c>
      <c r="D1817" t="s">
        <v>12798</v>
      </c>
      <c r="E1817" t="s">
        <v>12799</v>
      </c>
      <c r="F1817" t="s">
        <v>2864</v>
      </c>
      <c r="G1817" t="s">
        <v>12800</v>
      </c>
      <c r="H1817" t="s">
        <v>12801</v>
      </c>
      <c r="I1817">
        <f t="shared" ca="1" si="112"/>
        <v>65</v>
      </c>
      <c r="J1817" t="str">
        <f t="shared" ca="1" si="113"/>
        <v>60+</v>
      </c>
      <c r="K1817">
        <v>87947.73</v>
      </c>
      <c r="L1817" t="str">
        <f>IF(Workforce[[#This Row],[Salary]]&lt;50000,"30k-49k",IF(Workforce[[#This Row],[Salary]]&lt;70000,"50k-69k",IF(Workforce[[#This Row],[Salary]]&lt;90000,"70k-89k","90k+")))</f>
        <v>70k-89k</v>
      </c>
      <c r="M1817" t="s">
        <v>12802</v>
      </c>
      <c r="N1817">
        <f t="shared" ca="1" si="114"/>
        <v>3</v>
      </c>
      <c r="O1817" t="str">
        <f t="shared" ca="1" si="115"/>
        <v>Intermediate level</v>
      </c>
    </row>
    <row r="1818" spans="1:15" x14ac:dyDescent="0.3">
      <c r="A1818" t="s">
        <v>12803</v>
      </c>
      <c r="B1818" t="s">
        <v>12804</v>
      </c>
      <c r="C1818" t="s">
        <v>124</v>
      </c>
      <c r="D1818" t="s">
        <v>12805</v>
      </c>
      <c r="E1818" t="s">
        <v>12806</v>
      </c>
      <c r="F1818" t="s">
        <v>6260</v>
      </c>
      <c r="G1818" t="s">
        <v>11744</v>
      </c>
      <c r="H1818" t="s">
        <v>12807</v>
      </c>
      <c r="I1818">
        <f t="shared" ca="1" si="112"/>
        <v>37</v>
      </c>
      <c r="J1818" t="str">
        <f t="shared" ca="1" si="113"/>
        <v>30-39</v>
      </c>
      <c r="K1818">
        <v>104685.78</v>
      </c>
      <c r="L1818" t="str">
        <f>IF(Workforce[[#This Row],[Salary]]&lt;50000,"30k-49k",IF(Workforce[[#This Row],[Salary]]&lt;70000,"50k-69k",IF(Workforce[[#This Row],[Salary]]&lt;90000,"70k-89k","90k+")))</f>
        <v>90k+</v>
      </c>
      <c r="M1818" t="s">
        <v>12808</v>
      </c>
      <c r="N1818">
        <f t="shared" ca="1" si="114"/>
        <v>8</v>
      </c>
      <c r="O1818" t="str">
        <f t="shared" ca="1" si="115"/>
        <v>Senior level</v>
      </c>
    </row>
    <row r="1819" spans="1:15" x14ac:dyDescent="0.3">
      <c r="A1819" t="s">
        <v>12809</v>
      </c>
      <c r="B1819" t="s">
        <v>12810</v>
      </c>
      <c r="C1819" t="s">
        <v>178</v>
      </c>
      <c r="D1819" t="s">
        <v>12811</v>
      </c>
      <c r="E1819" t="s">
        <v>12812</v>
      </c>
      <c r="F1819" t="s">
        <v>3329</v>
      </c>
      <c r="G1819" t="s">
        <v>12813</v>
      </c>
      <c r="H1819" t="s">
        <v>12814</v>
      </c>
      <c r="I1819">
        <f t="shared" ca="1" si="112"/>
        <v>56</v>
      </c>
      <c r="J1819" t="str">
        <f t="shared" ca="1" si="113"/>
        <v>50-59</v>
      </c>
      <c r="K1819">
        <v>76880.44</v>
      </c>
      <c r="L1819" t="str">
        <f>IF(Workforce[[#This Row],[Salary]]&lt;50000,"30k-49k",IF(Workforce[[#This Row],[Salary]]&lt;70000,"50k-69k",IF(Workforce[[#This Row],[Salary]]&lt;90000,"70k-89k","90k+")))</f>
        <v>70k-89k</v>
      </c>
      <c r="M1819" t="s">
        <v>12815</v>
      </c>
      <c r="N1819">
        <f t="shared" ca="1" si="114"/>
        <v>3</v>
      </c>
      <c r="O1819" t="str">
        <f t="shared" ca="1" si="115"/>
        <v>Intermediate level</v>
      </c>
    </row>
    <row r="1820" spans="1:15" x14ac:dyDescent="0.3">
      <c r="A1820" t="s">
        <v>12816</v>
      </c>
      <c r="B1820" t="s">
        <v>12817</v>
      </c>
      <c r="C1820" t="s">
        <v>1004</v>
      </c>
      <c r="D1820" t="s">
        <v>12818</v>
      </c>
      <c r="E1820" t="s">
        <v>12819</v>
      </c>
      <c r="F1820" t="s">
        <v>7234</v>
      </c>
      <c r="G1820" t="s">
        <v>12820</v>
      </c>
      <c r="H1820" t="s">
        <v>12821</v>
      </c>
      <c r="I1820">
        <f t="shared" ca="1" si="112"/>
        <v>45</v>
      </c>
      <c r="J1820" t="str">
        <f t="shared" ca="1" si="113"/>
        <v>40-49</v>
      </c>
      <c r="K1820">
        <v>30685.13</v>
      </c>
      <c r="L1820" t="str">
        <f>IF(Workforce[[#This Row],[Salary]]&lt;50000,"30k-49k",IF(Workforce[[#This Row],[Salary]]&lt;70000,"50k-69k",IF(Workforce[[#This Row],[Salary]]&lt;90000,"70k-89k","90k+")))</f>
        <v>30k-49k</v>
      </c>
      <c r="M1820" t="s">
        <v>12822</v>
      </c>
      <c r="N1820">
        <f t="shared" ca="1" si="114"/>
        <v>7</v>
      </c>
      <c r="O1820" t="str">
        <f t="shared" ca="1" si="115"/>
        <v>Senior level</v>
      </c>
    </row>
    <row r="1821" spans="1:15" x14ac:dyDescent="0.3">
      <c r="A1821" t="s">
        <v>12823</v>
      </c>
      <c r="B1821" t="s">
        <v>12824</v>
      </c>
      <c r="C1821" t="s">
        <v>266</v>
      </c>
      <c r="D1821" t="s">
        <v>12825</v>
      </c>
      <c r="E1821" t="s">
        <v>12826</v>
      </c>
      <c r="F1821" t="s">
        <v>5833</v>
      </c>
      <c r="G1821" t="s">
        <v>12827</v>
      </c>
      <c r="H1821" t="s">
        <v>12828</v>
      </c>
      <c r="I1821">
        <f t="shared" ca="1" si="112"/>
        <v>35</v>
      </c>
      <c r="J1821" t="str">
        <f t="shared" ca="1" si="113"/>
        <v>30-39</v>
      </c>
      <c r="K1821">
        <v>119235.56</v>
      </c>
      <c r="L1821" t="str">
        <f>IF(Workforce[[#This Row],[Salary]]&lt;50000,"30k-49k",IF(Workforce[[#This Row],[Salary]]&lt;70000,"50k-69k",IF(Workforce[[#This Row],[Salary]]&lt;90000,"70k-89k","90k+")))</f>
        <v>90k+</v>
      </c>
      <c r="M1821" t="s">
        <v>2256</v>
      </c>
      <c r="N1821">
        <f t="shared" ca="1" si="114"/>
        <v>5</v>
      </c>
      <c r="O1821" t="str">
        <f t="shared" ca="1" si="115"/>
        <v>Intermediate level</v>
      </c>
    </row>
    <row r="1822" spans="1:15" x14ac:dyDescent="0.3">
      <c r="A1822" t="s">
        <v>12829</v>
      </c>
      <c r="B1822" t="s">
        <v>12830</v>
      </c>
      <c r="C1822" t="s">
        <v>2086</v>
      </c>
      <c r="D1822" t="s">
        <v>12831</v>
      </c>
      <c r="E1822" t="s">
        <v>12832</v>
      </c>
      <c r="F1822" t="s">
        <v>1533</v>
      </c>
      <c r="G1822" t="s">
        <v>12833</v>
      </c>
      <c r="H1822" t="s">
        <v>12834</v>
      </c>
      <c r="I1822">
        <f t="shared" ca="1" si="112"/>
        <v>41</v>
      </c>
      <c r="J1822" t="str">
        <f t="shared" ca="1" si="113"/>
        <v>40-49</v>
      </c>
      <c r="K1822">
        <v>35788.67</v>
      </c>
      <c r="L1822" t="str">
        <f>IF(Workforce[[#This Row],[Salary]]&lt;50000,"30k-49k",IF(Workforce[[#This Row],[Salary]]&lt;70000,"50k-69k",IF(Workforce[[#This Row],[Salary]]&lt;90000,"70k-89k","90k+")))</f>
        <v>30k-49k</v>
      </c>
      <c r="M1822" t="s">
        <v>12835</v>
      </c>
      <c r="N1822">
        <f t="shared" ca="1" si="114"/>
        <v>2</v>
      </c>
      <c r="O1822" t="str">
        <f t="shared" ca="1" si="115"/>
        <v>Beginner</v>
      </c>
    </row>
    <row r="1823" spans="1:15" x14ac:dyDescent="0.3">
      <c r="A1823" t="s">
        <v>12836</v>
      </c>
      <c r="B1823" t="s">
        <v>12837</v>
      </c>
      <c r="C1823" t="s">
        <v>222</v>
      </c>
      <c r="D1823" t="s">
        <v>12838</v>
      </c>
      <c r="E1823" t="s">
        <v>12839</v>
      </c>
      <c r="F1823" t="s">
        <v>460</v>
      </c>
      <c r="G1823" t="s">
        <v>12840</v>
      </c>
      <c r="H1823" t="s">
        <v>1582</v>
      </c>
      <c r="I1823">
        <f t="shared" ca="1" si="112"/>
        <v>65</v>
      </c>
      <c r="J1823" t="str">
        <f t="shared" ca="1" si="113"/>
        <v>60+</v>
      </c>
      <c r="K1823">
        <v>107397.01</v>
      </c>
      <c r="L1823" t="str">
        <f>IF(Workforce[[#This Row],[Salary]]&lt;50000,"30k-49k",IF(Workforce[[#This Row],[Salary]]&lt;70000,"50k-69k",IF(Workforce[[#This Row],[Salary]]&lt;90000,"70k-89k","90k+")))</f>
        <v>90k+</v>
      </c>
      <c r="M1823" t="s">
        <v>4664</v>
      </c>
      <c r="N1823">
        <f t="shared" ca="1" si="114"/>
        <v>10</v>
      </c>
      <c r="O1823" t="str">
        <f t="shared" ca="1" si="115"/>
        <v>Senior level</v>
      </c>
    </row>
    <row r="1824" spans="1:15" x14ac:dyDescent="0.3">
      <c r="A1824" t="s">
        <v>12841</v>
      </c>
      <c r="B1824" t="s">
        <v>12842</v>
      </c>
      <c r="C1824" t="s">
        <v>115</v>
      </c>
      <c r="D1824" t="s">
        <v>12843</v>
      </c>
      <c r="E1824" t="s">
        <v>12844</v>
      </c>
      <c r="F1824" t="s">
        <v>394</v>
      </c>
      <c r="G1824" t="s">
        <v>12845</v>
      </c>
      <c r="H1824" t="s">
        <v>12846</v>
      </c>
      <c r="I1824">
        <f t="shared" ca="1" si="112"/>
        <v>25</v>
      </c>
      <c r="J1824" t="str">
        <f t="shared" ca="1" si="113"/>
        <v>18-29</v>
      </c>
      <c r="K1824">
        <v>84700.62</v>
      </c>
      <c r="L1824" t="str">
        <f>IF(Workforce[[#This Row],[Salary]]&lt;50000,"30k-49k",IF(Workforce[[#This Row],[Salary]]&lt;70000,"50k-69k",IF(Workforce[[#This Row],[Salary]]&lt;90000,"70k-89k","90k+")))</f>
        <v>70k-89k</v>
      </c>
      <c r="M1824" t="s">
        <v>12847</v>
      </c>
      <c r="N1824">
        <f t="shared" ca="1" si="114"/>
        <v>4</v>
      </c>
      <c r="O1824" t="str">
        <f t="shared" ca="1" si="115"/>
        <v>Intermediate level</v>
      </c>
    </row>
    <row r="1825" spans="1:15" x14ac:dyDescent="0.3">
      <c r="A1825" t="s">
        <v>12848</v>
      </c>
      <c r="B1825" t="s">
        <v>12849</v>
      </c>
      <c r="C1825" t="s">
        <v>457</v>
      </c>
      <c r="D1825" t="s">
        <v>12850</v>
      </c>
      <c r="E1825" t="s">
        <v>12851</v>
      </c>
      <c r="F1825" t="s">
        <v>2267</v>
      </c>
      <c r="G1825" t="s">
        <v>12852</v>
      </c>
      <c r="H1825" t="s">
        <v>12853</v>
      </c>
      <c r="I1825">
        <f t="shared" ca="1" si="112"/>
        <v>33</v>
      </c>
      <c r="J1825" t="str">
        <f t="shared" ca="1" si="113"/>
        <v>30-39</v>
      </c>
      <c r="K1825">
        <v>95458.93</v>
      </c>
      <c r="L1825" t="str">
        <f>IF(Workforce[[#This Row],[Salary]]&lt;50000,"30k-49k",IF(Workforce[[#This Row],[Salary]]&lt;70000,"50k-69k",IF(Workforce[[#This Row],[Salary]]&lt;90000,"70k-89k","90k+")))</f>
        <v>90k+</v>
      </c>
      <c r="M1825" t="s">
        <v>8587</v>
      </c>
      <c r="N1825">
        <f t="shared" ca="1" si="114"/>
        <v>9</v>
      </c>
      <c r="O1825" t="str">
        <f t="shared" ca="1" si="115"/>
        <v>Senior level</v>
      </c>
    </row>
    <row r="1826" spans="1:15" x14ac:dyDescent="0.3">
      <c r="A1826" t="s">
        <v>12854</v>
      </c>
      <c r="B1826" t="s">
        <v>12855</v>
      </c>
      <c r="C1826" t="s">
        <v>326</v>
      </c>
      <c r="D1826" t="s">
        <v>12856</v>
      </c>
      <c r="E1826" t="s">
        <v>12857</v>
      </c>
      <c r="F1826" t="s">
        <v>1273</v>
      </c>
      <c r="G1826" t="s">
        <v>12858</v>
      </c>
      <c r="H1826" t="s">
        <v>12859</v>
      </c>
      <c r="I1826">
        <f t="shared" ca="1" si="112"/>
        <v>37</v>
      </c>
      <c r="J1826" t="str">
        <f t="shared" ca="1" si="113"/>
        <v>30-39</v>
      </c>
      <c r="K1826">
        <v>38372.42</v>
      </c>
      <c r="L1826" t="str">
        <f>IF(Workforce[[#This Row],[Salary]]&lt;50000,"30k-49k",IF(Workforce[[#This Row],[Salary]]&lt;70000,"50k-69k",IF(Workforce[[#This Row],[Salary]]&lt;90000,"70k-89k","90k+")))</f>
        <v>30k-49k</v>
      </c>
      <c r="M1826" t="s">
        <v>11296</v>
      </c>
      <c r="N1826">
        <f t="shared" ca="1" si="114"/>
        <v>8</v>
      </c>
      <c r="O1826" t="str">
        <f t="shared" ca="1" si="115"/>
        <v>Senior level</v>
      </c>
    </row>
    <row r="1827" spans="1:15" x14ac:dyDescent="0.3">
      <c r="A1827" t="s">
        <v>12860</v>
      </c>
      <c r="B1827" t="s">
        <v>12861</v>
      </c>
      <c r="C1827" t="s">
        <v>178</v>
      </c>
      <c r="D1827" t="s">
        <v>12862</v>
      </c>
      <c r="E1827" t="s">
        <v>12863</v>
      </c>
      <c r="F1827" t="s">
        <v>12864</v>
      </c>
      <c r="G1827" t="s">
        <v>12865</v>
      </c>
      <c r="H1827" t="s">
        <v>12866</v>
      </c>
      <c r="I1827">
        <f t="shared" ca="1" si="112"/>
        <v>47</v>
      </c>
      <c r="J1827" t="str">
        <f t="shared" ca="1" si="113"/>
        <v>40-49</v>
      </c>
      <c r="K1827">
        <v>89197.21</v>
      </c>
      <c r="L1827" t="str">
        <f>IF(Workforce[[#This Row],[Salary]]&lt;50000,"30k-49k",IF(Workforce[[#This Row],[Salary]]&lt;70000,"50k-69k",IF(Workforce[[#This Row],[Salary]]&lt;90000,"70k-89k","90k+")))</f>
        <v>70k-89k</v>
      </c>
      <c r="M1827" t="s">
        <v>12867</v>
      </c>
      <c r="N1827">
        <f t="shared" ca="1" si="114"/>
        <v>7</v>
      </c>
      <c r="O1827" t="str">
        <f t="shared" ca="1" si="115"/>
        <v>Senior level</v>
      </c>
    </row>
    <row r="1828" spans="1:15" x14ac:dyDescent="0.3">
      <c r="A1828" t="s">
        <v>12868</v>
      </c>
      <c r="B1828" t="s">
        <v>12869</v>
      </c>
      <c r="C1828" t="s">
        <v>178</v>
      </c>
      <c r="D1828" t="s">
        <v>12870</v>
      </c>
      <c r="E1828" t="s">
        <v>12871</v>
      </c>
      <c r="F1828" t="s">
        <v>1872</v>
      </c>
      <c r="G1828" t="s">
        <v>12872</v>
      </c>
      <c r="H1828" t="s">
        <v>12873</v>
      </c>
      <c r="I1828">
        <f t="shared" ca="1" si="112"/>
        <v>28</v>
      </c>
      <c r="J1828" t="str">
        <f t="shared" ca="1" si="113"/>
        <v>18-29</v>
      </c>
      <c r="K1828">
        <v>41362.61</v>
      </c>
      <c r="L1828" t="str">
        <f>IF(Workforce[[#This Row],[Salary]]&lt;50000,"30k-49k",IF(Workforce[[#This Row],[Salary]]&lt;70000,"50k-69k",IF(Workforce[[#This Row],[Salary]]&lt;90000,"70k-89k","90k+")))</f>
        <v>30k-49k</v>
      </c>
      <c r="M1828" t="s">
        <v>12874</v>
      </c>
      <c r="N1828">
        <f t="shared" ca="1" si="114"/>
        <v>5</v>
      </c>
      <c r="O1828" t="str">
        <f t="shared" ca="1" si="115"/>
        <v>Intermediate level</v>
      </c>
    </row>
    <row r="1829" spans="1:15" x14ac:dyDescent="0.3">
      <c r="A1829" t="s">
        <v>12875</v>
      </c>
      <c r="B1829" t="s">
        <v>12876</v>
      </c>
      <c r="C1829" t="s">
        <v>604</v>
      </c>
      <c r="D1829" t="s">
        <v>12877</v>
      </c>
      <c r="E1829" t="s">
        <v>12878</v>
      </c>
      <c r="F1829" t="s">
        <v>2186</v>
      </c>
      <c r="G1829" t="s">
        <v>12879</v>
      </c>
      <c r="H1829" t="s">
        <v>12880</v>
      </c>
      <c r="I1829">
        <f t="shared" ca="1" si="112"/>
        <v>59</v>
      </c>
      <c r="J1829" t="str">
        <f t="shared" ca="1" si="113"/>
        <v>50-59</v>
      </c>
      <c r="K1829">
        <v>83607.899999999994</v>
      </c>
      <c r="L1829" t="str">
        <f>IF(Workforce[[#This Row],[Salary]]&lt;50000,"30k-49k",IF(Workforce[[#This Row],[Salary]]&lt;70000,"50k-69k",IF(Workforce[[#This Row],[Salary]]&lt;90000,"70k-89k","90k+")))</f>
        <v>70k-89k</v>
      </c>
      <c r="M1829" t="s">
        <v>6263</v>
      </c>
      <c r="N1829">
        <f t="shared" ca="1" si="114"/>
        <v>4</v>
      </c>
      <c r="O1829" t="str">
        <f t="shared" ca="1" si="115"/>
        <v>Intermediate level</v>
      </c>
    </row>
    <row r="1830" spans="1:15" x14ac:dyDescent="0.3">
      <c r="A1830" t="s">
        <v>12881</v>
      </c>
      <c r="B1830" t="s">
        <v>12882</v>
      </c>
      <c r="C1830" t="s">
        <v>400</v>
      </c>
      <c r="D1830" t="s">
        <v>12883</v>
      </c>
      <c r="E1830" t="s">
        <v>12884</v>
      </c>
      <c r="F1830" t="s">
        <v>6247</v>
      </c>
      <c r="G1830" t="s">
        <v>12885</v>
      </c>
      <c r="H1830" t="s">
        <v>12886</v>
      </c>
      <c r="I1830">
        <f t="shared" ca="1" si="112"/>
        <v>38</v>
      </c>
      <c r="J1830" t="str">
        <f t="shared" ca="1" si="113"/>
        <v>30-39</v>
      </c>
      <c r="K1830">
        <v>102883.85</v>
      </c>
      <c r="L1830" t="str">
        <f>IF(Workforce[[#This Row],[Salary]]&lt;50000,"30k-49k",IF(Workforce[[#This Row],[Salary]]&lt;70000,"50k-69k",IF(Workforce[[#This Row],[Salary]]&lt;90000,"70k-89k","90k+")))</f>
        <v>90k+</v>
      </c>
      <c r="M1830" t="s">
        <v>12887</v>
      </c>
      <c r="N1830">
        <f t="shared" ca="1" si="114"/>
        <v>9</v>
      </c>
      <c r="O1830" t="str">
        <f t="shared" ca="1" si="115"/>
        <v>Senior level</v>
      </c>
    </row>
    <row r="1831" spans="1:15" x14ac:dyDescent="0.3">
      <c r="A1831" t="s">
        <v>12888</v>
      </c>
      <c r="B1831" t="s">
        <v>12889</v>
      </c>
      <c r="C1831" t="s">
        <v>169</v>
      </c>
      <c r="D1831" t="s">
        <v>12890</v>
      </c>
      <c r="E1831" t="s">
        <v>12891</v>
      </c>
      <c r="F1831" t="s">
        <v>5687</v>
      </c>
      <c r="G1831" t="s">
        <v>12892</v>
      </c>
      <c r="H1831" t="s">
        <v>12893</v>
      </c>
      <c r="I1831">
        <f t="shared" ca="1" si="112"/>
        <v>60</v>
      </c>
      <c r="J1831" t="str">
        <f t="shared" ca="1" si="113"/>
        <v>60+</v>
      </c>
      <c r="K1831">
        <v>112230.57</v>
      </c>
      <c r="L1831" t="str">
        <f>IF(Workforce[[#This Row],[Salary]]&lt;50000,"30k-49k",IF(Workforce[[#This Row],[Salary]]&lt;70000,"50k-69k",IF(Workforce[[#This Row],[Salary]]&lt;90000,"70k-89k","90k+")))</f>
        <v>90k+</v>
      </c>
      <c r="M1831" t="s">
        <v>12894</v>
      </c>
      <c r="N1831">
        <f t="shared" ca="1" si="114"/>
        <v>4</v>
      </c>
      <c r="O1831" t="str">
        <f t="shared" ca="1" si="115"/>
        <v>Intermediate level</v>
      </c>
    </row>
    <row r="1832" spans="1:15" x14ac:dyDescent="0.3">
      <c r="A1832" t="s">
        <v>12895</v>
      </c>
      <c r="B1832" t="s">
        <v>12896</v>
      </c>
      <c r="C1832" t="s">
        <v>17</v>
      </c>
      <c r="D1832" t="s">
        <v>12897</v>
      </c>
      <c r="E1832" t="s">
        <v>12898</v>
      </c>
      <c r="F1832" t="s">
        <v>7071</v>
      </c>
      <c r="G1832" t="s">
        <v>12899</v>
      </c>
      <c r="H1832" t="s">
        <v>12900</v>
      </c>
      <c r="I1832">
        <f t="shared" ca="1" si="112"/>
        <v>41</v>
      </c>
      <c r="J1832" t="str">
        <f t="shared" ca="1" si="113"/>
        <v>40-49</v>
      </c>
      <c r="K1832">
        <v>99296.52</v>
      </c>
      <c r="L1832" t="str">
        <f>IF(Workforce[[#This Row],[Salary]]&lt;50000,"30k-49k",IF(Workforce[[#This Row],[Salary]]&lt;70000,"50k-69k",IF(Workforce[[#This Row],[Salary]]&lt;90000,"70k-89k","90k+")))</f>
        <v>90k+</v>
      </c>
      <c r="M1832" t="s">
        <v>12901</v>
      </c>
      <c r="N1832">
        <f t="shared" ca="1" si="114"/>
        <v>4</v>
      </c>
      <c r="O1832" t="str">
        <f t="shared" ca="1" si="115"/>
        <v>Intermediate level</v>
      </c>
    </row>
    <row r="1833" spans="1:15" x14ac:dyDescent="0.3">
      <c r="A1833" t="s">
        <v>12902</v>
      </c>
      <c r="B1833" t="s">
        <v>12903</v>
      </c>
      <c r="C1833" t="s">
        <v>133</v>
      </c>
      <c r="D1833" t="s">
        <v>12904</v>
      </c>
      <c r="E1833" t="s">
        <v>12905</v>
      </c>
      <c r="F1833" t="s">
        <v>989</v>
      </c>
      <c r="G1833" t="s">
        <v>12906</v>
      </c>
      <c r="H1833" t="s">
        <v>12907</v>
      </c>
      <c r="I1833">
        <f t="shared" ca="1" si="112"/>
        <v>51</v>
      </c>
      <c r="J1833" t="str">
        <f t="shared" ca="1" si="113"/>
        <v>50-59</v>
      </c>
      <c r="K1833">
        <v>118688.25</v>
      </c>
      <c r="L1833" t="str">
        <f>IF(Workforce[[#This Row],[Salary]]&lt;50000,"30k-49k",IF(Workforce[[#This Row],[Salary]]&lt;70000,"50k-69k",IF(Workforce[[#This Row],[Salary]]&lt;90000,"70k-89k","90k+")))</f>
        <v>90k+</v>
      </c>
      <c r="M1833" t="s">
        <v>1126</v>
      </c>
      <c r="N1833">
        <f t="shared" ca="1" si="114"/>
        <v>8</v>
      </c>
      <c r="O1833" t="str">
        <f t="shared" ca="1" si="115"/>
        <v>Senior level</v>
      </c>
    </row>
    <row r="1834" spans="1:15" x14ac:dyDescent="0.3">
      <c r="A1834" t="s">
        <v>12908</v>
      </c>
      <c r="B1834" t="s">
        <v>12909</v>
      </c>
      <c r="C1834" t="s">
        <v>106</v>
      </c>
      <c r="D1834" t="s">
        <v>12910</v>
      </c>
      <c r="E1834" t="s">
        <v>12911</v>
      </c>
      <c r="F1834" t="s">
        <v>5701</v>
      </c>
      <c r="G1834" t="s">
        <v>12912</v>
      </c>
      <c r="H1834" t="s">
        <v>12913</v>
      </c>
      <c r="I1834">
        <f t="shared" ca="1" si="112"/>
        <v>38</v>
      </c>
      <c r="J1834" t="str">
        <f t="shared" ca="1" si="113"/>
        <v>30-39</v>
      </c>
      <c r="K1834">
        <v>61538.39</v>
      </c>
      <c r="L1834" t="str">
        <f>IF(Workforce[[#This Row],[Salary]]&lt;50000,"30k-49k",IF(Workforce[[#This Row],[Salary]]&lt;70000,"50k-69k",IF(Workforce[[#This Row],[Salary]]&lt;90000,"70k-89k","90k+")))</f>
        <v>50k-69k</v>
      </c>
      <c r="M1834" t="s">
        <v>12914</v>
      </c>
      <c r="N1834">
        <f t="shared" ca="1" si="114"/>
        <v>1</v>
      </c>
      <c r="O1834" t="str">
        <f t="shared" ca="1" si="115"/>
        <v>Beginner</v>
      </c>
    </row>
    <row r="1835" spans="1:15" x14ac:dyDescent="0.3">
      <c r="A1835" t="s">
        <v>12915</v>
      </c>
      <c r="B1835" t="s">
        <v>12916</v>
      </c>
      <c r="C1835" t="s">
        <v>457</v>
      </c>
      <c r="D1835" t="s">
        <v>12917</v>
      </c>
      <c r="E1835" t="s">
        <v>12918</v>
      </c>
      <c r="F1835" t="s">
        <v>11622</v>
      </c>
      <c r="G1835" t="s">
        <v>12919</v>
      </c>
      <c r="H1835" t="s">
        <v>12920</v>
      </c>
      <c r="I1835">
        <f t="shared" ca="1" si="112"/>
        <v>19</v>
      </c>
      <c r="J1835" t="str">
        <f t="shared" ca="1" si="113"/>
        <v>18-29</v>
      </c>
      <c r="K1835">
        <v>70117.87</v>
      </c>
      <c r="L1835" t="str">
        <f>IF(Workforce[[#This Row],[Salary]]&lt;50000,"30k-49k",IF(Workforce[[#This Row],[Salary]]&lt;70000,"50k-69k",IF(Workforce[[#This Row],[Salary]]&lt;90000,"70k-89k","90k+")))</f>
        <v>70k-89k</v>
      </c>
      <c r="M1835" t="s">
        <v>12921</v>
      </c>
      <c r="N1835">
        <f t="shared" ca="1" si="114"/>
        <v>2</v>
      </c>
      <c r="O1835" t="str">
        <f t="shared" ca="1" si="115"/>
        <v>Beginner</v>
      </c>
    </row>
    <row r="1836" spans="1:15" x14ac:dyDescent="0.3">
      <c r="A1836" t="s">
        <v>12922</v>
      </c>
      <c r="B1836" t="s">
        <v>12923</v>
      </c>
      <c r="C1836" t="s">
        <v>995</v>
      </c>
      <c r="D1836" t="s">
        <v>12924</v>
      </c>
      <c r="E1836" t="s">
        <v>12925</v>
      </c>
      <c r="F1836" t="s">
        <v>7446</v>
      </c>
      <c r="G1836" t="s">
        <v>12926</v>
      </c>
      <c r="H1836" t="s">
        <v>12927</v>
      </c>
      <c r="I1836">
        <f t="shared" ca="1" si="112"/>
        <v>29</v>
      </c>
      <c r="J1836" t="str">
        <f t="shared" ca="1" si="113"/>
        <v>18-29</v>
      </c>
      <c r="K1836">
        <v>112675.29</v>
      </c>
      <c r="L1836" t="str">
        <f>IF(Workforce[[#This Row],[Salary]]&lt;50000,"30k-49k",IF(Workforce[[#This Row],[Salary]]&lt;70000,"50k-69k",IF(Workforce[[#This Row],[Salary]]&lt;90000,"70k-89k","90k+")))</f>
        <v>90k+</v>
      </c>
      <c r="M1836" t="s">
        <v>4876</v>
      </c>
      <c r="N1836">
        <f t="shared" ca="1" si="114"/>
        <v>5</v>
      </c>
      <c r="O1836" t="str">
        <f t="shared" ca="1" si="115"/>
        <v>Intermediate level</v>
      </c>
    </row>
    <row r="1837" spans="1:15" x14ac:dyDescent="0.3">
      <c r="A1837" t="s">
        <v>12928</v>
      </c>
      <c r="B1837" t="s">
        <v>12929</v>
      </c>
      <c r="C1837" t="s">
        <v>196</v>
      </c>
      <c r="D1837" t="s">
        <v>12930</v>
      </c>
      <c r="E1837" t="s">
        <v>12931</v>
      </c>
      <c r="F1837" t="s">
        <v>2170</v>
      </c>
      <c r="G1837" t="s">
        <v>12932</v>
      </c>
      <c r="H1837" t="s">
        <v>12933</v>
      </c>
      <c r="I1837">
        <f t="shared" ca="1" si="112"/>
        <v>60</v>
      </c>
      <c r="J1837" t="str">
        <f t="shared" ca="1" si="113"/>
        <v>60+</v>
      </c>
      <c r="K1837">
        <v>104504.23</v>
      </c>
      <c r="L1837" t="str">
        <f>IF(Workforce[[#This Row],[Salary]]&lt;50000,"30k-49k",IF(Workforce[[#This Row],[Salary]]&lt;70000,"50k-69k",IF(Workforce[[#This Row],[Salary]]&lt;90000,"70k-89k","90k+")))</f>
        <v>90k+</v>
      </c>
      <c r="M1837" t="s">
        <v>12934</v>
      </c>
      <c r="N1837">
        <f t="shared" ca="1" si="114"/>
        <v>5</v>
      </c>
      <c r="O1837" t="str">
        <f t="shared" ca="1" si="115"/>
        <v>Intermediate level</v>
      </c>
    </row>
    <row r="1838" spans="1:15" x14ac:dyDescent="0.3">
      <c r="A1838" t="s">
        <v>12935</v>
      </c>
      <c r="B1838" t="s">
        <v>12936</v>
      </c>
      <c r="C1838" t="s">
        <v>2086</v>
      </c>
      <c r="D1838" t="s">
        <v>12937</v>
      </c>
      <c r="E1838" t="s">
        <v>12938</v>
      </c>
      <c r="F1838" t="s">
        <v>2416</v>
      </c>
      <c r="G1838" t="s">
        <v>12939</v>
      </c>
      <c r="H1838" t="s">
        <v>12940</v>
      </c>
      <c r="I1838">
        <f t="shared" ca="1" si="112"/>
        <v>61</v>
      </c>
      <c r="J1838" t="str">
        <f t="shared" ca="1" si="113"/>
        <v>60+</v>
      </c>
      <c r="K1838">
        <v>77040.710000000006</v>
      </c>
      <c r="L1838" t="str">
        <f>IF(Workforce[[#This Row],[Salary]]&lt;50000,"30k-49k",IF(Workforce[[#This Row],[Salary]]&lt;70000,"50k-69k",IF(Workforce[[#This Row],[Salary]]&lt;90000,"70k-89k","90k+")))</f>
        <v>70k-89k</v>
      </c>
      <c r="M1838" t="s">
        <v>12941</v>
      </c>
      <c r="N1838">
        <f t="shared" ca="1" si="114"/>
        <v>4</v>
      </c>
      <c r="O1838" t="str">
        <f t="shared" ca="1" si="115"/>
        <v>Intermediate level</v>
      </c>
    </row>
    <row r="1839" spans="1:15" x14ac:dyDescent="0.3">
      <c r="A1839" t="s">
        <v>12942</v>
      </c>
      <c r="B1839" t="s">
        <v>12943</v>
      </c>
      <c r="C1839" t="s">
        <v>151</v>
      </c>
      <c r="D1839" t="s">
        <v>12944</v>
      </c>
      <c r="E1839" t="s">
        <v>12945</v>
      </c>
      <c r="F1839" t="s">
        <v>1053</v>
      </c>
      <c r="G1839" t="s">
        <v>12946</v>
      </c>
      <c r="H1839" t="s">
        <v>12947</v>
      </c>
      <c r="I1839">
        <f t="shared" ca="1" si="112"/>
        <v>20</v>
      </c>
      <c r="J1839" t="str">
        <f t="shared" ca="1" si="113"/>
        <v>18-29</v>
      </c>
      <c r="K1839">
        <v>105245.62</v>
      </c>
      <c r="L1839" t="str">
        <f>IF(Workforce[[#This Row],[Salary]]&lt;50000,"30k-49k",IF(Workforce[[#This Row],[Salary]]&lt;70000,"50k-69k",IF(Workforce[[#This Row],[Salary]]&lt;90000,"70k-89k","90k+")))</f>
        <v>90k+</v>
      </c>
      <c r="M1839" t="s">
        <v>10904</v>
      </c>
      <c r="N1839">
        <f t="shared" ca="1" si="114"/>
        <v>4</v>
      </c>
      <c r="O1839" t="str">
        <f t="shared" ca="1" si="115"/>
        <v>Intermediate level</v>
      </c>
    </row>
    <row r="1840" spans="1:15" x14ac:dyDescent="0.3">
      <c r="A1840" t="s">
        <v>12948</v>
      </c>
      <c r="B1840" t="s">
        <v>12949</v>
      </c>
      <c r="C1840" t="s">
        <v>1004</v>
      </c>
      <c r="D1840" t="s">
        <v>12950</v>
      </c>
      <c r="E1840" t="s">
        <v>12951</v>
      </c>
      <c r="F1840" t="s">
        <v>7035</v>
      </c>
      <c r="G1840" t="s">
        <v>12952</v>
      </c>
      <c r="H1840" t="s">
        <v>12953</v>
      </c>
      <c r="I1840">
        <f t="shared" ca="1" si="112"/>
        <v>66</v>
      </c>
      <c r="J1840" t="str">
        <f t="shared" ca="1" si="113"/>
        <v>60+</v>
      </c>
      <c r="K1840">
        <v>48271.65</v>
      </c>
      <c r="L1840" t="str">
        <f>IF(Workforce[[#This Row],[Salary]]&lt;50000,"30k-49k",IF(Workforce[[#This Row],[Salary]]&lt;70000,"50k-69k",IF(Workforce[[#This Row],[Salary]]&lt;90000,"70k-89k","90k+")))</f>
        <v>30k-49k</v>
      </c>
      <c r="M1840" t="s">
        <v>5238</v>
      </c>
      <c r="N1840">
        <f t="shared" ca="1" si="114"/>
        <v>8</v>
      </c>
      <c r="O1840" t="str">
        <f t="shared" ca="1" si="115"/>
        <v>Senior level</v>
      </c>
    </row>
    <row r="1841" spans="1:15" x14ac:dyDescent="0.3">
      <c r="A1841" t="s">
        <v>12954</v>
      </c>
      <c r="B1841" t="s">
        <v>12955</v>
      </c>
      <c r="C1841" t="s">
        <v>1004</v>
      </c>
      <c r="D1841" t="s">
        <v>12956</v>
      </c>
      <c r="E1841" t="s">
        <v>12957</v>
      </c>
      <c r="F1841" t="s">
        <v>550</v>
      </c>
      <c r="G1841" t="s">
        <v>12958</v>
      </c>
      <c r="H1841" t="s">
        <v>12959</v>
      </c>
      <c r="I1841">
        <f t="shared" ca="1" si="112"/>
        <v>38</v>
      </c>
      <c r="J1841" t="str">
        <f t="shared" ca="1" si="113"/>
        <v>30-39</v>
      </c>
      <c r="K1841">
        <v>32855.129999999997</v>
      </c>
      <c r="L1841" t="str">
        <f>IF(Workforce[[#This Row],[Salary]]&lt;50000,"30k-49k",IF(Workforce[[#This Row],[Salary]]&lt;70000,"50k-69k",IF(Workforce[[#This Row],[Salary]]&lt;90000,"70k-89k","90k+")))</f>
        <v>30k-49k</v>
      </c>
      <c r="M1841" t="s">
        <v>12960</v>
      </c>
      <c r="N1841">
        <f t="shared" ca="1" si="114"/>
        <v>7</v>
      </c>
      <c r="O1841" t="str">
        <f t="shared" ca="1" si="115"/>
        <v>Senior level</v>
      </c>
    </row>
    <row r="1842" spans="1:15" x14ac:dyDescent="0.3">
      <c r="A1842" t="s">
        <v>12961</v>
      </c>
      <c r="B1842" t="s">
        <v>12962</v>
      </c>
      <c r="C1842" t="s">
        <v>257</v>
      </c>
      <c r="D1842" t="s">
        <v>12963</v>
      </c>
      <c r="E1842" t="s">
        <v>12964</v>
      </c>
      <c r="F1842" t="s">
        <v>4895</v>
      </c>
      <c r="G1842" t="s">
        <v>12965</v>
      </c>
      <c r="H1842" t="s">
        <v>12966</v>
      </c>
      <c r="I1842">
        <f t="shared" ca="1" si="112"/>
        <v>48</v>
      </c>
      <c r="J1842" t="str">
        <f t="shared" ca="1" si="113"/>
        <v>40-49</v>
      </c>
      <c r="K1842">
        <v>112918.31</v>
      </c>
      <c r="L1842" t="str">
        <f>IF(Workforce[[#This Row],[Salary]]&lt;50000,"30k-49k",IF(Workforce[[#This Row],[Salary]]&lt;70000,"50k-69k",IF(Workforce[[#This Row],[Salary]]&lt;90000,"70k-89k","90k+")))</f>
        <v>90k+</v>
      </c>
      <c r="M1842" t="s">
        <v>12967</v>
      </c>
      <c r="N1842">
        <f t="shared" ca="1" si="114"/>
        <v>3</v>
      </c>
      <c r="O1842" t="str">
        <f t="shared" ca="1" si="115"/>
        <v>Intermediate level</v>
      </c>
    </row>
    <row r="1843" spans="1:15" x14ac:dyDescent="0.3">
      <c r="A1843" t="s">
        <v>12968</v>
      </c>
      <c r="B1843" t="s">
        <v>12969</v>
      </c>
      <c r="C1843" t="s">
        <v>160</v>
      </c>
      <c r="D1843" t="s">
        <v>12970</v>
      </c>
      <c r="E1843" t="s">
        <v>12971</v>
      </c>
      <c r="F1843" t="s">
        <v>1281</v>
      </c>
      <c r="G1843" t="s">
        <v>304</v>
      </c>
      <c r="H1843" t="s">
        <v>9444</v>
      </c>
      <c r="I1843">
        <f t="shared" ca="1" si="112"/>
        <v>60</v>
      </c>
      <c r="J1843" t="str">
        <f t="shared" ca="1" si="113"/>
        <v>60+</v>
      </c>
      <c r="K1843">
        <v>56148.5</v>
      </c>
      <c r="L1843" t="str">
        <f>IF(Workforce[[#This Row],[Salary]]&lt;50000,"30k-49k",IF(Workforce[[#This Row],[Salary]]&lt;70000,"50k-69k",IF(Workforce[[#This Row],[Salary]]&lt;90000,"70k-89k","90k+")))</f>
        <v>50k-69k</v>
      </c>
      <c r="M1843" t="s">
        <v>11696</v>
      </c>
      <c r="N1843">
        <f t="shared" ca="1" si="114"/>
        <v>10</v>
      </c>
      <c r="O1843" t="str">
        <f t="shared" ca="1" si="115"/>
        <v>Senior level</v>
      </c>
    </row>
    <row r="1844" spans="1:15" x14ac:dyDescent="0.3">
      <c r="A1844" t="s">
        <v>12972</v>
      </c>
      <c r="B1844" t="s">
        <v>12973</v>
      </c>
      <c r="C1844" t="s">
        <v>169</v>
      </c>
      <c r="D1844" t="s">
        <v>12974</v>
      </c>
      <c r="E1844" t="s">
        <v>12975</v>
      </c>
      <c r="F1844" t="s">
        <v>8571</v>
      </c>
      <c r="G1844" t="s">
        <v>2132</v>
      </c>
      <c r="H1844" t="s">
        <v>12976</v>
      </c>
      <c r="I1844">
        <f t="shared" ca="1" si="112"/>
        <v>57</v>
      </c>
      <c r="J1844" t="str">
        <f t="shared" ca="1" si="113"/>
        <v>50-59</v>
      </c>
      <c r="K1844">
        <v>94313.86</v>
      </c>
      <c r="L1844" t="str">
        <f>IF(Workforce[[#This Row],[Salary]]&lt;50000,"30k-49k",IF(Workforce[[#This Row],[Salary]]&lt;70000,"50k-69k",IF(Workforce[[#This Row],[Salary]]&lt;90000,"70k-89k","90k+")))</f>
        <v>90k+</v>
      </c>
      <c r="M1844" t="s">
        <v>10719</v>
      </c>
      <c r="N1844">
        <f t="shared" ca="1" si="114"/>
        <v>6</v>
      </c>
      <c r="O1844" t="str">
        <f t="shared" ca="1" si="115"/>
        <v>Intermediate level</v>
      </c>
    </row>
    <row r="1845" spans="1:15" x14ac:dyDescent="0.3">
      <c r="A1845" t="s">
        <v>12977</v>
      </c>
      <c r="B1845" t="s">
        <v>12978</v>
      </c>
      <c r="C1845" t="s">
        <v>222</v>
      </c>
      <c r="D1845" t="s">
        <v>12979</v>
      </c>
      <c r="E1845" t="s">
        <v>12980</v>
      </c>
      <c r="F1845" t="s">
        <v>1265</v>
      </c>
      <c r="G1845" t="s">
        <v>12981</v>
      </c>
      <c r="H1845" t="s">
        <v>12982</v>
      </c>
      <c r="I1845">
        <f t="shared" ca="1" si="112"/>
        <v>39</v>
      </c>
      <c r="J1845" t="str">
        <f t="shared" ca="1" si="113"/>
        <v>30-39</v>
      </c>
      <c r="K1845">
        <v>106145.61</v>
      </c>
      <c r="L1845" t="str">
        <f>IF(Workforce[[#This Row],[Salary]]&lt;50000,"30k-49k",IF(Workforce[[#This Row],[Salary]]&lt;70000,"50k-69k",IF(Workforce[[#This Row],[Salary]]&lt;90000,"70k-89k","90k+")))</f>
        <v>90k+</v>
      </c>
      <c r="M1845" t="s">
        <v>12983</v>
      </c>
      <c r="N1845">
        <f t="shared" ca="1" si="114"/>
        <v>8</v>
      </c>
      <c r="O1845" t="str">
        <f t="shared" ca="1" si="115"/>
        <v>Senior level</v>
      </c>
    </row>
    <row r="1846" spans="1:15" x14ac:dyDescent="0.3">
      <c r="A1846" t="s">
        <v>12984</v>
      </c>
      <c r="B1846" t="s">
        <v>12985</v>
      </c>
      <c r="C1846" t="s">
        <v>266</v>
      </c>
      <c r="D1846" t="s">
        <v>12986</v>
      </c>
      <c r="E1846" t="s">
        <v>12987</v>
      </c>
      <c r="F1846" t="s">
        <v>1934</v>
      </c>
      <c r="G1846" t="s">
        <v>12988</v>
      </c>
      <c r="H1846" t="s">
        <v>12989</v>
      </c>
      <c r="I1846">
        <f t="shared" ca="1" si="112"/>
        <v>52</v>
      </c>
      <c r="J1846" t="str">
        <f t="shared" ca="1" si="113"/>
        <v>50-59</v>
      </c>
      <c r="K1846">
        <v>117809.91</v>
      </c>
      <c r="L1846" t="str">
        <f>IF(Workforce[[#This Row],[Salary]]&lt;50000,"30k-49k",IF(Workforce[[#This Row],[Salary]]&lt;70000,"50k-69k",IF(Workforce[[#This Row],[Salary]]&lt;90000,"70k-89k","90k+")))</f>
        <v>90k+</v>
      </c>
      <c r="M1846" t="s">
        <v>2015</v>
      </c>
      <c r="N1846">
        <f t="shared" ca="1" si="114"/>
        <v>10</v>
      </c>
      <c r="O1846" t="str">
        <f t="shared" ca="1" si="115"/>
        <v>Senior level</v>
      </c>
    </row>
    <row r="1847" spans="1:15" x14ac:dyDescent="0.3">
      <c r="A1847" t="s">
        <v>12990</v>
      </c>
      <c r="B1847" t="s">
        <v>12991</v>
      </c>
      <c r="C1847" t="s">
        <v>187</v>
      </c>
      <c r="D1847" t="s">
        <v>12992</v>
      </c>
      <c r="E1847" t="s">
        <v>12993</v>
      </c>
      <c r="F1847" t="s">
        <v>1557</v>
      </c>
      <c r="G1847" t="s">
        <v>12994</v>
      </c>
      <c r="H1847" t="s">
        <v>12995</v>
      </c>
      <c r="I1847">
        <f t="shared" ca="1" si="112"/>
        <v>35</v>
      </c>
      <c r="J1847" t="str">
        <f t="shared" ca="1" si="113"/>
        <v>30-39</v>
      </c>
      <c r="K1847">
        <v>80341.13</v>
      </c>
      <c r="L1847" t="str">
        <f>IF(Workforce[[#This Row],[Salary]]&lt;50000,"30k-49k",IF(Workforce[[#This Row],[Salary]]&lt;70000,"50k-69k",IF(Workforce[[#This Row],[Salary]]&lt;90000,"70k-89k","90k+")))</f>
        <v>70k-89k</v>
      </c>
      <c r="M1847" t="s">
        <v>12996</v>
      </c>
      <c r="N1847">
        <f t="shared" ca="1" si="114"/>
        <v>2</v>
      </c>
      <c r="O1847" t="str">
        <f t="shared" ca="1" si="115"/>
        <v>Beginner</v>
      </c>
    </row>
    <row r="1848" spans="1:15" x14ac:dyDescent="0.3">
      <c r="A1848" t="s">
        <v>12997</v>
      </c>
      <c r="B1848" t="s">
        <v>12998</v>
      </c>
      <c r="C1848" t="s">
        <v>457</v>
      </c>
      <c r="D1848" t="s">
        <v>12999</v>
      </c>
      <c r="E1848" t="s">
        <v>13000</v>
      </c>
      <c r="F1848" t="s">
        <v>10080</v>
      </c>
      <c r="G1848" t="s">
        <v>13001</v>
      </c>
      <c r="H1848" t="s">
        <v>13002</v>
      </c>
      <c r="I1848">
        <f t="shared" ca="1" si="112"/>
        <v>25</v>
      </c>
      <c r="J1848" t="str">
        <f t="shared" ca="1" si="113"/>
        <v>18-29</v>
      </c>
      <c r="K1848">
        <v>56938.23</v>
      </c>
      <c r="L1848" t="str">
        <f>IF(Workforce[[#This Row],[Salary]]&lt;50000,"30k-49k",IF(Workforce[[#This Row],[Salary]]&lt;70000,"50k-69k",IF(Workforce[[#This Row],[Salary]]&lt;90000,"70k-89k","90k+")))</f>
        <v>50k-69k</v>
      </c>
      <c r="M1848" t="s">
        <v>7684</v>
      </c>
      <c r="N1848">
        <f t="shared" ca="1" si="114"/>
        <v>6</v>
      </c>
      <c r="O1848" t="str">
        <f t="shared" ca="1" si="115"/>
        <v>Intermediate level</v>
      </c>
    </row>
    <row r="1849" spans="1:15" x14ac:dyDescent="0.3">
      <c r="A1849" t="s">
        <v>13003</v>
      </c>
      <c r="B1849" t="s">
        <v>13004</v>
      </c>
      <c r="C1849" t="s">
        <v>35</v>
      </c>
      <c r="D1849" t="s">
        <v>13005</v>
      </c>
      <c r="E1849" t="s">
        <v>13006</v>
      </c>
      <c r="F1849" t="s">
        <v>8536</v>
      </c>
      <c r="G1849" t="s">
        <v>13007</v>
      </c>
      <c r="H1849" t="s">
        <v>3331</v>
      </c>
      <c r="I1849">
        <f t="shared" ca="1" si="112"/>
        <v>50</v>
      </c>
      <c r="J1849" t="str">
        <f t="shared" ca="1" si="113"/>
        <v>50-59</v>
      </c>
      <c r="K1849">
        <v>62890.36</v>
      </c>
      <c r="L1849" t="str">
        <f>IF(Workforce[[#This Row],[Salary]]&lt;50000,"30k-49k",IF(Workforce[[#This Row],[Salary]]&lt;70000,"50k-69k",IF(Workforce[[#This Row],[Salary]]&lt;90000,"70k-89k","90k+")))</f>
        <v>50k-69k</v>
      </c>
      <c r="M1849" t="s">
        <v>2755</v>
      </c>
      <c r="N1849">
        <f t="shared" ca="1" si="114"/>
        <v>7</v>
      </c>
      <c r="O1849" t="str">
        <f t="shared" ca="1" si="115"/>
        <v>Senior level</v>
      </c>
    </row>
    <row r="1850" spans="1:15" x14ac:dyDescent="0.3">
      <c r="A1850" t="s">
        <v>13008</v>
      </c>
      <c r="B1850" t="s">
        <v>13009</v>
      </c>
      <c r="C1850" t="s">
        <v>440</v>
      </c>
      <c r="D1850" t="s">
        <v>13010</v>
      </c>
      <c r="E1850" t="s">
        <v>13011</v>
      </c>
      <c r="F1850" t="s">
        <v>3191</v>
      </c>
      <c r="G1850" t="s">
        <v>13012</v>
      </c>
      <c r="H1850" t="s">
        <v>13013</v>
      </c>
      <c r="I1850">
        <f t="shared" ca="1" si="112"/>
        <v>58</v>
      </c>
      <c r="J1850" t="str">
        <f t="shared" ca="1" si="113"/>
        <v>50-59</v>
      </c>
      <c r="K1850">
        <v>108905.76</v>
      </c>
      <c r="L1850" t="str">
        <f>IF(Workforce[[#This Row],[Salary]]&lt;50000,"30k-49k",IF(Workforce[[#This Row],[Salary]]&lt;70000,"50k-69k",IF(Workforce[[#This Row],[Salary]]&lt;90000,"70k-89k","90k+")))</f>
        <v>90k+</v>
      </c>
      <c r="M1850" t="s">
        <v>13014</v>
      </c>
      <c r="N1850">
        <f t="shared" ca="1" si="114"/>
        <v>5</v>
      </c>
      <c r="O1850" t="str">
        <f t="shared" ca="1" si="115"/>
        <v>Intermediate level</v>
      </c>
    </row>
    <row r="1851" spans="1:15" x14ac:dyDescent="0.3">
      <c r="A1851" t="s">
        <v>13015</v>
      </c>
      <c r="B1851" t="s">
        <v>13016</v>
      </c>
      <c r="C1851" t="s">
        <v>844</v>
      </c>
      <c r="D1851" t="s">
        <v>13017</v>
      </c>
      <c r="E1851" t="s">
        <v>13018</v>
      </c>
      <c r="F1851" t="s">
        <v>855</v>
      </c>
      <c r="G1851" t="s">
        <v>9339</v>
      </c>
      <c r="H1851" t="s">
        <v>13019</v>
      </c>
      <c r="I1851">
        <f t="shared" ca="1" si="112"/>
        <v>27</v>
      </c>
      <c r="J1851" t="str">
        <f t="shared" ca="1" si="113"/>
        <v>18-29</v>
      </c>
      <c r="K1851">
        <v>86640.19</v>
      </c>
      <c r="L1851" t="str">
        <f>IF(Workforce[[#This Row],[Salary]]&lt;50000,"30k-49k",IF(Workforce[[#This Row],[Salary]]&lt;70000,"50k-69k",IF(Workforce[[#This Row],[Salary]]&lt;90000,"70k-89k","90k+")))</f>
        <v>70k-89k</v>
      </c>
      <c r="M1851" t="s">
        <v>9558</v>
      </c>
      <c r="N1851">
        <f t="shared" ca="1" si="114"/>
        <v>0</v>
      </c>
      <c r="O1851" t="str">
        <f t="shared" ca="1" si="115"/>
        <v>Beginner</v>
      </c>
    </row>
    <row r="1852" spans="1:15" x14ac:dyDescent="0.3">
      <c r="A1852" t="s">
        <v>13020</v>
      </c>
      <c r="B1852" t="s">
        <v>13021</v>
      </c>
      <c r="C1852" t="s">
        <v>1159</v>
      </c>
      <c r="D1852" t="s">
        <v>13022</v>
      </c>
      <c r="E1852" t="s">
        <v>13023</v>
      </c>
      <c r="F1852" t="s">
        <v>9475</v>
      </c>
      <c r="G1852" t="s">
        <v>13024</v>
      </c>
      <c r="H1852" t="s">
        <v>13025</v>
      </c>
      <c r="I1852">
        <f t="shared" ca="1" si="112"/>
        <v>20</v>
      </c>
      <c r="J1852" t="str">
        <f t="shared" ca="1" si="113"/>
        <v>18-29</v>
      </c>
      <c r="K1852">
        <v>117161.96</v>
      </c>
      <c r="L1852" t="str">
        <f>IF(Workforce[[#This Row],[Salary]]&lt;50000,"30k-49k",IF(Workforce[[#This Row],[Salary]]&lt;70000,"50k-69k",IF(Workforce[[#This Row],[Salary]]&lt;90000,"70k-89k","90k+")))</f>
        <v>90k+</v>
      </c>
      <c r="M1852" t="s">
        <v>13026</v>
      </c>
      <c r="N1852">
        <f t="shared" ca="1" si="114"/>
        <v>6</v>
      </c>
      <c r="O1852" t="str">
        <f t="shared" ca="1" si="115"/>
        <v>Intermediate level</v>
      </c>
    </row>
    <row r="1853" spans="1:15" x14ac:dyDescent="0.3">
      <c r="A1853" t="s">
        <v>13027</v>
      </c>
      <c r="B1853" t="s">
        <v>13028</v>
      </c>
      <c r="C1853" t="s">
        <v>1223</v>
      </c>
      <c r="D1853" t="s">
        <v>13029</v>
      </c>
      <c r="E1853" t="s">
        <v>13030</v>
      </c>
      <c r="F1853" t="s">
        <v>1503</v>
      </c>
      <c r="G1853" t="s">
        <v>13031</v>
      </c>
      <c r="H1853" t="s">
        <v>13032</v>
      </c>
      <c r="I1853">
        <f t="shared" ca="1" si="112"/>
        <v>23</v>
      </c>
      <c r="J1853" t="str">
        <f t="shared" ca="1" si="113"/>
        <v>18-29</v>
      </c>
      <c r="K1853">
        <v>44118.239999999998</v>
      </c>
      <c r="L1853" t="str">
        <f>IF(Workforce[[#This Row],[Salary]]&lt;50000,"30k-49k",IF(Workforce[[#This Row],[Salary]]&lt;70000,"50k-69k",IF(Workforce[[#This Row],[Salary]]&lt;90000,"70k-89k","90k+")))</f>
        <v>30k-49k</v>
      </c>
      <c r="M1853" t="s">
        <v>13033</v>
      </c>
      <c r="N1853">
        <f t="shared" ca="1" si="114"/>
        <v>4</v>
      </c>
      <c r="O1853" t="str">
        <f t="shared" ca="1" si="115"/>
        <v>Intermediate level</v>
      </c>
    </row>
    <row r="1854" spans="1:15" x14ac:dyDescent="0.3">
      <c r="A1854" t="s">
        <v>13034</v>
      </c>
      <c r="B1854" t="s">
        <v>13035</v>
      </c>
      <c r="C1854" t="s">
        <v>97</v>
      </c>
      <c r="D1854" t="s">
        <v>13036</v>
      </c>
      <c r="E1854" t="s">
        <v>13037</v>
      </c>
      <c r="F1854" t="s">
        <v>8172</v>
      </c>
      <c r="G1854" t="s">
        <v>13038</v>
      </c>
      <c r="H1854" t="s">
        <v>9411</v>
      </c>
      <c r="I1854">
        <f t="shared" ca="1" si="112"/>
        <v>64</v>
      </c>
      <c r="J1854" t="str">
        <f t="shared" ca="1" si="113"/>
        <v>60+</v>
      </c>
      <c r="K1854">
        <v>62036.53</v>
      </c>
      <c r="L1854" t="str">
        <f>IF(Workforce[[#This Row],[Salary]]&lt;50000,"30k-49k",IF(Workforce[[#This Row],[Salary]]&lt;70000,"50k-69k",IF(Workforce[[#This Row],[Salary]]&lt;90000,"70k-89k","90k+")))</f>
        <v>50k-69k</v>
      </c>
      <c r="M1854" t="s">
        <v>13039</v>
      </c>
      <c r="N1854">
        <f t="shared" ca="1" si="114"/>
        <v>5</v>
      </c>
      <c r="O1854" t="str">
        <f t="shared" ca="1" si="115"/>
        <v>Intermediate level</v>
      </c>
    </row>
    <row r="1855" spans="1:15" x14ac:dyDescent="0.3">
      <c r="A1855" t="s">
        <v>13040</v>
      </c>
      <c r="B1855" t="s">
        <v>13041</v>
      </c>
      <c r="C1855" t="s">
        <v>124</v>
      </c>
      <c r="D1855" t="s">
        <v>13042</v>
      </c>
      <c r="E1855" t="s">
        <v>13043</v>
      </c>
      <c r="F1855" t="s">
        <v>8862</v>
      </c>
      <c r="G1855" t="s">
        <v>13044</v>
      </c>
      <c r="H1855" t="s">
        <v>13045</v>
      </c>
      <c r="I1855">
        <f t="shared" ca="1" si="112"/>
        <v>30</v>
      </c>
      <c r="J1855" t="str">
        <f t="shared" ca="1" si="113"/>
        <v>30-39</v>
      </c>
      <c r="K1855">
        <v>48341.45</v>
      </c>
      <c r="L1855" t="str">
        <f>IF(Workforce[[#This Row],[Salary]]&lt;50000,"30k-49k",IF(Workforce[[#This Row],[Salary]]&lt;70000,"50k-69k",IF(Workforce[[#This Row],[Salary]]&lt;90000,"70k-89k","90k+")))</f>
        <v>30k-49k</v>
      </c>
      <c r="M1855" t="s">
        <v>13046</v>
      </c>
      <c r="N1855">
        <f t="shared" ca="1" si="114"/>
        <v>6</v>
      </c>
      <c r="O1855" t="str">
        <f t="shared" ca="1" si="115"/>
        <v>Intermediate level</v>
      </c>
    </row>
    <row r="1856" spans="1:15" x14ac:dyDescent="0.3">
      <c r="A1856" t="s">
        <v>13047</v>
      </c>
      <c r="B1856" t="s">
        <v>13048</v>
      </c>
      <c r="C1856" t="s">
        <v>26</v>
      </c>
      <c r="D1856" t="s">
        <v>13049</v>
      </c>
      <c r="E1856" t="s">
        <v>13050</v>
      </c>
      <c r="F1856" t="s">
        <v>5394</v>
      </c>
      <c r="G1856" t="s">
        <v>13051</v>
      </c>
      <c r="H1856" t="s">
        <v>13052</v>
      </c>
      <c r="I1856">
        <f t="shared" ca="1" si="112"/>
        <v>32</v>
      </c>
      <c r="J1856" t="str">
        <f t="shared" ca="1" si="113"/>
        <v>30-39</v>
      </c>
      <c r="K1856">
        <v>107936.64</v>
      </c>
      <c r="L1856" t="str">
        <f>IF(Workforce[[#This Row],[Salary]]&lt;50000,"30k-49k",IF(Workforce[[#This Row],[Salary]]&lt;70000,"50k-69k",IF(Workforce[[#This Row],[Salary]]&lt;90000,"70k-89k","90k+")))</f>
        <v>90k+</v>
      </c>
      <c r="M1856" t="s">
        <v>13053</v>
      </c>
      <c r="N1856">
        <f t="shared" ca="1" si="114"/>
        <v>8</v>
      </c>
      <c r="O1856" t="str">
        <f t="shared" ca="1" si="115"/>
        <v>Senior level</v>
      </c>
    </row>
    <row r="1857" spans="1:15" x14ac:dyDescent="0.3">
      <c r="A1857" t="s">
        <v>13054</v>
      </c>
      <c r="B1857" t="s">
        <v>13055</v>
      </c>
      <c r="C1857" t="s">
        <v>106</v>
      </c>
      <c r="D1857" t="s">
        <v>13056</v>
      </c>
      <c r="E1857" t="s">
        <v>13057</v>
      </c>
      <c r="F1857" t="s">
        <v>10284</v>
      </c>
      <c r="G1857" t="s">
        <v>13058</v>
      </c>
      <c r="H1857" t="s">
        <v>13059</v>
      </c>
      <c r="I1857">
        <f t="shared" ca="1" si="112"/>
        <v>51</v>
      </c>
      <c r="J1857" t="str">
        <f t="shared" ca="1" si="113"/>
        <v>50-59</v>
      </c>
      <c r="K1857">
        <v>100419.13</v>
      </c>
      <c r="L1857" t="str">
        <f>IF(Workforce[[#This Row],[Salary]]&lt;50000,"30k-49k",IF(Workforce[[#This Row],[Salary]]&lt;70000,"50k-69k",IF(Workforce[[#This Row],[Salary]]&lt;90000,"70k-89k","90k+")))</f>
        <v>90k+</v>
      </c>
      <c r="M1857" t="s">
        <v>4441</v>
      </c>
      <c r="N1857">
        <f t="shared" ca="1" si="114"/>
        <v>2</v>
      </c>
      <c r="O1857" t="str">
        <f t="shared" ca="1" si="115"/>
        <v>Beginner</v>
      </c>
    </row>
    <row r="1858" spans="1:15" x14ac:dyDescent="0.3">
      <c r="A1858" t="s">
        <v>13060</v>
      </c>
      <c r="B1858" t="s">
        <v>13061</v>
      </c>
      <c r="C1858" t="s">
        <v>2086</v>
      </c>
      <c r="D1858" t="s">
        <v>13062</v>
      </c>
      <c r="E1858" t="s">
        <v>13063</v>
      </c>
      <c r="F1858" t="s">
        <v>1450</v>
      </c>
      <c r="G1858" t="s">
        <v>270</v>
      </c>
      <c r="H1858" t="s">
        <v>13064</v>
      </c>
      <c r="I1858">
        <f t="shared" ref="I1858:I1921" ca="1" si="116">DATEDIF(H1858,TODAY(),"y")</f>
        <v>65</v>
      </c>
      <c r="J1858" t="str">
        <f t="shared" ref="J1858:J1921" ca="1" si="117">IF(I1858&lt;30,"18-29",IF(I1858&lt;40,"30-39",IF(I1858&lt;50,"40-49",IF(I1858&lt;60,"50-59","60+"))))</f>
        <v>60+</v>
      </c>
      <c r="K1858">
        <v>93854.96</v>
      </c>
      <c r="L1858" t="str">
        <f>IF(Workforce[[#This Row],[Salary]]&lt;50000,"30k-49k",IF(Workforce[[#This Row],[Salary]]&lt;70000,"50k-69k",IF(Workforce[[#This Row],[Salary]]&lt;90000,"70k-89k","90k+")))</f>
        <v>90k+</v>
      </c>
      <c r="M1858" t="s">
        <v>11914</v>
      </c>
      <c r="N1858">
        <f t="shared" ref="N1858:N1921" ca="1" si="118">DATEDIF(M1858,TODAY(),"y")</f>
        <v>1</v>
      </c>
      <c r="O1858" t="str">
        <f t="shared" ref="O1858:O1921" ca="1" si="119">IF(N1858&lt;=2,"Beginner",IF(N1858&lt;=6,"Intermediate level","Senior level"))</f>
        <v>Beginner</v>
      </c>
    </row>
    <row r="1859" spans="1:15" x14ac:dyDescent="0.3">
      <c r="A1859" t="s">
        <v>13065</v>
      </c>
      <c r="B1859" t="s">
        <v>13066</v>
      </c>
      <c r="C1859" t="s">
        <v>257</v>
      </c>
      <c r="D1859" t="s">
        <v>13067</v>
      </c>
      <c r="E1859" t="s">
        <v>13068</v>
      </c>
      <c r="F1859" t="s">
        <v>7320</v>
      </c>
      <c r="G1859" t="s">
        <v>5903</v>
      </c>
      <c r="H1859" t="s">
        <v>13069</v>
      </c>
      <c r="I1859">
        <f t="shared" ca="1" si="116"/>
        <v>65</v>
      </c>
      <c r="J1859" t="str">
        <f t="shared" ca="1" si="117"/>
        <v>60+</v>
      </c>
      <c r="K1859">
        <v>49628.33</v>
      </c>
      <c r="L1859" t="str">
        <f>IF(Workforce[[#This Row],[Salary]]&lt;50000,"30k-49k",IF(Workforce[[#This Row],[Salary]]&lt;70000,"50k-69k",IF(Workforce[[#This Row],[Salary]]&lt;90000,"70k-89k","90k+")))</f>
        <v>30k-49k</v>
      </c>
      <c r="M1859" t="s">
        <v>13070</v>
      </c>
      <c r="N1859">
        <f t="shared" ca="1" si="118"/>
        <v>9</v>
      </c>
      <c r="O1859" t="str">
        <f t="shared" ca="1" si="119"/>
        <v>Senior level</v>
      </c>
    </row>
    <row r="1860" spans="1:15" x14ac:dyDescent="0.3">
      <c r="A1860" t="s">
        <v>13071</v>
      </c>
      <c r="B1860" t="s">
        <v>13072</v>
      </c>
      <c r="C1860" t="s">
        <v>79</v>
      </c>
      <c r="D1860" t="s">
        <v>13073</v>
      </c>
      <c r="E1860" t="s">
        <v>13074</v>
      </c>
      <c r="F1860" t="s">
        <v>2051</v>
      </c>
      <c r="G1860" t="s">
        <v>13075</v>
      </c>
      <c r="H1860" t="s">
        <v>13076</v>
      </c>
      <c r="I1860">
        <f t="shared" ca="1" si="116"/>
        <v>24</v>
      </c>
      <c r="J1860" t="str">
        <f t="shared" ca="1" si="117"/>
        <v>18-29</v>
      </c>
      <c r="K1860">
        <v>50207.81</v>
      </c>
      <c r="L1860" t="str">
        <f>IF(Workforce[[#This Row],[Salary]]&lt;50000,"30k-49k",IF(Workforce[[#This Row],[Salary]]&lt;70000,"50k-69k",IF(Workforce[[#This Row],[Salary]]&lt;90000,"70k-89k","90k+")))</f>
        <v>50k-69k</v>
      </c>
      <c r="M1860" t="s">
        <v>13077</v>
      </c>
      <c r="N1860">
        <f t="shared" ca="1" si="118"/>
        <v>1</v>
      </c>
      <c r="O1860" t="str">
        <f t="shared" ca="1" si="119"/>
        <v>Beginner</v>
      </c>
    </row>
    <row r="1861" spans="1:15" x14ac:dyDescent="0.3">
      <c r="A1861" t="s">
        <v>13078</v>
      </c>
      <c r="B1861" t="s">
        <v>13079</v>
      </c>
      <c r="C1861" t="s">
        <v>2086</v>
      </c>
      <c r="D1861" t="s">
        <v>13080</v>
      </c>
      <c r="E1861" t="s">
        <v>13081</v>
      </c>
      <c r="F1861" t="s">
        <v>5477</v>
      </c>
      <c r="G1861" t="s">
        <v>13082</v>
      </c>
      <c r="H1861" t="s">
        <v>13083</v>
      </c>
      <c r="I1861">
        <f t="shared" ca="1" si="116"/>
        <v>49</v>
      </c>
      <c r="J1861" t="str">
        <f t="shared" ca="1" si="117"/>
        <v>40-49</v>
      </c>
      <c r="K1861">
        <v>33321.21</v>
      </c>
      <c r="L1861" t="str">
        <f>IF(Workforce[[#This Row],[Salary]]&lt;50000,"30k-49k",IF(Workforce[[#This Row],[Salary]]&lt;70000,"50k-69k",IF(Workforce[[#This Row],[Salary]]&lt;90000,"70k-89k","90k+")))</f>
        <v>30k-49k</v>
      </c>
      <c r="M1861" t="s">
        <v>13084</v>
      </c>
      <c r="N1861">
        <f t="shared" ca="1" si="118"/>
        <v>8</v>
      </c>
      <c r="O1861" t="str">
        <f t="shared" ca="1" si="119"/>
        <v>Senior level</v>
      </c>
    </row>
    <row r="1862" spans="1:15" x14ac:dyDescent="0.3">
      <c r="A1862" t="s">
        <v>13085</v>
      </c>
      <c r="B1862" t="s">
        <v>13086</v>
      </c>
      <c r="C1862" t="s">
        <v>580</v>
      </c>
      <c r="D1862" t="s">
        <v>13087</v>
      </c>
      <c r="E1862" t="s">
        <v>13088</v>
      </c>
      <c r="F1862" t="s">
        <v>13089</v>
      </c>
      <c r="G1862" t="s">
        <v>13090</v>
      </c>
      <c r="H1862" t="s">
        <v>13091</v>
      </c>
      <c r="I1862">
        <f t="shared" ca="1" si="116"/>
        <v>61</v>
      </c>
      <c r="J1862" t="str">
        <f t="shared" ca="1" si="117"/>
        <v>60+</v>
      </c>
      <c r="K1862">
        <v>116182.16</v>
      </c>
      <c r="L1862" t="str">
        <f>IF(Workforce[[#This Row],[Salary]]&lt;50000,"30k-49k",IF(Workforce[[#This Row],[Salary]]&lt;70000,"50k-69k",IF(Workforce[[#This Row],[Salary]]&lt;90000,"70k-89k","90k+")))</f>
        <v>90k+</v>
      </c>
      <c r="M1862" t="s">
        <v>13092</v>
      </c>
      <c r="N1862">
        <f t="shared" ca="1" si="118"/>
        <v>7</v>
      </c>
      <c r="O1862" t="str">
        <f t="shared" ca="1" si="119"/>
        <v>Senior level</v>
      </c>
    </row>
    <row r="1863" spans="1:15" x14ac:dyDescent="0.3">
      <c r="A1863" t="s">
        <v>13093</v>
      </c>
      <c r="B1863" t="s">
        <v>13094</v>
      </c>
      <c r="C1863" t="s">
        <v>133</v>
      </c>
      <c r="D1863" t="s">
        <v>13095</v>
      </c>
      <c r="E1863" t="s">
        <v>13096</v>
      </c>
      <c r="F1863" t="s">
        <v>672</v>
      </c>
      <c r="G1863" t="s">
        <v>13097</v>
      </c>
      <c r="H1863" t="s">
        <v>13098</v>
      </c>
      <c r="I1863">
        <f t="shared" ca="1" si="116"/>
        <v>64</v>
      </c>
      <c r="J1863" t="str">
        <f t="shared" ca="1" si="117"/>
        <v>60+</v>
      </c>
      <c r="K1863">
        <v>91648.57</v>
      </c>
      <c r="L1863" t="str">
        <f>IF(Workforce[[#This Row],[Salary]]&lt;50000,"30k-49k",IF(Workforce[[#This Row],[Salary]]&lt;70000,"50k-69k",IF(Workforce[[#This Row],[Salary]]&lt;90000,"70k-89k","90k+")))</f>
        <v>90k+</v>
      </c>
      <c r="M1863" t="s">
        <v>13099</v>
      </c>
      <c r="N1863">
        <f t="shared" ca="1" si="118"/>
        <v>7</v>
      </c>
      <c r="O1863" t="str">
        <f t="shared" ca="1" si="119"/>
        <v>Senior level</v>
      </c>
    </row>
    <row r="1864" spans="1:15" x14ac:dyDescent="0.3">
      <c r="A1864" t="s">
        <v>13100</v>
      </c>
      <c r="B1864" t="s">
        <v>13101</v>
      </c>
      <c r="C1864" t="s">
        <v>1004</v>
      </c>
      <c r="D1864" t="s">
        <v>13102</v>
      </c>
      <c r="E1864" t="s">
        <v>13103</v>
      </c>
      <c r="F1864" t="s">
        <v>3141</v>
      </c>
      <c r="G1864" t="s">
        <v>13104</v>
      </c>
      <c r="H1864" t="s">
        <v>13105</v>
      </c>
      <c r="I1864">
        <f t="shared" ca="1" si="116"/>
        <v>18</v>
      </c>
      <c r="J1864" t="str">
        <f t="shared" ca="1" si="117"/>
        <v>18-29</v>
      </c>
      <c r="K1864">
        <v>118056.78</v>
      </c>
      <c r="L1864" t="str">
        <f>IF(Workforce[[#This Row],[Salary]]&lt;50000,"30k-49k",IF(Workforce[[#This Row],[Salary]]&lt;70000,"50k-69k",IF(Workforce[[#This Row],[Salary]]&lt;90000,"70k-89k","90k+")))</f>
        <v>90k+</v>
      </c>
      <c r="M1864" t="s">
        <v>5091</v>
      </c>
      <c r="N1864">
        <f t="shared" ca="1" si="118"/>
        <v>9</v>
      </c>
      <c r="O1864" t="str">
        <f t="shared" ca="1" si="119"/>
        <v>Senior level</v>
      </c>
    </row>
    <row r="1865" spans="1:15" x14ac:dyDescent="0.3">
      <c r="A1865" t="s">
        <v>13106</v>
      </c>
      <c r="B1865" t="s">
        <v>13107</v>
      </c>
      <c r="C1865" t="s">
        <v>326</v>
      </c>
      <c r="D1865" t="s">
        <v>13108</v>
      </c>
      <c r="E1865" t="s">
        <v>13109</v>
      </c>
      <c r="F1865" t="s">
        <v>493</v>
      </c>
      <c r="G1865" t="s">
        <v>13110</v>
      </c>
      <c r="H1865" t="s">
        <v>13111</v>
      </c>
      <c r="I1865">
        <f t="shared" ca="1" si="116"/>
        <v>29</v>
      </c>
      <c r="J1865" t="str">
        <f t="shared" ca="1" si="117"/>
        <v>18-29</v>
      </c>
      <c r="K1865">
        <v>109229.22</v>
      </c>
      <c r="L1865" t="str">
        <f>IF(Workforce[[#This Row],[Salary]]&lt;50000,"30k-49k",IF(Workforce[[#This Row],[Salary]]&lt;70000,"50k-69k",IF(Workforce[[#This Row],[Salary]]&lt;90000,"70k-89k","90k+")))</f>
        <v>90k+</v>
      </c>
      <c r="M1865" t="s">
        <v>13112</v>
      </c>
      <c r="N1865">
        <f t="shared" ca="1" si="118"/>
        <v>8</v>
      </c>
      <c r="O1865" t="str">
        <f t="shared" ca="1" si="119"/>
        <v>Senior level</v>
      </c>
    </row>
    <row r="1866" spans="1:15" x14ac:dyDescent="0.3">
      <c r="A1866" t="s">
        <v>13113</v>
      </c>
      <c r="B1866" t="s">
        <v>13114</v>
      </c>
      <c r="C1866" t="s">
        <v>317</v>
      </c>
      <c r="D1866" t="s">
        <v>13115</v>
      </c>
      <c r="E1866" t="s">
        <v>13116</v>
      </c>
      <c r="F1866" t="s">
        <v>13117</v>
      </c>
      <c r="G1866" t="s">
        <v>13118</v>
      </c>
      <c r="H1866" t="s">
        <v>13119</v>
      </c>
      <c r="I1866">
        <f t="shared" ca="1" si="116"/>
        <v>20</v>
      </c>
      <c r="J1866" t="str">
        <f t="shared" ca="1" si="117"/>
        <v>18-29</v>
      </c>
      <c r="K1866">
        <v>79769.13</v>
      </c>
      <c r="L1866" t="str">
        <f>IF(Workforce[[#This Row],[Salary]]&lt;50000,"30k-49k",IF(Workforce[[#This Row],[Salary]]&lt;70000,"50k-69k",IF(Workforce[[#This Row],[Salary]]&lt;90000,"70k-89k","90k+")))</f>
        <v>70k-89k</v>
      </c>
      <c r="M1866" t="s">
        <v>13120</v>
      </c>
      <c r="N1866">
        <f t="shared" ca="1" si="118"/>
        <v>6</v>
      </c>
      <c r="O1866" t="str">
        <f t="shared" ca="1" si="119"/>
        <v>Intermediate level</v>
      </c>
    </row>
    <row r="1867" spans="1:15" x14ac:dyDescent="0.3">
      <c r="A1867" t="s">
        <v>13121</v>
      </c>
      <c r="B1867" t="s">
        <v>13122</v>
      </c>
      <c r="C1867" t="s">
        <v>539</v>
      </c>
      <c r="D1867" t="s">
        <v>13123</v>
      </c>
      <c r="E1867" t="s">
        <v>13124</v>
      </c>
      <c r="F1867" t="s">
        <v>1418</v>
      </c>
      <c r="G1867" t="s">
        <v>13125</v>
      </c>
      <c r="H1867" t="s">
        <v>13126</v>
      </c>
      <c r="I1867">
        <f t="shared" ca="1" si="116"/>
        <v>28</v>
      </c>
      <c r="J1867" t="str">
        <f t="shared" ca="1" si="117"/>
        <v>18-29</v>
      </c>
      <c r="K1867">
        <v>98414.88</v>
      </c>
      <c r="L1867" t="str">
        <f>IF(Workforce[[#This Row],[Salary]]&lt;50000,"30k-49k",IF(Workforce[[#This Row],[Salary]]&lt;70000,"50k-69k",IF(Workforce[[#This Row],[Salary]]&lt;90000,"70k-89k","90k+")))</f>
        <v>90k+</v>
      </c>
      <c r="M1867" t="s">
        <v>13127</v>
      </c>
      <c r="N1867">
        <f t="shared" ca="1" si="118"/>
        <v>0</v>
      </c>
      <c r="O1867" t="str">
        <f t="shared" ca="1" si="119"/>
        <v>Beginner</v>
      </c>
    </row>
    <row r="1868" spans="1:15" x14ac:dyDescent="0.3">
      <c r="A1868" t="s">
        <v>13128</v>
      </c>
      <c r="B1868" t="s">
        <v>13129</v>
      </c>
      <c r="C1868" t="s">
        <v>61</v>
      </c>
      <c r="D1868" t="s">
        <v>13130</v>
      </c>
      <c r="E1868" t="s">
        <v>13131</v>
      </c>
      <c r="F1868" t="s">
        <v>6684</v>
      </c>
      <c r="G1868" t="s">
        <v>13132</v>
      </c>
      <c r="H1868" t="s">
        <v>13133</v>
      </c>
      <c r="I1868">
        <f t="shared" ca="1" si="116"/>
        <v>20</v>
      </c>
      <c r="J1868" t="str">
        <f t="shared" ca="1" si="117"/>
        <v>18-29</v>
      </c>
      <c r="K1868">
        <v>61034.12</v>
      </c>
      <c r="L1868" t="str">
        <f>IF(Workforce[[#This Row],[Salary]]&lt;50000,"30k-49k",IF(Workforce[[#This Row],[Salary]]&lt;70000,"50k-69k",IF(Workforce[[#This Row],[Salary]]&lt;90000,"70k-89k","90k+")))</f>
        <v>50k-69k</v>
      </c>
      <c r="M1868" t="s">
        <v>12427</v>
      </c>
      <c r="N1868">
        <f t="shared" ca="1" si="118"/>
        <v>0</v>
      </c>
      <c r="O1868" t="str">
        <f t="shared" ca="1" si="119"/>
        <v>Beginner</v>
      </c>
    </row>
    <row r="1869" spans="1:15" x14ac:dyDescent="0.3">
      <c r="A1869" t="s">
        <v>13134</v>
      </c>
      <c r="B1869" t="s">
        <v>13135</v>
      </c>
      <c r="C1869" t="s">
        <v>142</v>
      </c>
      <c r="D1869" t="s">
        <v>13136</v>
      </c>
      <c r="E1869" t="s">
        <v>13137</v>
      </c>
      <c r="F1869" t="s">
        <v>1896</v>
      </c>
      <c r="G1869" t="s">
        <v>13138</v>
      </c>
      <c r="H1869" t="s">
        <v>13139</v>
      </c>
      <c r="I1869">
        <f t="shared" ca="1" si="116"/>
        <v>39</v>
      </c>
      <c r="J1869" t="str">
        <f t="shared" ca="1" si="117"/>
        <v>30-39</v>
      </c>
      <c r="K1869">
        <v>43447.93</v>
      </c>
      <c r="L1869" t="str">
        <f>IF(Workforce[[#This Row],[Salary]]&lt;50000,"30k-49k",IF(Workforce[[#This Row],[Salary]]&lt;70000,"50k-69k",IF(Workforce[[#This Row],[Salary]]&lt;90000,"70k-89k","90k+")))</f>
        <v>30k-49k</v>
      </c>
      <c r="M1869" t="s">
        <v>7718</v>
      </c>
      <c r="N1869">
        <f t="shared" ca="1" si="118"/>
        <v>1</v>
      </c>
      <c r="O1869" t="str">
        <f t="shared" ca="1" si="119"/>
        <v>Beginner</v>
      </c>
    </row>
    <row r="1870" spans="1:15" x14ac:dyDescent="0.3">
      <c r="A1870" t="s">
        <v>13140</v>
      </c>
      <c r="B1870" t="s">
        <v>13141</v>
      </c>
      <c r="C1870" t="s">
        <v>457</v>
      </c>
      <c r="D1870" t="s">
        <v>13142</v>
      </c>
      <c r="E1870" t="s">
        <v>13143</v>
      </c>
      <c r="F1870" t="s">
        <v>4459</v>
      </c>
      <c r="G1870" t="s">
        <v>13144</v>
      </c>
      <c r="H1870" t="s">
        <v>13145</v>
      </c>
      <c r="I1870">
        <f t="shared" ca="1" si="116"/>
        <v>59</v>
      </c>
      <c r="J1870" t="str">
        <f t="shared" ca="1" si="117"/>
        <v>50-59</v>
      </c>
      <c r="K1870">
        <v>63660.18</v>
      </c>
      <c r="L1870" t="str">
        <f>IF(Workforce[[#This Row],[Salary]]&lt;50000,"30k-49k",IF(Workforce[[#This Row],[Salary]]&lt;70000,"50k-69k",IF(Workforce[[#This Row],[Salary]]&lt;90000,"70k-89k","90k+")))</f>
        <v>50k-69k</v>
      </c>
      <c r="M1870" t="s">
        <v>13146</v>
      </c>
      <c r="N1870">
        <f t="shared" ca="1" si="118"/>
        <v>8</v>
      </c>
      <c r="O1870" t="str">
        <f t="shared" ca="1" si="119"/>
        <v>Senior level</v>
      </c>
    </row>
    <row r="1871" spans="1:15" x14ac:dyDescent="0.3">
      <c r="A1871" t="s">
        <v>13147</v>
      </c>
      <c r="B1871" t="s">
        <v>13148</v>
      </c>
      <c r="C1871" t="s">
        <v>844</v>
      </c>
      <c r="D1871" t="s">
        <v>13149</v>
      </c>
      <c r="E1871" t="s">
        <v>13150</v>
      </c>
      <c r="F1871" t="s">
        <v>8805</v>
      </c>
      <c r="G1871" t="s">
        <v>13151</v>
      </c>
      <c r="H1871" t="s">
        <v>13152</v>
      </c>
      <c r="I1871">
        <f t="shared" ca="1" si="116"/>
        <v>39</v>
      </c>
      <c r="J1871" t="str">
        <f t="shared" ca="1" si="117"/>
        <v>30-39</v>
      </c>
      <c r="K1871">
        <v>40489.300000000003</v>
      </c>
      <c r="L1871" t="str">
        <f>IF(Workforce[[#This Row],[Salary]]&lt;50000,"30k-49k",IF(Workforce[[#This Row],[Salary]]&lt;70000,"50k-69k",IF(Workforce[[#This Row],[Salary]]&lt;90000,"70k-89k","90k+")))</f>
        <v>30k-49k</v>
      </c>
      <c r="M1871" t="s">
        <v>13153</v>
      </c>
      <c r="N1871">
        <f t="shared" ca="1" si="118"/>
        <v>9</v>
      </c>
      <c r="O1871" t="str">
        <f t="shared" ca="1" si="119"/>
        <v>Senior level</v>
      </c>
    </row>
    <row r="1872" spans="1:15" x14ac:dyDescent="0.3">
      <c r="A1872" t="s">
        <v>13154</v>
      </c>
      <c r="B1872" t="s">
        <v>13155</v>
      </c>
      <c r="C1872" t="s">
        <v>317</v>
      </c>
      <c r="D1872" t="s">
        <v>13156</v>
      </c>
      <c r="E1872" t="s">
        <v>13157</v>
      </c>
      <c r="F1872" t="s">
        <v>4941</v>
      </c>
      <c r="G1872" t="s">
        <v>13158</v>
      </c>
      <c r="H1872" t="s">
        <v>13159</v>
      </c>
      <c r="I1872">
        <f t="shared" ca="1" si="116"/>
        <v>52</v>
      </c>
      <c r="J1872" t="str">
        <f t="shared" ca="1" si="117"/>
        <v>50-59</v>
      </c>
      <c r="K1872">
        <v>58657.58</v>
      </c>
      <c r="L1872" t="str">
        <f>IF(Workforce[[#This Row],[Salary]]&lt;50000,"30k-49k",IF(Workforce[[#This Row],[Salary]]&lt;70000,"50k-69k",IF(Workforce[[#This Row],[Salary]]&lt;90000,"70k-89k","90k+")))</f>
        <v>50k-69k</v>
      </c>
      <c r="M1872" t="s">
        <v>13160</v>
      </c>
      <c r="N1872">
        <f t="shared" ca="1" si="118"/>
        <v>3</v>
      </c>
      <c r="O1872" t="str">
        <f t="shared" ca="1" si="119"/>
        <v>Intermediate level</v>
      </c>
    </row>
    <row r="1873" spans="1:15" x14ac:dyDescent="0.3">
      <c r="A1873" t="s">
        <v>13161</v>
      </c>
      <c r="B1873" t="s">
        <v>13162</v>
      </c>
      <c r="C1873" t="s">
        <v>222</v>
      </c>
      <c r="D1873" t="s">
        <v>13163</v>
      </c>
      <c r="E1873" t="s">
        <v>13164</v>
      </c>
      <c r="F1873" t="s">
        <v>1757</v>
      </c>
      <c r="G1873" t="s">
        <v>13165</v>
      </c>
      <c r="H1873" t="s">
        <v>13166</v>
      </c>
      <c r="I1873">
        <f t="shared" ca="1" si="116"/>
        <v>53</v>
      </c>
      <c r="J1873" t="str">
        <f t="shared" ca="1" si="117"/>
        <v>50-59</v>
      </c>
      <c r="K1873">
        <v>66143.679999999993</v>
      </c>
      <c r="L1873" t="str">
        <f>IF(Workforce[[#This Row],[Salary]]&lt;50000,"30k-49k",IF(Workforce[[#This Row],[Salary]]&lt;70000,"50k-69k",IF(Workforce[[#This Row],[Salary]]&lt;90000,"70k-89k","90k+")))</f>
        <v>50k-69k</v>
      </c>
      <c r="M1873" t="s">
        <v>13167</v>
      </c>
      <c r="N1873">
        <f t="shared" ca="1" si="118"/>
        <v>4</v>
      </c>
      <c r="O1873" t="str">
        <f t="shared" ca="1" si="119"/>
        <v>Intermediate level</v>
      </c>
    </row>
    <row r="1874" spans="1:15" x14ac:dyDescent="0.3">
      <c r="A1874" t="s">
        <v>13168</v>
      </c>
      <c r="B1874" t="s">
        <v>13169</v>
      </c>
      <c r="C1874" t="s">
        <v>35</v>
      </c>
      <c r="D1874" t="s">
        <v>13170</v>
      </c>
      <c r="E1874" t="s">
        <v>13171</v>
      </c>
      <c r="F1874" t="s">
        <v>1061</v>
      </c>
      <c r="G1874" t="s">
        <v>13172</v>
      </c>
      <c r="H1874" t="s">
        <v>13173</v>
      </c>
      <c r="I1874">
        <f t="shared" ca="1" si="116"/>
        <v>24</v>
      </c>
      <c r="J1874" t="str">
        <f t="shared" ca="1" si="117"/>
        <v>18-29</v>
      </c>
      <c r="K1874">
        <v>70407.600000000006</v>
      </c>
      <c r="L1874" t="str">
        <f>IF(Workforce[[#This Row],[Salary]]&lt;50000,"30k-49k",IF(Workforce[[#This Row],[Salary]]&lt;70000,"50k-69k",IF(Workforce[[#This Row],[Salary]]&lt;90000,"70k-89k","90k+")))</f>
        <v>70k-89k</v>
      </c>
      <c r="M1874" t="s">
        <v>13174</v>
      </c>
      <c r="N1874">
        <f t="shared" ca="1" si="118"/>
        <v>2</v>
      </c>
      <c r="O1874" t="str">
        <f t="shared" ca="1" si="119"/>
        <v>Beginner</v>
      </c>
    </row>
    <row r="1875" spans="1:15" x14ac:dyDescent="0.3">
      <c r="A1875" t="s">
        <v>13175</v>
      </c>
      <c r="B1875" t="s">
        <v>13176</v>
      </c>
      <c r="C1875" t="s">
        <v>231</v>
      </c>
      <c r="D1875" t="s">
        <v>13177</v>
      </c>
      <c r="E1875" t="s">
        <v>13178</v>
      </c>
      <c r="F1875" t="s">
        <v>4757</v>
      </c>
      <c r="G1875" t="s">
        <v>13179</v>
      </c>
      <c r="H1875" t="s">
        <v>13180</v>
      </c>
      <c r="I1875">
        <f t="shared" ca="1" si="116"/>
        <v>36</v>
      </c>
      <c r="J1875" t="str">
        <f t="shared" ca="1" si="117"/>
        <v>30-39</v>
      </c>
      <c r="K1875">
        <v>82841.13</v>
      </c>
      <c r="L1875" t="str">
        <f>IF(Workforce[[#This Row],[Salary]]&lt;50000,"30k-49k",IF(Workforce[[#This Row],[Salary]]&lt;70000,"50k-69k",IF(Workforce[[#This Row],[Salary]]&lt;90000,"70k-89k","90k+")))</f>
        <v>70k-89k</v>
      </c>
      <c r="M1875" t="s">
        <v>13181</v>
      </c>
      <c r="N1875">
        <f t="shared" ca="1" si="118"/>
        <v>9</v>
      </c>
      <c r="O1875" t="str">
        <f t="shared" ca="1" si="119"/>
        <v>Senior level</v>
      </c>
    </row>
    <row r="1876" spans="1:15" x14ac:dyDescent="0.3">
      <c r="A1876" t="s">
        <v>13182</v>
      </c>
      <c r="B1876" t="s">
        <v>13183</v>
      </c>
      <c r="C1876" t="s">
        <v>457</v>
      </c>
      <c r="D1876" t="s">
        <v>13184</v>
      </c>
      <c r="E1876" t="s">
        <v>13185</v>
      </c>
      <c r="F1876" t="s">
        <v>6993</v>
      </c>
      <c r="G1876" t="s">
        <v>13186</v>
      </c>
      <c r="H1876" t="s">
        <v>10845</v>
      </c>
      <c r="I1876">
        <f t="shared" ca="1" si="116"/>
        <v>60</v>
      </c>
      <c r="J1876" t="str">
        <f t="shared" ca="1" si="117"/>
        <v>60+</v>
      </c>
      <c r="K1876">
        <v>49660.46</v>
      </c>
      <c r="L1876" t="str">
        <f>IF(Workforce[[#This Row],[Salary]]&lt;50000,"30k-49k",IF(Workforce[[#This Row],[Salary]]&lt;70000,"50k-69k",IF(Workforce[[#This Row],[Salary]]&lt;90000,"70k-89k","90k+")))</f>
        <v>30k-49k</v>
      </c>
      <c r="M1876" t="s">
        <v>13187</v>
      </c>
      <c r="N1876">
        <f t="shared" ca="1" si="118"/>
        <v>4</v>
      </c>
      <c r="O1876" t="str">
        <f t="shared" ca="1" si="119"/>
        <v>Intermediate level</v>
      </c>
    </row>
    <row r="1877" spans="1:15" x14ac:dyDescent="0.3">
      <c r="A1877" t="s">
        <v>13188</v>
      </c>
      <c r="B1877" t="s">
        <v>13189</v>
      </c>
      <c r="C1877" t="s">
        <v>1043</v>
      </c>
      <c r="D1877" t="s">
        <v>13190</v>
      </c>
      <c r="E1877" t="s">
        <v>13191</v>
      </c>
      <c r="F1877" t="s">
        <v>3064</v>
      </c>
      <c r="G1877" t="s">
        <v>9106</v>
      </c>
      <c r="H1877" t="s">
        <v>13192</v>
      </c>
      <c r="I1877">
        <f t="shared" ca="1" si="116"/>
        <v>56</v>
      </c>
      <c r="J1877" t="str">
        <f t="shared" ca="1" si="117"/>
        <v>50-59</v>
      </c>
      <c r="K1877">
        <v>68660.14</v>
      </c>
      <c r="L1877" t="str">
        <f>IF(Workforce[[#This Row],[Salary]]&lt;50000,"30k-49k",IF(Workforce[[#This Row],[Salary]]&lt;70000,"50k-69k",IF(Workforce[[#This Row],[Salary]]&lt;90000,"70k-89k","90k+")))</f>
        <v>50k-69k</v>
      </c>
      <c r="M1877" t="s">
        <v>2331</v>
      </c>
      <c r="N1877">
        <f t="shared" ca="1" si="118"/>
        <v>2</v>
      </c>
      <c r="O1877" t="str">
        <f t="shared" ca="1" si="119"/>
        <v>Beginner</v>
      </c>
    </row>
    <row r="1878" spans="1:15" x14ac:dyDescent="0.3">
      <c r="A1878" t="s">
        <v>13193</v>
      </c>
      <c r="B1878" t="s">
        <v>13194</v>
      </c>
      <c r="C1878" t="s">
        <v>1004</v>
      </c>
      <c r="D1878" t="s">
        <v>13195</v>
      </c>
      <c r="E1878" t="s">
        <v>13196</v>
      </c>
      <c r="F1878" t="s">
        <v>4895</v>
      </c>
      <c r="G1878" t="s">
        <v>13197</v>
      </c>
      <c r="H1878" t="s">
        <v>13198</v>
      </c>
      <c r="I1878">
        <f t="shared" ca="1" si="116"/>
        <v>25</v>
      </c>
      <c r="J1878" t="str">
        <f t="shared" ca="1" si="117"/>
        <v>18-29</v>
      </c>
      <c r="K1878">
        <v>67506.09</v>
      </c>
      <c r="L1878" t="str">
        <f>IF(Workforce[[#This Row],[Salary]]&lt;50000,"30k-49k",IF(Workforce[[#This Row],[Salary]]&lt;70000,"50k-69k",IF(Workforce[[#This Row],[Salary]]&lt;90000,"70k-89k","90k+")))</f>
        <v>50k-69k</v>
      </c>
      <c r="M1878" t="s">
        <v>13199</v>
      </c>
      <c r="N1878">
        <f t="shared" ca="1" si="118"/>
        <v>10</v>
      </c>
      <c r="O1878" t="str">
        <f t="shared" ca="1" si="119"/>
        <v>Senior level</v>
      </c>
    </row>
    <row r="1879" spans="1:15" x14ac:dyDescent="0.3">
      <c r="A1879" t="s">
        <v>13200</v>
      </c>
      <c r="B1879" t="s">
        <v>13201</v>
      </c>
      <c r="C1879" t="s">
        <v>326</v>
      </c>
      <c r="D1879" t="s">
        <v>13202</v>
      </c>
      <c r="E1879" t="s">
        <v>13203</v>
      </c>
      <c r="F1879" t="s">
        <v>5416</v>
      </c>
      <c r="G1879" t="s">
        <v>13204</v>
      </c>
      <c r="H1879" t="s">
        <v>13205</v>
      </c>
      <c r="I1879">
        <f t="shared" ca="1" si="116"/>
        <v>59</v>
      </c>
      <c r="J1879" t="str">
        <f t="shared" ca="1" si="117"/>
        <v>50-59</v>
      </c>
      <c r="K1879">
        <v>52441.51</v>
      </c>
      <c r="L1879" t="str">
        <f>IF(Workforce[[#This Row],[Salary]]&lt;50000,"30k-49k",IF(Workforce[[#This Row],[Salary]]&lt;70000,"50k-69k",IF(Workforce[[#This Row],[Salary]]&lt;90000,"70k-89k","90k+")))</f>
        <v>50k-69k</v>
      </c>
      <c r="M1879" t="s">
        <v>11329</v>
      </c>
      <c r="N1879">
        <f t="shared" ca="1" si="118"/>
        <v>9</v>
      </c>
      <c r="O1879" t="str">
        <f t="shared" ca="1" si="119"/>
        <v>Senior level</v>
      </c>
    </row>
    <row r="1880" spans="1:15" x14ac:dyDescent="0.3">
      <c r="A1880" t="s">
        <v>13206</v>
      </c>
      <c r="B1880" t="s">
        <v>13207</v>
      </c>
      <c r="C1880" t="s">
        <v>196</v>
      </c>
      <c r="D1880" t="s">
        <v>13208</v>
      </c>
      <c r="E1880" t="s">
        <v>13209</v>
      </c>
      <c r="F1880" t="s">
        <v>47</v>
      </c>
      <c r="G1880" t="s">
        <v>13210</v>
      </c>
      <c r="H1880" t="s">
        <v>13211</v>
      </c>
      <c r="I1880">
        <f t="shared" ca="1" si="116"/>
        <v>32</v>
      </c>
      <c r="J1880" t="str">
        <f t="shared" ca="1" si="117"/>
        <v>30-39</v>
      </c>
      <c r="K1880">
        <v>65968.72</v>
      </c>
      <c r="L1880" t="str">
        <f>IF(Workforce[[#This Row],[Salary]]&lt;50000,"30k-49k",IF(Workforce[[#This Row],[Salary]]&lt;70000,"50k-69k",IF(Workforce[[#This Row],[Salary]]&lt;90000,"70k-89k","90k+")))</f>
        <v>50k-69k</v>
      </c>
      <c r="M1880" t="s">
        <v>13212</v>
      </c>
      <c r="N1880">
        <f t="shared" ca="1" si="118"/>
        <v>6</v>
      </c>
      <c r="O1880" t="str">
        <f t="shared" ca="1" si="119"/>
        <v>Intermediate level</v>
      </c>
    </row>
    <row r="1881" spans="1:15" x14ac:dyDescent="0.3">
      <c r="A1881" t="s">
        <v>13213</v>
      </c>
      <c r="B1881" t="s">
        <v>13214</v>
      </c>
      <c r="C1881" t="s">
        <v>142</v>
      </c>
      <c r="D1881" t="s">
        <v>13215</v>
      </c>
      <c r="E1881" t="s">
        <v>13216</v>
      </c>
      <c r="F1881" t="s">
        <v>4538</v>
      </c>
      <c r="G1881" t="s">
        <v>13217</v>
      </c>
      <c r="H1881" t="s">
        <v>13218</v>
      </c>
      <c r="I1881">
        <f t="shared" ca="1" si="116"/>
        <v>41</v>
      </c>
      <c r="J1881" t="str">
        <f t="shared" ca="1" si="117"/>
        <v>40-49</v>
      </c>
      <c r="K1881">
        <v>36512.99</v>
      </c>
      <c r="L1881" t="str">
        <f>IF(Workforce[[#This Row],[Salary]]&lt;50000,"30k-49k",IF(Workforce[[#This Row],[Salary]]&lt;70000,"50k-69k",IF(Workforce[[#This Row],[Salary]]&lt;90000,"70k-89k","90k+")))</f>
        <v>30k-49k</v>
      </c>
      <c r="M1881" t="s">
        <v>13219</v>
      </c>
      <c r="N1881">
        <f t="shared" ca="1" si="118"/>
        <v>3</v>
      </c>
      <c r="O1881" t="str">
        <f t="shared" ca="1" si="119"/>
        <v>Intermediate level</v>
      </c>
    </row>
    <row r="1882" spans="1:15" x14ac:dyDescent="0.3">
      <c r="A1882" t="s">
        <v>13220</v>
      </c>
      <c r="B1882" t="s">
        <v>13221</v>
      </c>
      <c r="C1882" t="s">
        <v>169</v>
      </c>
      <c r="D1882" t="s">
        <v>13222</v>
      </c>
      <c r="E1882" t="s">
        <v>13223</v>
      </c>
      <c r="F1882" t="s">
        <v>1153</v>
      </c>
      <c r="G1882" t="s">
        <v>13224</v>
      </c>
      <c r="H1882" t="s">
        <v>13225</v>
      </c>
      <c r="I1882">
        <f t="shared" ca="1" si="116"/>
        <v>45</v>
      </c>
      <c r="J1882" t="str">
        <f t="shared" ca="1" si="117"/>
        <v>40-49</v>
      </c>
      <c r="K1882">
        <v>68861.52</v>
      </c>
      <c r="L1882" t="str">
        <f>IF(Workforce[[#This Row],[Salary]]&lt;50000,"30k-49k",IF(Workforce[[#This Row],[Salary]]&lt;70000,"50k-69k",IF(Workforce[[#This Row],[Salary]]&lt;90000,"70k-89k","90k+")))</f>
        <v>50k-69k</v>
      </c>
      <c r="M1882" t="s">
        <v>13226</v>
      </c>
      <c r="N1882">
        <f t="shared" ca="1" si="118"/>
        <v>5</v>
      </c>
      <c r="O1882" t="str">
        <f t="shared" ca="1" si="119"/>
        <v>Intermediate level</v>
      </c>
    </row>
    <row r="1883" spans="1:15" x14ac:dyDescent="0.3">
      <c r="A1883" t="s">
        <v>13227</v>
      </c>
      <c r="B1883" t="s">
        <v>13228</v>
      </c>
      <c r="C1883" t="s">
        <v>222</v>
      </c>
      <c r="D1883" t="s">
        <v>13229</v>
      </c>
      <c r="E1883" t="s">
        <v>13230</v>
      </c>
      <c r="F1883" t="s">
        <v>251</v>
      </c>
      <c r="G1883" t="s">
        <v>13231</v>
      </c>
      <c r="H1883" t="s">
        <v>7847</v>
      </c>
      <c r="I1883">
        <f t="shared" ca="1" si="116"/>
        <v>65</v>
      </c>
      <c r="J1883" t="str">
        <f t="shared" ca="1" si="117"/>
        <v>60+</v>
      </c>
      <c r="K1883">
        <v>90153.63</v>
      </c>
      <c r="L1883" t="str">
        <f>IF(Workforce[[#This Row],[Salary]]&lt;50000,"30k-49k",IF(Workforce[[#This Row],[Salary]]&lt;70000,"50k-69k",IF(Workforce[[#This Row],[Salary]]&lt;90000,"70k-89k","90k+")))</f>
        <v>90k+</v>
      </c>
      <c r="M1883" t="s">
        <v>13232</v>
      </c>
      <c r="N1883">
        <f t="shared" ca="1" si="118"/>
        <v>1</v>
      </c>
      <c r="O1883" t="str">
        <f t="shared" ca="1" si="119"/>
        <v>Beginner</v>
      </c>
    </row>
    <row r="1884" spans="1:15" x14ac:dyDescent="0.3">
      <c r="A1884" t="s">
        <v>13233</v>
      </c>
      <c r="B1884" t="s">
        <v>13234</v>
      </c>
      <c r="C1884" t="s">
        <v>169</v>
      </c>
      <c r="D1884" t="s">
        <v>13235</v>
      </c>
      <c r="E1884" t="s">
        <v>13236</v>
      </c>
      <c r="F1884" t="s">
        <v>5729</v>
      </c>
      <c r="G1884" t="s">
        <v>13237</v>
      </c>
      <c r="H1884" t="s">
        <v>13238</v>
      </c>
      <c r="I1884">
        <f t="shared" ca="1" si="116"/>
        <v>32</v>
      </c>
      <c r="J1884" t="str">
        <f t="shared" ca="1" si="117"/>
        <v>30-39</v>
      </c>
      <c r="K1884">
        <v>105144.42</v>
      </c>
      <c r="L1884" t="str">
        <f>IF(Workforce[[#This Row],[Salary]]&lt;50000,"30k-49k",IF(Workforce[[#This Row],[Salary]]&lt;70000,"50k-69k",IF(Workforce[[#This Row],[Salary]]&lt;90000,"70k-89k","90k+")))</f>
        <v>90k+</v>
      </c>
      <c r="M1884" t="s">
        <v>13239</v>
      </c>
      <c r="N1884">
        <f t="shared" ca="1" si="118"/>
        <v>1</v>
      </c>
      <c r="O1884" t="str">
        <f t="shared" ca="1" si="119"/>
        <v>Beginner</v>
      </c>
    </row>
    <row r="1885" spans="1:15" x14ac:dyDescent="0.3">
      <c r="A1885" t="s">
        <v>13240</v>
      </c>
      <c r="B1885" t="s">
        <v>13241</v>
      </c>
      <c r="C1885" t="s">
        <v>440</v>
      </c>
      <c r="D1885" t="s">
        <v>13242</v>
      </c>
      <c r="E1885" t="s">
        <v>13243</v>
      </c>
      <c r="F1885" t="s">
        <v>4618</v>
      </c>
      <c r="G1885" t="s">
        <v>13244</v>
      </c>
      <c r="H1885" t="s">
        <v>13245</v>
      </c>
      <c r="I1885">
        <f t="shared" ca="1" si="116"/>
        <v>60</v>
      </c>
      <c r="J1885" t="str">
        <f t="shared" ca="1" si="117"/>
        <v>60+</v>
      </c>
      <c r="K1885">
        <v>102200.3</v>
      </c>
      <c r="L1885" t="str">
        <f>IF(Workforce[[#This Row],[Salary]]&lt;50000,"30k-49k",IF(Workforce[[#This Row],[Salary]]&lt;70000,"50k-69k",IF(Workforce[[#This Row],[Salary]]&lt;90000,"70k-89k","90k+")))</f>
        <v>90k+</v>
      </c>
      <c r="M1885" t="s">
        <v>13246</v>
      </c>
      <c r="N1885">
        <f t="shared" ca="1" si="118"/>
        <v>2</v>
      </c>
      <c r="O1885" t="str">
        <f t="shared" ca="1" si="119"/>
        <v>Beginner</v>
      </c>
    </row>
    <row r="1886" spans="1:15" x14ac:dyDescent="0.3">
      <c r="A1886" t="s">
        <v>13247</v>
      </c>
      <c r="B1886" t="s">
        <v>13248</v>
      </c>
      <c r="C1886" t="s">
        <v>335</v>
      </c>
      <c r="D1886" t="s">
        <v>13249</v>
      </c>
      <c r="E1886" t="s">
        <v>13250</v>
      </c>
      <c r="F1886" t="s">
        <v>6283</v>
      </c>
      <c r="G1886" t="s">
        <v>13251</v>
      </c>
      <c r="H1886" t="s">
        <v>13252</v>
      </c>
      <c r="I1886">
        <f t="shared" ca="1" si="116"/>
        <v>25</v>
      </c>
      <c r="J1886" t="str">
        <f t="shared" ca="1" si="117"/>
        <v>18-29</v>
      </c>
      <c r="K1886">
        <v>97834.7</v>
      </c>
      <c r="L1886" t="str">
        <f>IF(Workforce[[#This Row],[Salary]]&lt;50000,"30k-49k",IF(Workforce[[#This Row],[Salary]]&lt;70000,"50k-69k",IF(Workforce[[#This Row],[Salary]]&lt;90000,"70k-89k","90k+")))</f>
        <v>90k+</v>
      </c>
      <c r="M1886" t="s">
        <v>13253</v>
      </c>
      <c r="N1886">
        <f t="shared" ca="1" si="118"/>
        <v>9</v>
      </c>
      <c r="O1886" t="str">
        <f t="shared" ca="1" si="119"/>
        <v>Senior level</v>
      </c>
    </row>
    <row r="1887" spans="1:15" x14ac:dyDescent="0.3">
      <c r="A1887" t="s">
        <v>13254</v>
      </c>
      <c r="B1887" t="s">
        <v>13255</v>
      </c>
      <c r="C1887" t="s">
        <v>213</v>
      </c>
      <c r="D1887" t="s">
        <v>13256</v>
      </c>
      <c r="E1887" t="s">
        <v>13257</v>
      </c>
      <c r="F1887" t="s">
        <v>8898</v>
      </c>
      <c r="G1887" t="s">
        <v>13258</v>
      </c>
      <c r="H1887" t="s">
        <v>13259</v>
      </c>
      <c r="I1887">
        <f t="shared" ca="1" si="116"/>
        <v>27</v>
      </c>
      <c r="J1887" t="str">
        <f t="shared" ca="1" si="117"/>
        <v>18-29</v>
      </c>
      <c r="K1887">
        <v>30386.97</v>
      </c>
      <c r="L1887" t="str">
        <f>IF(Workforce[[#This Row],[Salary]]&lt;50000,"30k-49k",IF(Workforce[[#This Row],[Salary]]&lt;70000,"50k-69k",IF(Workforce[[#This Row],[Salary]]&lt;90000,"70k-89k","90k+")))</f>
        <v>30k-49k</v>
      </c>
      <c r="M1887" t="s">
        <v>13260</v>
      </c>
      <c r="N1887">
        <f t="shared" ca="1" si="118"/>
        <v>5</v>
      </c>
      <c r="O1887" t="str">
        <f t="shared" ca="1" si="119"/>
        <v>Intermediate level</v>
      </c>
    </row>
    <row r="1888" spans="1:15" x14ac:dyDescent="0.3">
      <c r="A1888" t="s">
        <v>13261</v>
      </c>
      <c r="B1888" t="s">
        <v>13262</v>
      </c>
      <c r="C1888" t="s">
        <v>26</v>
      </c>
      <c r="D1888" t="s">
        <v>13263</v>
      </c>
      <c r="E1888" t="s">
        <v>13264</v>
      </c>
      <c r="F1888" t="s">
        <v>1618</v>
      </c>
      <c r="G1888" t="s">
        <v>13265</v>
      </c>
      <c r="H1888" t="s">
        <v>13266</v>
      </c>
      <c r="I1888">
        <f t="shared" ca="1" si="116"/>
        <v>44</v>
      </c>
      <c r="J1888" t="str">
        <f t="shared" ca="1" si="117"/>
        <v>40-49</v>
      </c>
      <c r="K1888">
        <v>51009.11</v>
      </c>
      <c r="L1888" t="str">
        <f>IF(Workforce[[#This Row],[Salary]]&lt;50000,"30k-49k",IF(Workforce[[#This Row],[Salary]]&lt;70000,"50k-69k",IF(Workforce[[#This Row],[Salary]]&lt;90000,"70k-89k","90k+")))</f>
        <v>50k-69k</v>
      </c>
      <c r="M1888" t="s">
        <v>12138</v>
      </c>
      <c r="N1888">
        <f t="shared" ca="1" si="118"/>
        <v>2</v>
      </c>
      <c r="O1888" t="str">
        <f t="shared" ca="1" si="119"/>
        <v>Beginner</v>
      </c>
    </row>
    <row r="1889" spans="1:15" x14ac:dyDescent="0.3">
      <c r="A1889" t="s">
        <v>13267</v>
      </c>
      <c r="B1889" t="s">
        <v>13268</v>
      </c>
      <c r="C1889" t="s">
        <v>142</v>
      </c>
      <c r="D1889" t="s">
        <v>13269</v>
      </c>
      <c r="E1889" t="s">
        <v>13270</v>
      </c>
      <c r="F1889" t="s">
        <v>9475</v>
      </c>
      <c r="G1889" t="s">
        <v>13271</v>
      </c>
      <c r="H1889" t="s">
        <v>13272</v>
      </c>
      <c r="I1889">
        <f t="shared" ca="1" si="116"/>
        <v>47</v>
      </c>
      <c r="J1889" t="str">
        <f t="shared" ca="1" si="117"/>
        <v>40-49</v>
      </c>
      <c r="K1889">
        <v>55712.94</v>
      </c>
      <c r="L1889" t="str">
        <f>IF(Workforce[[#This Row],[Salary]]&lt;50000,"30k-49k",IF(Workforce[[#This Row],[Salary]]&lt;70000,"50k-69k",IF(Workforce[[#This Row],[Salary]]&lt;90000,"70k-89k","90k+")))</f>
        <v>50k-69k</v>
      </c>
      <c r="M1889" t="s">
        <v>3807</v>
      </c>
      <c r="N1889">
        <f t="shared" ca="1" si="118"/>
        <v>10</v>
      </c>
      <c r="O1889" t="str">
        <f t="shared" ca="1" si="119"/>
        <v>Senior level</v>
      </c>
    </row>
    <row r="1890" spans="1:15" x14ac:dyDescent="0.3">
      <c r="A1890" t="s">
        <v>13273</v>
      </c>
      <c r="B1890" t="s">
        <v>13274</v>
      </c>
      <c r="C1890" t="s">
        <v>1223</v>
      </c>
      <c r="D1890" t="s">
        <v>13275</v>
      </c>
      <c r="E1890" t="s">
        <v>13276</v>
      </c>
      <c r="F1890" t="s">
        <v>476</v>
      </c>
      <c r="G1890" t="s">
        <v>13277</v>
      </c>
      <c r="H1890" t="s">
        <v>13278</v>
      </c>
      <c r="I1890">
        <f t="shared" ca="1" si="116"/>
        <v>65</v>
      </c>
      <c r="J1890" t="str">
        <f t="shared" ca="1" si="117"/>
        <v>60+</v>
      </c>
      <c r="K1890">
        <v>60340.88</v>
      </c>
      <c r="L1890" t="str">
        <f>IF(Workforce[[#This Row],[Salary]]&lt;50000,"30k-49k",IF(Workforce[[#This Row],[Salary]]&lt;70000,"50k-69k",IF(Workforce[[#This Row],[Salary]]&lt;90000,"70k-89k","90k+")))</f>
        <v>50k-69k</v>
      </c>
      <c r="M1890" t="s">
        <v>12669</v>
      </c>
      <c r="N1890">
        <f t="shared" ca="1" si="118"/>
        <v>4</v>
      </c>
      <c r="O1890" t="str">
        <f t="shared" ca="1" si="119"/>
        <v>Intermediate level</v>
      </c>
    </row>
    <row r="1891" spans="1:15" x14ac:dyDescent="0.3">
      <c r="A1891" t="s">
        <v>13279</v>
      </c>
      <c r="B1891" t="s">
        <v>13280</v>
      </c>
      <c r="C1891" t="s">
        <v>88</v>
      </c>
      <c r="D1891" t="s">
        <v>13281</v>
      </c>
      <c r="E1891" t="s">
        <v>13282</v>
      </c>
      <c r="F1891" t="s">
        <v>1872</v>
      </c>
      <c r="G1891" t="s">
        <v>13283</v>
      </c>
      <c r="H1891" t="s">
        <v>10621</v>
      </c>
      <c r="I1891">
        <f t="shared" ca="1" si="116"/>
        <v>40</v>
      </c>
      <c r="J1891" t="str">
        <f t="shared" ca="1" si="117"/>
        <v>40-49</v>
      </c>
      <c r="K1891">
        <v>112759.13</v>
      </c>
      <c r="L1891" t="str">
        <f>IF(Workforce[[#This Row],[Salary]]&lt;50000,"30k-49k",IF(Workforce[[#This Row],[Salary]]&lt;70000,"50k-69k",IF(Workforce[[#This Row],[Salary]]&lt;90000,"70k-89k","90k+")))</f>
        <v>90k+</v>
      </c>
      <c r="M1891" t="s">
        <v>13284</v>
      </c>
      <c r="N1891">
        <f t="shared" ca="1" si="118"/>
        <v>2</v>
      </c>
      <c r="O1891" t="str">
        <f t="shared" ca="1" si="119"/>
        <v>Beginner</v>
      </c>
    </row>
    <row r="1892" spans="1:15" x14ac:dyDescent="0.3">
      <c r="A1892" t="s">
        <v>4420</v>
      </c>
      <c r="B1892" t="s">
        <v>13285</v>
      </c>
      <c r="C1892" t="s">
        <v>757</v>
      </c>
      <c r="D1892" t="s">
        <v>13286</v>
      </c>
      <c r="E1892" t="s">
        <v>13287</v>
      </c>
      <c r="F1892" t="s">
        <v>11168</v>
      </c>
      <c r="G1892" t="s">
        <v>13288</v>
      </c>
      <c r="H1892" t="s">
        <v>13289</v>
      </c>
      <c r="I1892">
        <f t="shared" ca="1" si="116"/>
        <v>45</v>
      </c>
      <c r="J1892" t="str">
        <f t="shared" ca="1" si="117"/>
        <v>40-49</v>
      </c>
      <c r="K1892">
        <v>34026.79</v>
      </c>
      <c r="L1892" t="str">
        <f>IF(Workforce[[#This Row],[Salary]]&lt;50000,"30k-49k",IF(Workforce[[#This Row],[Salary]]&lt;70000,"50k-69k",IF(Workforce[[#This Row],[Salary]]&lt;90000,"70k-89k","90k+")))</f>
        <v>30k-49k</v>
      </c>
      <c r="M1892" t="s">
        <v>4301</v>
      </c>
      <c r="N1892">
        <f t="shared" ca="1" si="118"/>
        <v>9</v>
      </c>
      <c r="O1892" t="str">
        <f t="shared" ca="1" si="119"/>
        <v>Senior level</v>
      </c>
    </row>
    <row r="1893" spans="1:15" x14ac:dyDescent="0.3">
      <c r="A1893" t="s">
        <v>13290</v>
      </c>
      <c r="B1893" t="s">
        <v>13291</v>
      </c>
      <c r="C1893" t="s">
        <v>79</v>
      </c>
      <c r="D1893" t="s">
        <v>13292</v>
      </c>
      <c r="E1893" t="s">
        <v>13293</v>
      </c>
      <c r="F1893" t="s">
        <v>5855</v>
      </c>
      <c r="G1893" t="s">
        <v>13294</v>
      </c>
      <c r="H1893" t="s">
        <v>13295</v>
      </c>
      <c r="I1893">
        <f t="shared" ca="1" si="116"/>
        <v>35</v>
      </c>
      <c r="J1893" t="str">
        <f t="shared" ca="1" si="117"/>
        <v>30-39</v>
      </c>
      <c r="K1893">
        <v>46298.82</v>
      </c>
      <c r="L1893" t="str">
        <f>IF(Workforce[[#This Row],[Salary]]&lt;50000,"30k-49k",IF(Workforce[[#This Row],[Salary]]&lt;70000,"50k-69k",IF(Workforce[[#This Row],[Salary]]&lt;90000,"70k-89k","90k+")))</f>
        <v>30k-49k</v>
      </c>
      <c r="M1893" t="s">
        <v>13296</v>
      </c>
      <c r="N1893">
        <f t="shared" ca="1" si="118"/>
        <v>5</v>
      </c>
      <c r="O1893" t="str">
        <f t="shared" ca="1" si="119"/>
        <v>Intermediate level</v>
      </c>
    </row>
    <row r="1894" spans="1:15" x14ac:dyDescent="0.3">
      <c r="A1894" t="s">
        <v>13297</v>
      </c>
      <c r="B1894" t="s">
        <v>13298</v>
      </c>
      <c r="C1894" t="s">
        <v>17</v>
      </c>
      <c r="D1894" t="s">
        <v>13299</v>
      </c>
      <c r="E1894" t="s">
        <v>13300</v>
      </c>
      <c r="F1894" t="s">
        <v>9298</v>
      </c>
      <c r="G1894" t="s">
        <v>13301</v>
      </c>
      <c r="H1894" t="s">
        <v>13302</v>
      </c>
      <c r="I1894">
        <f t="shared" ca="1" si="116"/>
        <v>39</v>
      </c>
      <c r="J1894" t="str">
        <f t="shared" ca="1" si="117"/>
        <v>30-39</v>
      </c>
      <c r="K1894">
        <v>65004</v>
      </c>
      <c r="L1894" t="str">
        <f>IF(Workforce[[#This Row],[Salary]]&lt;50000,"30k-49k",IF(Workforce[[#This Row],[Salary]]&lt;70000,"50k-69k",IF(Workforce[[#This Row],[Salary]]&lt;90000,"70k-89k","90k+")))</f>
        <v>50k-69k</v>
      </c>
      <c r="M1894" t="s">
        <v>13303</v>
      </c>
      <c r="N1894">
        <f t="shared" ca="1" si="118"/>
        <v>1</v>
      </c>
      <c r="O1894" t="str">
        <f t="shared" ca="1" si="119"/>
        <v>Beginner</v>
      </c>
    </row>
    <row r="1895" spans="1:15" x14ac:dyDescent="0.3">
      <c r="A1895" t="s">
        <v>13304</v>
      </c>
      <c r="B1895" t="s">
        <v>13305</v>
      </c>
      <c r="C1895" t="s">
        <v>482</v>
      </c>
      <c r="D1895" t="s">
        <v>13306</v>
      </c>
      <c r="E1895" t="s">
        <v>13307</v>
      </c>
      <c r="F1895" t="s">
        <v>9099</v>
      </c>
      <c r="G1895" t="s">
        <v>13308</v>
      </c>
      <c r="H1895" t="s">
        <v>13309</v>
      </c>
      <c r="I1895">
        <f t="shared" ca="1" si="116"/>
        <v>29</v>
      </c>
      <c r="J1895" t="str">
        <f t="shared" ca="1" si="117"/>
        <v>18-29</v>
      </c>
      <c r="K1895">
        <v>46162.32</v>
      </c>
      <c r="L1895" t="str">
        <f>IF(Workforce[[#This Row],[Salary]]&lt;50000,"30k-49k",IF(Workforce[[#This Row],[Salary]]&lt;70000,"50k-69k",IF(Workforce[[#This Row],[Salary]]&lt;90000,"70k-89k","90k+")))</f>
        <v>30k-49k</v>
      </c>
      <c r="M1895" t="s">
        <v>11663</v>
      </c>
      <c r="N1895">
        <f t="shared" ca="1" si="118"/>
        <v>2</v>
      </c>
      <c r="O1895" t="str">
        <f t="shared" ca="1" si="119"/>
        <v>Beginner</v>
      </c>
    </row>
    <row r="1896" spans="1:15" x14ac:dyDescent="0.3">
      <c r="A1896" t="s">
        <v>13310</v>
      </c>
      <c r="B1896" t="s">
        <v>13311</v>
      </c>
      <c r="C1896" t="s">
        <v>26</v>
      </c>
      <c r="D1896" t="s">
        <v>13312</v>
      </c>
      <c r="E1896" t="s">
        <v>13313</v>
      </c>
      <c r="F1896" t="s">
        <v>2194</v>
      </c>
      <c r="G1896" t="s">
        <v>13314</v>
      </c>
      <c r="H1896" t="s">
        <v>13315</v>
      </c>
      <c r="I1896">
        <f t="shared" ca="1" si="116"/>
        <v>63</v>
      </c>
      <c r="J1896" t="str">
        <f t="shared" ca="1" si="117"/>
        <v>60+</v>
      </c>
      <c r="K1896">
        <v>99996.479999999996</v>
      </c>
      <c r="L1896" t="str">
        <f>IF(Workforce[[#This Row],[Salary]]&lt;50000,"30k-49k",IF(Workforce[[#This Row],[Salary]]&lt;70000,"50k-69k",IF(Workforce[[#This Row],[Salary]]&lt;90000,"70k-89k","90k+")))</f>
        <v>90k+</v>
      </c>
      <c r="M1896" t="s">
        <v>13316</v>
      </c>
      <c r="N1896">
        <f t="shared" ca="1" si="118"/>
        <v>10</v>
      </c>
      <c r="O1896" t="str">
        <f t="shared" ca="1" si="119"/>
        <v>Senior level</v>
      </c>
    </row>
    <row r="1897" spans="1:15" x14ac:dyDescent="0.3">
      <c r="A1897" t="s">
        <v>13317</v>
      </c>
      <c r="B1897" t="s">
        <v>13318</v>
      </c>
      <c r="C1897" t="s">
        <v>757</v>
      </c>
      <c r="D1897" t="s">
        <v>13319</v>
      </c>
      <c r="E1897" t="s">
        <v>13320</v>
      </c>
      <c r="F1897" t="s">
        <v>5940</v>
      </c>
      <c r="G1897" t="s">
        <v>13321</v>
      </c>
      <c r="H1897" t="s">
        <v>13322</v>
      </c>
      <c r="I1897">
        <f t="shared" ca="1" si="116"/>
        <v>27</v>
      </c>
      <c r="J1897" t="str">
        <f t="shared" ca="1" si="117"/>
        <v>18-29</v>
      </c>
      <c r="K1897">
        <v>107819.85</v>
      </c>
      <c r="L1897" t="str">
        <f>IF(Workforce[[#This Row],[Salary]]&lt;50000,"30k-49k",IF(Workforce[[#This Row],[Salary]]&lt;70000,"50k-69k",IF(Workforce[[#This Row],[Salary]]&lt;90000,"70k-89k","90k+")))</f>
        <v>90k+</v>
      </c>
      <c r="M1897" t="s">
        <v>13323</v>
      </c>
      <c r="N1897">
        <f t="shared" ca="1" si="118"/>
        <v>2</v>
      </c>
      <c r="O1897" t="str">
        <f t="shared" ca="1" si="119"/>
        <v>Beginner</v>
      </c>
    </row>
    <row r="1898" spans="1:15" x14ac:dyDescent="0.3">
      <c r="A1898" t="s">
        <v>13324</v>
      </c>
      <c r="B1898" t="s">
        <v>13325</v>
      </c>
      <c r="C1898" t="s">
        <v>17</v>
      </c>
      <c r="D1898" t="s">
        <v>13326</v>
      </c>
      <c r="E1898" t="s">
        <v>13327</v>
      </c>
      <c r="F1898" t="s">
        <v>9790</v>
      </c>
      <c r="G1898" t="s">
        <v>13328</v>
      </c>
      <c r="H1898" t="s">
        <v>13329</v>
      </c>
      <c r="I1898">
        <f t="shared" ca="1" si="116"/>
        <v>59</v>
      </c>
      <c r="J1898" t="str">
        <f t="shared" ca="1" si="117"/>
        <v>50-59</v>
      </c>
      <c r="K1898">
        <v>79214.59</v>
      </c>
      <c r="L1898" t="str">
        <f>IF(Workforce[[#This Row],[Salary]]&lt;50000,"30k-49k",IF(Workforce[[#This Row],[Salary]]&lt;70000,"50k-69k",IF(Workforce[[#This Row],[Salary]]&lt;90000,"70k-89k","90k+")))</f>
        <v>70k-89k</v>
      </c>
      <c r="M1898" t="s">
        <v>13330</v>
      </c>
      <c r="N1898">
        <f t="shared" ca="1" si="118"/>
        <v>8</v>
      </c>
      <c r="O1898" t="str">
        <f t="shared" ca="1" si="119"/>
        <v>Senior level</v>
      </c>
    </row>
    <row r="1899" spans="1:15" x14ac:dyDescent="0.3">
      <c r="A1899" t="s">
        <v>13331</v>
      </c>
      <c r="B1899" t="s">
        <v>13332</v>
      </c>
      <c r="C1899" t="s">
        <v>440</v>
      </c>
      <c r="D1899" t="s">
        <v>13333</v>
      </c>
      <c r="E1899" t="s">
        <v>13334</v>
      </c>
      <c r="F1899" t="s">
        <v>243</v>
      </c>
      <c r="G1899" t="s">
        <v>13335</v>
      </c>
      <c r="H1899" t="s">
        <v>13336</v>
      </c>
      <c r="I1899">
        <f t="shared" ca="1" si="116"/>
        <v>66</v>
      </c>
      <c r="J1899" t="str">
        <f t="shared" ca="1" si="117"/>
        <v>60+</v>
      </c>
      <c r="K1899">
        <v>89515.66</v>
      </c>
      <c r="L1899" t="str">
        <f>IF(Workforce[[#This Row],[Salary]]&lt;50000,"30k-49k",IF(Workforce[[#This Row],[Salary]]&lt;70000,"50k-69k",IF(Workforce[[#This Row],[Salary]]&lt;90000,"70k-89k","90k+")))</f>
        <v>70k-89k</v>
      </c>
      <c r="M1899" t="s">
        <v>13337</v>
      </c>
      <c r="N1899">
        <f t="shared" ca="1" si="118"/>
        <v>9</v>
      </c>
      <c r="O1899" t="str">
        <f t="shared" ca="1" si="119"/>
        <v>Senior level</v>
      </c>
    </row>
    <row r="1900" spans="1:15" x14ac:dyDescent="0.3">
      <c r="A1900" t="s">
        <v>13338</v>
      </c>
      <c r="B1900" t="s">
        <v>13339</v>
      </c>
      <c r="C1900" t="s">
        <v>17</v>
      </c>
      <c r="D1900" t="s">
        <v>13340</v>
      </c>
      <c r="E1900" t="s">
        <v>13341</v>
      </c>
      <c r="F1900" t="s">
        <v>3828</v>
      </c>
      <c r="G1900" t="s">
        <v>13342</v>
      </c>
      <c r="H1900" t="s">
        <v>13343</v>
      </c>
      <c r="I1900">
        <f t="shared" ca="1" si="116"/>
        <v>33</v>
      </c>
      <c r="J1900" t="str">
        <f t="shared" ca="1" si="117"/>
        <v>30-39</v>
      </c>
      <c r="K1900">
        <v>39315.86</v>
      </c>
      <c r="L1900" t="str">
        <f>IF(Workforce[[#This Row],[Salary]]&lt;50000,"30k-49k",IF(Workforce[[#This Row],[Salary]]&lt;70000,"50k-69k",IF(Workforce[[#This Row],[Salary]]&lt;90000,"70k-89k","90k+")))</f>
        <v>30k-49k</v>
      </c>
      <c r="M1900" t="s">
        <v>6263</v>
      </c>
      <c r="N1900">
        <f t="shared" ca="1" si="118"/>
        <v>4</v>
      </c>
      <c r="O1900" t="str">
        <f t="shared" ca="1" si="119"/>
        <v>Intermediate level</v>
      </c>
    </row>
    <row r="1901" spans="1:15" x14ac:dyDescent="0.3">
      <c r="A1901" t="s">
        <v>13344</v>
      </c>
      <c r="B1901" t="s">
        <v>13345</v>
      </c>
      <c r="C1901" t="s">
        <v>213</v>
      </c>
      <c r="D1901" t="s">
        <v>13346</v>
      </c>
      <c r="E1901" t="s">
        <v>13347</v>
      </c>
      <c r="F1901" t="s">
        <v>5126</v>
      </c>
      <c r="G1901" t="s">
        <v>13348</v>
      </c>
      <c r="H1901" t="s">
        <v>13349</v>
      </c>
      <c r="I1901">
        <f t="shared" ca="1" si="116"/>
        <v>56</v>
      </c>
      <c r="J1901" t="str">
        <f t="shared" ca="1" si="117"/>
        <v>50-59</v>
      </c>
      <c r="K1901">
        <v>106352.37</v>
      </c>
      <c r="L1901" t="str">
        <f>IF(Workforce[[#This Row],[Salary]]&lt;50000,"30k-49k",IF(Workforce[[#This Row],[Salary]]&lt;70000,"50k-69k",IF(Workforce[[#This Row],[Salary]]&lt;90000,"70k-89k","90k+")))</f>
        <v>90k+</v>
      </c>
      <c r="M1901" t="s">
        <v>13350</v>
      </c>
      <c r="N1901">
        <f t="shared" ca="1" si="118"/>
        <v>2</v>
      </c>
      <c r="O1901" t="str">
        <f t="shared" ca="1" si="119"/>
        <v>Beginner</v>
      </c>
    </row>
    <row r="1902" spans="1:15" x14ac:dyDescent="0.3">
      <c r="A1902" t="s">
        <v>13351</v>
      </c>
      <c r="B1902" t="s">
        <v>13352</v>
      </c>
      <c r="C1902" t="s">
        <v>88</v>
      </c>
      <c r="D1902" t="s">
        <v>13353</v>
      </c>
      <c r="E1902" t="s">
        <v>13354</v>
      </c>
      <c r="F1902" t="s">
        <v>320</v>
      </c>
      <c r="G1902" t="s">
        <v>11872</v>
      </c>
      <c r="H1902" t="s">
        <v>13355</v>
      </c>
      <c r="I1902">
        <f t="shared" ca="1" si="116"/>
        <v>58</v>
      </c>
      <c r="J1902" t="str">
        <f t="shared" ca="1" si="117"/>
        <v>50-59</v>
      </c>
      <c r="K1902">
        <v>84379.56</v>
      </c>
      <c r="L1902" t="str">
        <f>IF(Workforce[[#This Row],[Salary]]&lt;50000,"30k-49k",IF(Workforce[[#This Row],[Salary]]&lt;70000,"50k-69k",IF(Workforce[[#This Row],[Salary]]&lt;90000,"70k-89k","90k+")))</f>
        <v>70k-89k</v>
      </c>
      <c r="M1902" t="s">
        <v>13356</v>
      </c>
      <c r="N1902">
        <f t="shared" ca="1" si="118"/>
        <v>8</v>
      </c>
      <c r="O1902" t="str">
        <f t="shared" ca="1" si="119"/>
        <v>Senior level</v>
      </c>
    </row>
    <row r="1903" spans="1:15" x14ac:dyDescent="0.3">
      <c r="A1903" t="s">
        <v>13357</v>
      </c>
      <c r="B1903" t="s">
        <v>13358</v>
      </c>
      <c r="C1903" t="s">
        <v>61</v>
      </c>
      <c r="D1903" t="s">
        <v>13359</v>
      </c>
      <c r="E1903" t="s">
        <v>13360</v>
      </c>
      <c r="F1903" t="s">
        <v>2154</v>
      </c>
      <c r="G1903" t="s">
        <v>10864</v>
      </c>
      <c r="H1903" t="s">
        <v>13361</v>
      </c>
      <c r="I1903">
        <f t="shared" ca="1" si="116"/>
        <v>48</v>
      </c>
      <c r="J1903" t="str">
        <f t="shared" ca="1" si="117"/>
        <v>40-49</v>
      </c>
      <c r="K1903">
        <v>30521.25</v>
      </c>
      <c r="L1903" t="str">
        <f>IF(Workforce[[#This Row],[Salary]]&lt;50000,"30k-49k",IF(Workforce[[#This Row],[Salary]]&lt;70000,"50k-69k",IF(Workforce[[#This Row],[Salary]]&lt;90000,"70k-89k","90k+")))</f>
        <v>30k-49k</v>
      </c>
      <c r="M1903" t="s">
        <v>13362</v>
      </c>
      <c r="N1903">
        <f t="shared" ca="1" si="118"/>
        <v>1</v>
      </c>
      <c r="O1903" t="str">
        <f t="shared" ca="1" si="119"/>
        <v>Beginner</v>
      </c>
    </row>
    <row r="1904" spans="1:15" x14ac:dyDescent="0.3">
      <c r="A1904" t="s">
        <v>13363</v>
      </c>
      <c r="B1904" t="s">
        <v>13364</v>
      </c>
      <c r="C1904" t="s">
        <v>187</v>
      </c>
      <c r="D1904" t="s">
        <v>13365</v>
      </c>
      <c r="E1904" t="s">
        <v>13366</v>
      </c>
      <c r="F1904" t="s">
        <v>1549</v>
      </c>
      <c r="G1904" t="s">
        <v>13367</v>
      </c>
      <c r="H1904" t="s">
        <v>13368</v>
      </c>
      <c r="I1904">
        <f t="shared" ca="1" si="116"/>
        <v>65</v>
      </c>
      <c r="J1904" t="str">
        <f t="shared" ca="1" si="117"/>
        <v>60+</v>
      </c>
      <c r="K1904">
        <v>90637.2</v>
      </c>
      <c r="L1904" t="str">
        <f>IF(Workforce[[#This Row],[Salary]]&lt;50000,"30k-49k",IF(Workforce[[#This Row],[Salary]]&lt;70000,"50k-69k",IF(Workforce[[#This Row],[Salary]]&lt;90000,"70k-89k","90k+")))</f>
        <v>90k+</v>
      </c>
      <c r="M1904" t="s">
        <v>13369</v>
      </c>
      <c r="N1904">
        <f t="shared" ca="1" si="118"/>
        <v>10</v>
      </c>
      <c r="O1904" t="str">
        <f t="shared" ca="1" si="119"/>
        <v>Senior level</v>
      </c>
    </row>
    <row r="1905" spans="1:15" x14ac:dyDescent="0.3">
      <c r="A1905" t="s">
        <v>13370</v>
      </c>
      <c r="B1905" t="s">
        <v>13371</v>
      </c>
      <c r="C1905" t="s">
        <v>1159</v>
      </c>
      <c r="D1905" t="s">
        <v>13372</v>
      </c>
      <c r="E1905" t="s">
        <v>13373</v>
      </c>
      <c r="F1905" t="s">
        <v>2217</v>
      </c>
      <c r="G1905" t="s">
        <v>6511</v>
      </c>
      <c r="H1905" t="s">
        <v>13374</v>
      </c>
      <c r="I1905">
        <f t="shared" ca="1" si="116"/>
        <v>21</v>
      </c>
      <c r="J1905" t="str">
        <f t="shared" ca="1" si="117"/>
        <v>18-29</v>
      </c>
      <c r="K1905">
        <v>102204.38</v>
      </c>
      <c r="L1905" t="str">
        <f>IF(Workforce[[#This Row],[Salary]]&lt;50000,"30k-49k",IF(Workforce[[#This Row],[Salary]]&lt;70000,"50k-69k",IF(Workforce[[#This Row],[Salary]]&lt;90000,"70k-89k","90k+")))</f>
        <v>90k+</v>
      </c>
      <c r="M1905" t="s">
        <v>357</v>
      </c>
      <c r="N1905">
        <f t="shared" ca="1" si="118"/>
        <v>9</v>
      </c>
      <c r="O1905" t="str">
        <f t="shared" ca="1" si="119"/>
        <v>Senior level</v>
      </c>
    </row>
    <row r="1906" spans="1:15" x14ac:dyDescent="0.3">
      <c r="A1906" t="s">
        <v>13375</v>
      </c>
      <c r="B1906" t="s">
        <v>13376</v>
      </c>
      <c r="C1906" t="s">
        <v>115</v>
      </c>
      <c r="D1906" t="s">
        <v>13377</v>
      </c>
      <c r="E1906" t="s">
        <v>13378</v>
      </c>
      <c r="F1906" t="s">
        <v>4787</v>
      </c>
      <c r="G1906" t="s">
        <v>13379</v>
      </c>
      <c r="H1906" t="s">
        <v>6856</v>
      </c>
      <c r="I1906">
        <f t="shared" ca="1" si="116"/>
        <v>54</v>
      </c>
      <c r="J1906" t="str">
        <f t="shared" ca="1" si="117"/>
        <v>50-59</v>
      </c>
      <c r="K1906">
        <v>51776.959999999999</v>
      </c>
      <c r="L1906" t="str">
        <f>IF(Workforce[[#This Row],[Salary]]&lt;50000,"30k-49k",IF(Workforce[[#This Row],[Salary]]&lt;70000,"50k-69k",IF(Workforce[[#This Row],[Salary]]&lt;90000,"70k-89k","90k+")))</f>
        <v>50k-69k</v>
      </c>
      <c r="M1906" t="s">
        <v>13380</v>
      </c>
      <c r="N1906">
        <f t="shared" ca="1" si="118"/>
        <v>3</v>
      </c>
      <c r="O1906" t="str">
        <f t="shared" ca="1" si="119"/>
        <v>Intermediate level</v>
      </c>
    </row>
    <row r="1907" spans="1:15" x14ac:dyDescent="0.3">
      <c r="A1907" t="s">
        <v>8065</v>
      </c>
      <c r="B1907" t="s">
        <v>13381</v>
      </c>
      <c r="C1907" t="s">
        <v>2086</v>
      </c>
      <c r="D1907" t="s">
        <v>13382</v>
      </c>
      <c r="E1907" t="s">
        <v>13383</v>
      </c>
      <c r="F1907" t="s">
        <v>1226</v>
      </c>
      <c r="G1907" t="s">
        <v>13384</v>
      </c>
      <c r="H1907" t="s">
        <v>13385</v>
      </c>
      <c r="I1907">
        <f t="shared" ca="1" si="116"/>
        <v>39</v>
      </c>
      <c r="J1907" t="str">
        <f t="shared" ca="1" si="117"/>
        <v>30-39</v>
      </c>
      <c r="K1907">
        <v>113456.74</v>
      </c>
      <c r="L1907" t="str">
        <f>IF(Workforce[[#This Row],[Salary]]&lt;50000,"30k-49k",IF(Workforce[[#This Row],[Salary]]&lt;70000,"50k-69k",IF(Workforce[[#This Row],[Salary]]&lt;90000,"70k-89k","90k+")))</f>
        <v>90k+</v>
      </c>
      <c r="M1907" t="s">
        <v>13386</v>
      </c>
      <c r="N1907">
        <f t="shared" ca="1" si="118"/>
        <v>6</v>
      </c>
      <c r="O1907" t="str">
        <f t="shared" ca="1" si="119"/>
        <v>Intermediate level</v>
      </c>
    </row>
    <row r="1908" spans="1:15" x14ac:dyDescent="0.3">
      <c r="A1908" t="s">
        <v>13387</v>
      </c>
      <c r="B1908" t="s">
        <v>13388</v>
      </c>
      <c r="C1908" t="s">
        <v>97</v>
      </c>
      <c r="D1908" t="s">
        <v>13389</v>
      </c>
      <c r="E1908" t="s">
        <v>13390</v>
      </c>
      <c r="F1908" t="s">
        <v>9475</v>
      </c>
      <c r="G1908" t="s">
        <v>8960</v>
      </c>
      <c r="H1908" t="s">
        <v>13391</v>
      </c>
      <c r="I1908">
        <f t="shared" ca="1" si="116"/>
        <v>54</v>
      </c>
      <c r="J1908" t="str">
        <f t="shared" ca="1" si="117"/>
        <v>50-59</v>
      </c>
      <c r="K1908">
        <v>101142.39999999999</v>
      </c>
      <c r="L1908" t="str">
        <f>IF(Workforce[[#This Row],[Salary]]&lt;50000,"30k-49k",IF(Workforce[[#This Row],[Salary]]&lt;70000,"50k-69k",IF(Workforce[[#This Row],[Salary]]&lt;90000,"70k-89k","90k+")))</f>
        <v>90k+</v>
      </c>
      <c r="M1908" t="s">
        <v>1692</v>
      </c>
      <c r="N1908">
        <f t="shared" ca="1" si="118"/>
        <v>10</v>
      </c>
      <c r="O1908" t="str">
        <f t="shared" ca="1" si="119"/>
        <v>Senior level</v>
      </c>
    </row>
    <row r="1909" spans="1:15" x14ac:dyDescent="0.3">
      <c r="A1909" t="s">
        <v>13392</v>
      </c>
      <c r="B1909" t="s">
        <v>13393</v>
      </c>
      <c r="C1909" t="s">
        <v>106</v>
      </c>
      <c r="D1909" t="s">
        <v>13394</v>
      </c>
      <c r="E1909" t="s">
        <v>13395</v>
      </c>
      <c r="F1909" t="s">
        <v>1281</v>
      </c>
      <c r="G1909" t="s">
        <v>13396</v>
      </c>
      <c r="H1909" t="s">
        <v>13397</v>
      </c>
      <c r="I1909">
        <f t="shared" ca="1" si="116"/>
        <v>65</v>
      </c>
      <c r="J1909" t="str">
        <f t="shared" ca="1" si="117"/>
        <v>60+</v>
      </c>
      <c r="K1909">
        <v>36743.839999999997</v>
      </c>
      <c r="L1909" t="str">
        <f>IF(Workforce[[#This Row],[Salary]]&lt;50000,"30k-49k",IF(Workforce[[#This Row],[Salary]]&lt;70000,"50k-69k",IF(Workforce[[#This Row],[Salary]]&lt;90000,"70k-89k","90k+")))</f>
        <v>30k-49k</v>
      </c>
      <c r="M1909" t="s">
        <v>13398</v>
      </c>
      <c r="N1909">
        <f t="shared" ca="1" si="118"/>
        <v>9</v>
      </c>
      <c r="O1909" t="str">
        <f t="shared" ca="1" si="119"/>
        <v>Senior level</v>
      </c>
    </row>
    <row r="1910" spans="1:15" x14ac:dyDescent="0.3">
      <c r="A1910" t="s">
        <v>13399</v>
      </c>
      <c r="B1910" t="s">
        <v>13400</v>
      </c>
      <c r="C1910" t="s">
        <v>1004</v>
      </c>
      <c r="D1910" t="s">
        <v>13401</v>
      </c>
      <c r="E1910" t="s">
        <v>13402</v>
      </c>
      <c r="F1910" t="s">
        <v>6676</v>
      </c>
      <c r="G1910" t="s">
        <v>13403</v>
      </c>
      <c r="H1910" t="s">
        <v>13404</v>
      </c>
      <c r="I1910">
        <f t="shared" ca="1" si="116"/>
        <v>24</v>
      </c>
      <c r="J1910" t="str">
        <f t="shared" ca="1" si="117"/>
        <v>18-29</v>
      </c>
      <c r="K1910">
        <v>101094.12</v>
      </c>
      <c r="L1910" t="str">
        <f>IF(Workforce[[#This Row],[Salary]]&lt;50000,"30k-49k",IF(Workforce[[#This Row],[Salary]]&lt;70000,"50k-69k",IF(Workforce[[#This Row],[Salary]]&lt;90000,"70k-89k","90k+")))</f>
        <v>90k+</v>
      </c>
      <c r="M1910" t="s">
        <v>6800</v>
      </c>
      <c r="N1910">
        <f t="shared" ca="1" si="118"/>
        <v>8</v>
      </c>
      <c r="O1910" t="str">
        <f t="shared" ca="1" si="119"/>
        <v>Senior level</v>
      </c>
    </row>
    <row r="1911" spans="1:15" x14ac:dyDescent="0.3">
      <c r="A1911" t="s">
        <v>13405</v>
      </c>
      <c r="B1911" t="s">
        <v>13406</v>
      </c>
      <c r="C1911" t="s">
        <v>275</v>
      </c>
      <c r="D1911" t="s">
        <v>13407</v>
      </c>
      <c r="E1911" t="s">
        <v>13408</v>
      </c>
      <c r="F1911" t="s">
        <v>2665</v>
      </c>
      <c r="G1911" t="s">
        <v>13409</v>
      </c>
      <c r="H1911" t="s">
        <v>13410</v>
      </c>
      <c r="I1911">
        <f t="shared" ca="1" si="116"/>
        <v>65</v>
      </c>
      <c r="J1911" t="str">
        <f t="shared" ca="1" si="117"/>
        <v>60+</v>
      </c>
      <c r="K1911">
        <v>59475.13</v>
      </c>
      <c r="L1911" t="str">
        <f>IF(Workforce[[#This Row],[Salary]]&lt;50000,"30k-49k",IF(Workforce[[#This Row],[Salary]]&lt;70000,"50k-69k",IF(Workforce[[#This Row],[Salary]]&lt;90000,"70k-89k","90k+")))</f>
        <v>50k-69k</v>
      </c>
      <c r="M1911" t="s">
        <v>7308</v>
      </c>
      <c r="N1911">
        <f t="shared" ca="1" si="118"/>
        <v>10</v>
      </c>
      <c r="O1911" t="str">
        <f t="shared" ca="1" si="119"/>
        <v>Senior level</v>
      </c>
    </row>
    <row r="1912" spans="1:15" x14ac:dyDescent="0.3">
      <c r="A1912" t="s">
        <v>6256</v>
      </c>
      <c r="B1912" t="s">
        <v>13411</v>
      </c>
      <c r="C1912" t="s">
        <v>275</v>
      </c>
      <c r="D1912" t="s">
        <v>13412</v>
      </c>
      <c r="E1912" t="s">
        <v>13413</v>
      </c>
      <c r="F1912" t="s">
        <v>145</v>
      </c>
      <c r="G1912" t="s">
        <v>13414</v>
      </c>
      <c r="H1912" t="s">
        <v>13415</v>
      </c>
      <c r="I1912">
        <f t="shared" ca="1" si="116"/>
        <v>36</v>
      </c>
      <c r="J1912" t="str">
        <f t="shared" ca="1" si="117"/>
        <v>30-39</v>
      </c>
      <c r="K1912">
        <v>98014.58</v>
      </c>
      <c r="L1912" t="str">
        <f>IF(Workforce[[#This Row],[Salary]]&lt;50000,"30k-49k",IF(Workforce[[#This Row],[Salary]]&lt;70000,"50k-69k",IF(Workforce[[#This Row],[Salary]]&lt;90000,"70k-89k","90k+")))</f>
        <v>90k+</v>
      </c>
      <c r="M1912" t="s">
        <v>13416</v>
      </c>
      <c r="N1912">
        <f t="shared" ca="1" si="118"/>
        <v>7</v>
      </c>
      <c r="O1912" t="str">
        <f t="shared" ca="1" si="119"/>
        <v>Senior level</v>
      </c>
    </row>
    <row r="1913" spans="1:15" x14ac:dyDescent="0.3">
      <c r="A1913" t="s">
        <v>13417</v>
      </c>
      <c r="B1913" t="s">
        <v>13418</v>
      </c>
      <c r="C1913" t="s">
        <v>757</v>
      </c>
      <c r="D1913" t="s">
        <v>13419</v>
      </c>
      <c r="E1913" t="s">
        <v>13420</v>
      </c>
      <c r="F1913" t="s">
        <v>1973</v>
      </c>
      <c r="G1913" t="s">
        <v>13421</v>
      </c>
      <c r="H1913" t="s">
        <v>13422</v>
      </c>
      <c r="I1913">
        <f t="shared" ca="1" si="116"/>
        <v>43</v>
      </c>
      <c r="J1913" t="str">
        <f t="shared" ca="1" si="117"/>
        <v>40-49</v>
      </c>
      <c r="K1913">
        <v>111206.98</v>
      </c>
      <c r="L1913" t="str">
        <f>IF(Workforce[[#This Row],[Salary]]&lt;50000,"30k-49k",IF(Workforce[[#This Row],[Salary]]&lt;70000,"50k-69k",IF(Workforce[[#This Row],[Salary]]&lt;90000,"70k-89k","90k+")))</f>
        <v>90k+</v>
      </c>
      <c r="M1913" t="s">
        <v>13423</v>
      </c>
      <c r="N1913">
        <f t="shared" ca="1" si="118"/>
        <v>7</v>
      </c>
      <c r="O1913" t="str">
        <f t="shared" ca="1" si="119"/>
        <v>Senior level</v>
      </c>
    </row>
    <row r="1914" spans="1:15" x14ac:dyDescent="0.3">
      <c r="A1914" t="s">
        <v>13424</v>
      </c>
      <c r="B1914" t="s">
        <v>13425</v>
      </c>
      <c r="C1914" t="s">
        <v>1004</v>
      </c>
      <c r="D1914" t="s">
        <v>13426</v>
      </c>
      <c r="E1914" t="s">
        <v>13427</v>
      </c>
      <c r="F1914" t="s">
        <v>4836</v>
      </c>
      <c r="G1914" t="s">
        <v>13428</v>
      </c>
      <c r="H1914" t="s">
        <v>13429</v>
      </c>
      <c r="I1914">
        <f t="shared" ca="1" si="116"/>
        <v>63</v>
      </c>
      <c r="J1914" t="str">
        <f t="shared" ca="1" si="117"/>
        <v>60+</v>
      </c>
      <c r="K1914">
        <v>83995.62</v>
      </c>
      <c r="L1914" t="str">
        <f>IF(Workforce[[#This Row],[Salary]]&lt;50000,"30k-49k",IF(Workforce[[#This Row],[Salary]]&lt;70000,"50k-69k",IF(Workforce[[#This Row],[Salary]]&lt;90000,"70k-89k","90k+")))</f>
        <v>70k-89k</v>
      </c>
      <c r="M1914" t="s">
        <v>13430</v>
      </c>
      <c r="N1914">
        <f t="shared" ca="1" si="118"/>
        <v>10</v>
      </c>
      <c r="O1914" t="str">
        <f t="shared" ca="1" si="119"/>
        <v>Senior level</v>
      </c>
    </row>
    <row r="1915" spans="1:15" x14ac:dyDescent="0.3">
      <c r="A1915" t="s">
        <v>13431</v>
      </c>
      <c r="B1915" t="s">
        <v>13432</v>
      </c>
      <c r="C1915" t="s">
        <v>653</v>
      </c>
      <c r="D1915" t="s">
        <v>13433</v>
      </c>
      <c r="E1915" t="s">
        <v>13434</v>
      </c>
      <c r="F1915" t="s">
        <v>3500</v>
      </c>
      <c r="G1915" t="s">
        <v>13435</v>
      </c>
      <c r="H1915" t="s">
        <v>13436</v>
      </c>
      <c r="I1915">
        <f t="shared" ca="1" si="116"/>
        <v>25</v>
      </c>
      <c r="J1915" t="str">
        <f t="shared" ca="1" si="117"/>
        <v>18-29</v>
      </c>
      <c r="K1915">
        <v>74783.929999999993</v>
      </c>
      <c r="L1915" t="str">
        <f>IF(Workforce[[#This Row],[Salary]]&lt;50000,"30k-49k",IF(Workforce[[#This Row],[Salary]]&lt;70000,"50k-69k",IF(Workforce[[#This Row],[Salary]]&lt;90000,"70k-89k","90k+")))</f>
        <v>70k-89k</v>
      </c>
      <c r="M1915" t="s">
        <v>3635</v>
      </c>
      <c r="N1915">
        <f t="shared" ca="1" si="118"/>
        <v>8</v>
      </c>
      <c r="O1915" t="str">
        <f t="shared" ca="1" si="119"/>
        <v>Senior level</v>
      </c>
    </row>
    <row r="1916" spans="1:15" x14ac:dyDescent="0.3">
      <c r="A1916" t="s">
        <v>13437</v>
      </c>
      <c r="B1916" t="s">
        <v>13438</v>
      </c>
      <c r="C1916" t="s">
        <v>275</v>
      </c>
      <c r="D1916" t="s">
        <v>13439</v>
      </c>
      <c r="E1916" t="s">
        <v>13440</v>
      </c>
      <c r="F1916" t="s">
        <v>3235</v>
      </c>
      <c r="G1916" t="s">
        <v>13441</v>
      </c>
      <c r="H1916" t="s">
        <v>13442</v>
      </c>
      <c r="I1916">
        <f t="shared" ca="1" si="116"/>
        <v>41</v>
      </c>
      <c r="J1916" t="str">
        <f t="shared" ca="1" si="117"/>
        <v>40-49</v>
      </c>
      <c r="K1916">
        <v>31585.63</v>
      </c>
      <c r="L1916" t="str">
        <f>IF(Workforce[[#This Row],[Salary]]&lt;50000,"30k-49k",IF(Workforce[[#This Row],[Salary]]&lt;70000,"50k-69k",IF(Workforce[[#This Row],[Salary]]&lt;90000,"70k-89k","90k+")))</f>
        <v>30k-49k</v>
      </c>
      <c r="M1916" t="s">
        <v>13443</v>
      </c>
      <c r="N1916">
        <f t="shared" ca="1" si="118"/>
        <v>7</v>
      </c>
      <c r="O1916" t="str">
        <f t="shared" ca="1" si="119"/>
        <v>Senior level</v>
      </c>
    </row>
    <row r="1917" spans="1:15" x14ac:dyDescent="0.3">
      <c r="A1917" t="s">
        <v>13444</v>
      </c>
      <c r="B1917" t="s">
        <v>13445</v>
      </c>
      <c r="C1917" t="s">
        <v>79</v>
      </c>
      <c r="D1917" t="s">
        <v>13446</v>
      </c>
      <c r="E1917" t="s">
        <v>13447</v>
      </c>
      <c r="F1917" t="s">
        <v>9085</v>
      </c>
      <c r="G1917" t="s">
        <v>13448</v>
      </c>
      <c r="H1917" t="s">
        <v>13449</v>
      </c>
      <c r="I1917">
        <f t="shared" ca="1" si="116"/>
        <v>38</v>
      </c>
      <c r="J1917" t="str">
        <f t="shared" ca="1" si="117"/>
        <v>30-39</v>
      </c>
      <c r="K1917">
        <v>87485.67</v>
      </c>
      <c r="L1917" t="str">
        <f>IF(Workforce[[#This Row],[Salary]]&lt;50000,"30k-49k",IF(Workforce[[#This Row],[Salary]]&lt;70000,"50k-69k",IF(Workforce[[#This Row],[Salary]]&lt;90000,"70k-89k","90k+")))</f>
        <v>70k-89k</v>
      </c>
      <c r="M1917" t="s">
        <v>13450</v>
      </c>
      <c r="N1917">
        <f t="shared" ca="1" si="118"/>
        <v>6</v>
      </c>
      <c r="O1917" t="str">
        <f t="shared" ca="1" si="119"/>
        <v>Intermediate level</v>
      </c>
    </row>
    <row r="1918" spans="1:15" x14ac:dyDescent="0.3">
      <c r="A1918" t="s">
        <v>13451</v>
      </c>
      <c r="B1918" t="s">
        <v>13452</v>
      </c>
      <c r="C1918" t="s">
        <v>35</v>
      </c>
      <c r="D1918" t="s">
        <v>13453</v>
      </c>
      <c r="E1918" t="s">
        <v>13454</v>
      </c>
      <c r="F1918" t="s">
        <v>329</v>
      </c>
      <c r="G1918" t="s">
        <v>13455</v>
      </c>
      <c r="H1918" t="s">
        <v>13456</v>
      </c>
      <c r="I1918">
        <f t="shared" ca="1" si="116"/>
        <v>36</v>
      </c>
      <c r="J1918" t="str">
        <f t="shared" ca="1" si="117"/>
        <v>30-39</v>
      </c>
      <c r="K1918">
        <v>82136.88</v>
      </c>
      <c r="L1918" t="str">
        <f>IF(Workforce[[#This Row],[Salary]]&lt;50000,"30k-49k",IF(Workforce[[#This Row],[Salary]]&lt;70000,"50k-69k",IF(Workforce[[#This Row],[Salary]]&lt;90000,"70k-89k","90k+")))</f>
        <v>70k-89k</v>
      </c>
      <c r="M1918" t="s">
        <v>8968</v>
      </c>
      <c r="N1918">
        <f t="shared" ca="1" si="118"/>
        <v>6</v>
      </c>
      <c r="O1918" t="str">
        <f t="shared" ca="1" si="119"/>
        <v>Intermediate level</v>
      </c>
    </row>
    <row r="1919" spans="1:15" x14ac:dyDescent="0.3">
      <c r="A1919" t="s">
        <v>13457</v>
      </c>
      <c r="B1919" t="s">
        <v>13458</v>
      </c>
      <c r="C1919" t="s">
        <v>482</v>
      </c>
      <c r="D1919" t="s">
        <v>13459</v>
      </c>
      <c r="E1919" t="s">
        <v>13460</v>
      </c>
      <c r="F1919" t="s">
        <v>5516</v>
      </c>
      <c r="G1919" t="s">
        <v>9339</v>
      </c>
      <c r="H1919" t="s">
        <v>13461</v>
      </c>
      <c r="I1919">
        <f t="shared" ca="1" si="116"/>
        <v>44</v>
      </c>
      <c r="J1919" t="str">
        <f t="shared" ca="1" si="117"/>
        <v>40-49</v>
      </c>
      <c r="K1919">
        <v>106393.08</v>
      </c>
      <c r="L1919" t="str">
        <f>IF(Workforce[[#This Row],[Salary]]&lt;50000,"30k-49k",IF(Workforce[[#This Row],[Salary]]&lt;70000,"50k-69k",IF(Workforce[[#This Row],[Salary]]&lt;90000,"70k-89k","90k+")))</f>
        <v>90k+</v>
      </c>
      <c r="M1919" t="s">
        <v>9586</v>
      </c>
      <c r="N1919">
        <f t="shared" ca="1" si="118"/>
        <v>6</v>
      </c>
      <c r="O1919" t="str">
        <f t="shared" ca="1" si="119"/>
        <v>Intermediate level</v>
      </c>
    </row>
    <row r="1920" spans="1:15" x14ac:dyDescent="0.3">
      <c r="A1920" t="s">
        <v>13462</v>
      </c>
      <c r="B1920" t="s">
        <v>13463</v>
      </c>
      <c r="C1920" t="s">
        <v>151</v>
      </c>
      <c r="D1920" t="s">
        <v>13464</v>
      </c>
      <c r="E1920" t="s">
        <v>13465</v>
      </c>
      <c r="F1920" t="s">
        <v>7356</v>
      </c>
      <c r="G1920" t="s">
        <v>1427</v>
      </c>
      <c r="H1920" t="s">
        <v>13466</v>
      </c>
      <c r="I1920">
        <f t="shared" ca="1" si="116"/>
        <v>58</v>
      </c>
      <c r="J1920" t="str">
        <f t="shared" ca="1" si="117"/>
        <v>50-59</v>
      </c>
      <c r="K1920">
        <v>54665.95</v>
      </c>
      <c r="L1920" t="str">
        <f>IF(Workforce[[#This Row],[Salary]]&lt;50000,"30k-49k",IF(Workforce[[#This Row],[Salary]]&lt;70000,"50k-69k",IF(Workforce[[#This Row],[Salary]]&lt;90000,"70k-89k","90k+")))</f>
        <v>50k-69k</v>
      </c>
      <c r="M1920" t="s">
        <v>13467</v>
      </c>
      <c r="N1920">
        <f t="shared" ca="1" si="118"/>
        <v>4</v>
      </c>
      <c r="O1920" t="str">
        <f t="shared" ca="1" si="119"/>
        <v>Intermediate level</v>
      </c>
    </row>
    <row r="1921" spans="1:15" x14ac:dyDescent="0.3">
      <c r="A1921" t="s">
        <v>13468</v>
      </c>
      <c r="B1921" t="s">
        <v>13469</v>
      </c>
      <c r="C1921" t="s">
        <v>995</v>
      </c>
      <c r="D1921" t="s">
        <v>13470</v>
      </c>
      <c r="E1921" t="s">
        <v>13471</v>
      </c>
      <c r="F1921" t="s">
        <v>8934</v>
      </c>
      <c r="G1921" t="s">
        <v>13472</v>
      </c>
      <c r="H1921" t="s">
        <v>13473</v>
      </c>
      <c r="I1921">
        <f t="shared" ca="1" si="116"/>
        <v>38</v>
      </c>
      <c r="J1921" t="str">
        <f t="shared" ca="1" si="117"/>
        <v>30-39</v>
      </c>
      <c r="K1921">
        <v>75716.55</v>
      </c>
      <c r="L1921" t="str">
        <f>IF(Workforce[[#This Row],[Salary]]&lt;50000,"30k-49k",IF(Workforce[[#This Row],[Salary]]&lt;70000,"50k-69k",IF(Workforce[[#This Row],[Salary]]&lt;90000,"70k-89k","90k+")))</f>
        <v>70k-89k</v>
      </c>
      <c r="M1921" t="s">
        <v>13474</v>
      </c>
      <c r="N1921">
        <f t="shared" ca="1" si="118"/>
        <v>1</v>
      </c>
      <c r="O1921" t="str">
        <f t="shared" ca="1" si="119"/>
        <v>Beginner</v>
      </c>
    </row>
    <row r="1922" spans="1:15" x14ac:dyDescent="0.3">
      <c r="A1922" t="s">
        <v>13475</v>
      </c>
      <c r="B1922" t="s">
        <v>13476</v>
      </c>
      <c r="C1922" t="s">
        <v>748</v>
      </c>
      <c r="D1922" t="s">
        <v>13477</v>
      </c>
      <c r="E1922" t="s">
        <v>13478</v>
      </c>
      <c r="F1922" t="s">
        <v>5432</v>
      </c>
      <c r="G1922" t="s">
        <v>13479</v>
      </c>
      <c r="H1922" t="s">
        <v>13480</v>
      </c>
      <c r="I1922">
        <f t="shared" ref="I1922:I1985" ca="1" si="120">DATEDIF(H1922,TODAY(),"y")</f>
        <v>59</v>
      </c>
      <c r="J1922" t="str">
        <f t="shared" ref="J1922:J1985" ca="1" si="121">IF(I1922&lt;30,"18-29",IF(I1922&lt;40,"30-39",IF(I1922&lt;50,"40-49",IF(I1922&lt;60,"50-59","60+"))))</f>
        <v>50-59</v>
      </c>
      <c r="K1922">
        <v>88930.79</v>
      </c>
      <c r="L1922" t="str">
        <f>IF(Workforce[[#This Row],[Salary]]&lt;50000,"30k-49k",IF(Workforce[[#This Row],[Salary]]&lt;70000,"50k-69k",IF(Workforce[[#This Row],[Salary]]&lt;90000,"70k-89k","90k+")))</f>
        <v>70k-89k</v>
      </c>
      <c r="M1922" t="s">
        <v>10034</v>
      </c>
      <c r="N1922">
        <f t="shared" ref="N1922:N1985" ca="1" si="122">DATEDIF(M1922,TODAY(),"y")</f>
        <v>6</v>
      </c>
      <c r="O1922" t="str">
        <f t="shared" ref="O1922:O1985" ca="1" si="123">IF(N1922&lt;=2,"Beginner",IF(N1922&lt;=6,"Intermediate level","Senior level"))</f>
        <v>Intermediate level</v>
      </c>
    </row>
    <row r="1923" spans="1:15" x14ac:dyDescent="0.3">
      <c r="A1923" t="s">
        <v>13481</v>
      </c>
      <c r="B1923" t="s">
        <v>13482</v>
      </c>
      <c r="C1923" t="s">
        <v>70</v>
      </c>
      <c r="D1923" t="s">
        <v>13483</v>
      </c>
      <c r="E1923" t="s">
        <v>13484</v>
      </c>
      <c r="F1923" t="s">
        <v>311</v>
      </c>
      <c r="G1923" t="s">
        <v>13485</v>
      </c>
      <c r="H1923" t="s">
        <v>13486</v>
      </c>
      <c r="I1923">
        <f t="shared" ca="1" si="120"/>
        <v>28</v>
      </c>
      <c r="J1923" t="str">
        <f t="shared" ca="1" si="121"/>
        <v>18-29</v>
      </c>
      <c r="K1923">
        <v>87655.3</v>
      </c>
      <c r="L1923" t="str">
        <f>IF(Workforce[[#This Row],[Salary]]&lt;50000,"30k-49k",IF(Workforce[[#This Row],[Salary]]&lt;70000,"50k-69k",IF(Workforce[[#This Row],[Salary]]&lt;90000,"70k-89k","90k+")))</f>
        <v>70k-89k</v>
      </c>
      <c r="M1923" t="s">
        <v>13146</v>
      </c>
      <c r="N1923">
        <f t="shared" ca="1" si="122"/>
        <v>8</v>
      </c>
      <c r="O1923" t="str">
        <f t="shared" ca="1" si="123"/>
        <v>Senior level</v>
      </c>
    </row>
    <row r="1924" spans="1:15" x14ac:dyDescent="0.3">
      <c r="A1924" t="s">
        <v>13487</v>
      </c>
      <c r="B1924" t="s">
        <v>13488</v>
      </c>
      <c r="C1924" t="s">
        <v>240</v>
      </c>
      <c r="D1924" t="s">
        <v>13489</v>
      </c>
      <c r="E1924" t="s">
        <v>13490</v>
      </c>
      <c r="F1924" t="s">
        <v>8172</v>
      </c>
      <c r="G1924" t="s">
        <v>13491</v>
      </c>
      <c r="H1924" t="s">
        <v>13492</v>
      </c>
      <c r="I1924">
        <f t="shared" ca="1" si="120"/>
        <v>65</v>
      </c>
      <c r="J1924" t="str">
        <f t="shared" ca="1" si="121"/>
        <v>60+</v>
      </c>
      <c r="K1924">
        <v>102015.18</v>
      </c>
      <c r="L1924" t="str">
        <f>IF(Workforce[[#This Row],[Salary]]&lt;50000,"30k-49k",IF(Workforce[[#This Row],[Salary]]&lt;70000,"50k-69k",IF(Workforce[[#This Row],[Salary]]&lt;90000,"70k-89k","90k+")))</f>
        <v>90k+</v>
      </c>
      <c r="M1924" t="s">
        <v>13493</v>
      </c>
      <c r="N1924">
        <f t="shared" ca="1" si="122"/>
        <v>5</v>
      </c>
      <c r="O1924" t="str">
        <f t="shared" ca="1" si="123"/>
        <v>Intermediate level</v>
      </c>
    </row>
    <row r="1925" spans="1:15" x14ac:dyDescent="0.3">
      <c r="A1925" t="s">
        <v>13494</v>
      </c>
      <c r="B1925" t="s">
        <v>13495</v>
      </c>
      <c r="C1925" t="s">
        <v>169</v>
      </c>
      <c r="D1925" t="s">
        <v>13496</v>
      </c>
      <c r="E1925" t="s">
        <v>13497</v>
      </c>
      <c r="F1925" t="s">
        <v>5053</v>
      </c>
      <c r="G1925" t="s">
        <v>13498</v>
      </c>
      <c r="H1925" t="s">
        <v>13499</v>
      </c>
      <c r="I1925">
        <f t="shared" ca="1" si="120"/>
        <v>41</v>
      </c>
      <c r="J1925" t="str">
        <f t="shared" ca="1" si="121"/>
        <v>40-49</v>
      </c>
      <c r="K1925">
        <v>46351.51</v>
      </c>
      <c r="L1925" t="str">
        <f>IF(Workforce[[#This Row],[Salary]]&lt;50000,"30k-49k",IF(Workforce[[#This Row],[Salary]]&lt;70000,"50k-69k",IF(Workforce[[#This Row],[Salary]]&lt;90000,"70k-89k","90k+")))</f>
        <v>30k-49k</v>
      </c>
      <c r="M1925" t="s">
        <v>2748</v>
      </c>
      <c r="N1925">
        <f t="shared" ca="1" si="122"/>
        <v>7</v>
      </c>
      <c r="O1925" t="str">
        <f t="shared" ca="1" si="123"/>
        <v>Senior level</v>
      </c>
    </row>
    <row r="1926" spans="1:15" x14ac:dyDescent="0.3">
      <c r="A1926" t="s">
        <v>13500</v>
      </c>
      <c r="B1926" t="s">
        <v>13501</v>
      </c>
      <c r="C1926" t="s">
        <v>151</v>
      </c>
      <c r="D1926" t="s">
        <v>13502</v>
      </c>
      <c r="E1926" t="s">
        <v>13503</v>
      </c>
      <c r="F1926" t="s">
        <v>7667</v>
      </c>
      <c r="G1926" t="s">
        <v>13504</v>
      </c>
      <c r="H1926" t="s">
        <v>13505</v>
      </c>
      <c r="I1926">
        <f t="shared" ca="1" si="120"/>
        <v>56</v>
      </c>
      <c r="J1926" t="str">
        <f t="shared" ca="1" si="121"/>
        <v>50-59</v>
      </c>
      <c r="K1926">
        <v>111266.21</v>
      </c>
      <c r="L1926" t="str">
        <f>IF(Workforce[[#This Row],[Salary]]&lt;50000,"30k-49k",IF(Workforce[[#This Row],[Salary]]&lt;70000,"50k-69k",IF(Workforce[[#This Row],[Salary]]&lt;90000,"70k-89k","90k+")))</f>
        <v>90k+</v>
      </c>
      <c r="M1926" t="s">
        <v>4512</v>
      </c>
      <c r="N1926">
        <f t="shared" ca="1" si="122"/>
        <v>10</v>
      </c>
      <c r="O1926" t="str">
        <f t="shared" ca="1" si="123"/>
        <v>Senior level</v>
      </c>
    </row>
    <row r="1927" spans="1:15" x14ac:dyDescent="0.3">
      <c r="A1927" t="s">
        <v>13506</v>
      </c>
      <c r="B1927" t="s">
        <v>13507</v>
      </c>
      <c r="C1927" t="s">
        <v>17</v>
      </c>
      <c r="D1927" t="s">
        <v>13508</v>
      </c>
      <c r="E1927" t="s">
        <v>13509</v>
      </c>
      <c r="F1927" t="s">
        <v>886</v>
      </c>
      <c r="G1927" t="s">
        <v>13510</v>
      </c>
      <c r="H1927" t="s">
        <v>13511</v>
      </c>
      <c r="I1927">
        <f t="shared" ca="1" si="120"/>
        <v>35</v>
      </c>
      <c r="J1927" t="str">
        <f t="shared" ca="1" si="121"/>
        <v>30-39</v>
      </c>
      <c r="K1927">
        <v>74526.17</v>
      </c>
      <c r="L1927" t="str">
        <f>IF(Workforce[[#This Row],[Salary]]&lt;50000,"30k-49k",IF(Workforce[[#This Row],[Salary]]&lt;70000,"50k-69k",IF(Workforce[[#This Row],[Salary]]&lt;90000,"70k-89k","90k+")))</f>
        <v>70k-89k</v>
      </c>
      <c r="M1927" t="s">
        <v>6551</v>
      </c>
      <c r="N1927">
        <f t="shared" ca="1" si="122"/>
        <v>6</v>
      </c>
      <c r="O1927" t="str">
        <f t="shared" ca="1" si="123"/>
        <v>Intermediate level</v>
      </c>
    </row>
    <row r="1928" spans="1:15" x14ac:dyDescent="0.3">
      <c r="A1928" t="s">
        <v>13512</v>
      </c>
      <c r="B1928" t="s">
        <v>13513</v>
      </c>
      <c r="C1928" t="s">
        <v>757</v>
      </c>
      <c r="D1928" t="s">
        <v>13514</v>
      </c>
      <c r="E1928" t="s">
        <v>13515</v>
      </c>
      <c r="F1928" t="s">
        <v>4023</v>
      </c>
      <c r="G1928" t="s">
        <v>13516</v>
      </c>
      <c r="H1928" t="s">
        <v>7929</v>
      </c>
      <c r="I1928">
        <f t="shared" ca="1" si="120"/>
        <v>52</v>
      </c>
      <c r="J1928" t="str">
        <f t="shared" ca="1" si="121"/>
        <v>50-59</v>
      </c>
      <c r="K1928">
        <v>101339.13</v>
      </c>
      <c r="L1928" t="str">
        <f>IF(Workforce[[#This Row],[Salary]]&lt;50000,"30k-49k",IF(Workforce[[#This Row],[Salary]]&lt;70000,"50k-69k",IF(Workforce[[#This Row],[Salary]]&lt;90000,"70k-89k","90k+")))</f>
        <v>90k+</v>
      </c>
      <c r="M1928" t="s">
        <v>1260</v>
      </c>
      <c r="N1928">
        <f t="shared" ca="1" si="122"/>
        <v>6</v>
      </c>
      <c r="O1928" t="str">
        <f t="shared" ca="1" si="123"/>
        <v>Intermediate level</v>
      </c>
    </row>
    <row r="1929" spans="1:15" x14ac:dyDescent="0.3">
      <c r="A1929" t="s">
        <v>13517</v>
      </c>
      <c r="B1929" t="s">
        <v>13518</v>
      </c>
      <c r="C1929" t="s">
        <v>88</v>
      </c>
      <c r="D1929" t="s">
        <v>13519</v>
      </c>
      <c r="E1929" t="s">
        <v>13520</v>
      </c>
      <c r="F1929" t="s">
        <v>10065</v>
      </c>
      <c r="G1929" t="s">
        <v>13521</v>
      </c>
      <c r="H1929" t="s">
        <v>13522</v>
      </c>
      <c r="I1929">
        <f t="shared" ca="1" si="120"/>
        <v>31</v>
      </c>
      <c r="J1929" t="str">
        <f t="shared" ca="1" si="121"/>
        <v>30-39</v>
      </c>
      <c r="K1929">
        <v>75647.259999999995</v>
      </c>
      <c r="L1929" t="str">
        <f>IF(Workforce[[#This Row],[Salary]]&lt;50000,"30k-49k",IF(Workforce[[#This Row],[Salary]]&lt;70000,"50k-69k",IF(Workforce[[#This Row],[Salary]]&lt;90000,"70k-89k","90k+")))</f>
        <v>70k-89k</v>
      </c>
      <c r="M1929" t="s">
        <v>13523</v>
      </c>
      <c r="N1929">
        <f t="shared" ca="1" si="122"/>
        <v>10</v>
      </c>
      <c r="O1929" t="str">
        <f t="shared" ca="1" si="123"/>
        <v>Senior level</v>
      </c>
    </row>
    <row r="1930" spans="1:15" x14ac:dyDescent="0.3">
      <c r="A1930" t="s">
        <v>13524</v>
      </c>
      <c r="B1930" t="s">
        <v>13525</v>
      </c>
      <c r="C1930" t="s">
        <v>539</v>
      </c>
      <c r="D1930" t="s">
        <v>13526</v>
      </c>
      <c r="E1930" t="s">
        <v>13527</v>
      </c>
      <c r="F1930" t="s">
        <v>9013</v>
      </c>
      <c r="G1930" t="s">
        <v>13528</v>
      </c>
      <c r="H1930" t="s">
        <v>13529</v>
      </c>
      <c r="I1930">
        <f t="shared" ca="1" si="120"/>
        <v>59</v>
      </c>
      <c r="J1930" t="str">
        <f t="shared" ca="1" si="121"/>
        <v>50-59</v>
      </c>
      <c r="K1930">
        <v>41604.18</v>
      </c>
      <c r="L1930" t="str">
        <f>IF(Workforce[[#This Row],[Salary]]&lt;50000,"30k-49k",IF(Workforce[[#This Row],[Salary]]&lt;70000,"50k-69k",IF(Workforce[[#This Row],[Salary]]&lt;90000,"70k-89k","90k+")))</f>
        <v>30k-49k</v>
      </c>
      <c r="M1930" t="s">
        <v>13530</v>
      </c>
      <c r="N1930">
        <f t="shared" ca="1" si="122"/>
        <v>9</v>
      </c>
      <c r="O1930" t="str">
        <f t="shared" ca="1" si="123"/>
        <v>Senior level</v>
      </c>
    </row>
    <row r="1931" spans="1:15" x14ac:dyDescent="0.3">
      <c r="A1931" t="s">
        <v>13531</v>
      </c>
      <c r="B1931" t="s">
        <v>13532</v>
      </c>
      <c r="C1931" t="s">
        <v>351</v>
      </c>
      <c r="D1931" t="s">
        <v>13533</v>
      </c>
      <c r="E1931" t="s">
        <v>13534</v>
      </c>
      <c r="F1931" t="s">
        <v>13535</v>
      </c>
      <c r="G1931" t="s">
        <v>13536</v>
      </c>
      <c r="H1931" t="s">
        <v>13537</v>
      </c>
      <c r="I1931">
        <f t="shared" ca="1" si="120"/>
        <v>48</v>
      </c>
      <c r="J1931" t="str">
        <f t="shared" ca="1" si="121"/>
        <v>40-49</v>
      </c>
      <c r="K1931">
        <v>93658.99</v>
      </c>
      <c r="L1931" t="str">
        <f>IF(Workforce[[#This Row],[Salary]]&lt;50000,"30k-49k",IF(Workforce[[#This Row],[Salary]]&lt;70000,"50k-69k",IF(Workforce[[#This Row],[Salary]]&lt;90000,"70k-89k","90k+")))</f>
        <v>90k+</v>
      </c>
      <c r="M1931" t="s">
        <v>10402</v>
      </c>
      <c r="N1931">
        <f t="shared" ca="1" si="122"/>
        <v>10</v>
      </c>
      <c r="O1931" t="str">
        <f t="shared" ca="1" si="123"/>
        <v>Senior level</v>
      </c>
    </row>
    <row r="1932" spans="1:15" x14ac:dyDescent="0.3">
      <c r="A1932" t="s">
        <v>13538</v>
      </c>
      <c r="B1932" t="s">
        <v>13539</v>
      </c>
      <c r="C1932" t="s">
        <v>335</v>
      </c>
      <c r="D1932" t="s">
        <v>13540</v>
      </c>
      <c r="E1932" t="s">
        <v>13541</v>
      </c>
      <c r="F1932" t="s">
        <v>2562</v>
      </c>
      <c r="G1932" t="s">
        <v>1827</v>
      </c>
      <c r="H1932" t="s">
        <v>13542</v>
      </c>
      <c r="I1932">
        <f t="shared" ca="1" si="120"/>
        <v>50</v>
      </c>
      <c r="J1932" t="str">
        <f t="shared" ca="1" si="121"/>
        <v>50-59</v>
      </c>
      <c r="K1932">
        <v>61156.54</v>
      </c>
      <c r="L1932" t="str">
        <f>IF(Workforce[[#This Row],[Salary]]&lt;50000,"30k-49k",IF(Workforce[[#This Row],[Salary]]&lt;70000,"50k-69k",IF(Workforce[[#This Row],[Salary]]&lt;90000,"70k-89k","90k+")))</f>
        <v>50k-69k</v>
      </c>
      <c r="M1932" t="s">
        <v>12725</v>
      </c>
      <c r="N1932">
        <f t="shared" ca="1" si="122"/>
        <v>6</v>
      </c>
      <c r="O1932" t="str">
        <f t="shared" ca="1" si="123"/>
        <v>Intermediate level</v>
      </c>
    </row>
    <row r="1933" spans="1:15" x14ac:dyDescent="0.3">
      <c r="A1933" t="s">
        <v>13543</v>
      </c>
      <c r="B1933" t="s">
        <v>13544</v>
      </c>
      <c r="C1933" t="s">
        <v>482</v>
      </c>
      <c r="D1933" t="s">
        <v>13545</v>
      </c>
      <c r="E1933" t="s">
        <v>13546</v>
      </c>
      <c r="F1933" t="s">
        <v>5053</v>
      </c>
      <c r="G1933" t="s">
        <v>13547</v>
      </c>
      <c r="H1933" t="s">
        <v>6197</v>
      </c>
      <c r="I1933">
        <f t="shared" ca="1" si="120"/>
        <v>39</v>
      </c>
      <c r="J1933" t="str">
        <f t="shared" ca="1" si="121"/>
        <v>30-39</v>
      </c>
      <c r="K1933">
        <v>116763.04</v>
      </c>
      <c r="L1933" t="str">
        <f>IF(Workforce[[#This Row],[Salary]]&lt;50000,"30k-49k",IF(Workforce[[#This Row],[Salary]]&lt;70000,"50k-69k",IF(Workforce[[#This Row],[Salary]]&lt;90000,"70k-89k","90k+")))</f>
        <v>90k+</v>
      </c>
      <c r="M1933" t="s">
        <v>1140</v>
      </c>
      <c r="N1933">
        <f t="shared" ca="1" si="122"/>
        <v>7</v>
      </c>
      <c r="O1933" t="str">
        <f t="shared" ca="1" si="123"/>
        <v>Senior level</v>
      </c>
    </row>
    <row r="1934" spans="1:15" x14ac:dyDescent="0.3">
      <c r="A1934" t="s">
        <v>13548</v>
      </c>
      <c r="B1934" t="s">
        <v>13549</v>
      </c>
      <c r="C1934" t="s">
        <v>275</v>
      </c>
      <c r="D1934" t="s">
        <v>13550</v>
      </c>
      <c r="E1934" t="s">
        <v>13551</v>
      </c>
      <c r="F1934" t="s">
        <v>3064</v>
      </c>
      <c r="G1934" t="s">
        <v>7914</v>
      </c>
      <c r="H1934" t="s">
        <v>13552</v>
      </c>
      <c r="I1934">
        <f t="shared" ca="1" si="120"/>
        <v>21</v>
      </c>
      <c r="J1934" t="str">
        <f t="shared" ca="1" si="121"/>
        <v>18-29</v>
      </c>
      <c r="K1934">
        <v>51073.94</v>
      </c>
      <c r="L1934" t="str">
        <f>IF(Workforce[[#This Row],[Salary]]&lt;50000,"30k-49k",IF(Workforce[[#This Row],[Salary]]&lt;70000,"50k-69k",IF(Workforce[[#This Row],[Salary]]&lt;90000,"70k-89k","90k+")))</f>
        <v>50k-69k</v>
      </c>
      <c r="M1934" t="s">
        <v>13553</v>
      </c>
      <c r="N1934">
        <f t="shared" ca="1" si="122"/>
        <v>4</v>
      </c>
      <c r="O1934" t="str">
        <f t="shared" ca="1" si="123"/>
        <v>Intermediate level</v>
      </c>
    </row>
    <row r="1935" spans="1:15" x14ac:dyDescent="0.3">
      <c r="A1935" t="s">
        <v>13554</v>
      </c>
      <c r="B1935" t="s">
        <v>13555</v>
      </c>
      <c r="C1935" t="s">
        <v>457</v>
      </c>
      <c r="D1935" t="s">
        <v>13556</v>
      </c>
      <c r="E1935" t="s">
        <v>13557</v>
      </c>
      <c r="F1935" t="s">
        <v>11398</v>
      </c>
      <c r="G1935" t="s">
        <v>13558</v>
      </c>
      <c r="H1935" t="s">
        <v>13559</v>
      </c>
      <c r="I1935">
        <f t="shared" ca="1" si="120"/>
        <v>36</v>
      </c>
      <c r="J1935" t="str">
        <f t="shared" ca="1" si="121"/>
        <v>30-39</v>
      </c>
      <c r="K1935">
        <v>112386.03</v>
      </c>
      <c r="L1935" t="str">
        <f>IF(Workforce[[#This Row],[Salary]]&lt;50000,"30k-49k",IF(Workforce[[#This Row],[Salary]]&lt;70000,"50k-69k",IF(Workforce[[#This Row],[Salary]]&lt;90000,"70k-89k","90k+")))</f>
        <v>90k+</v>
      </c>
      <c r="M1935" t="s">
        <v>3296</v>
      </c>
      <c r="N1935">
        <f t="shared" ca="1" si="122"/>
        <v>8</v>
      </c>
      <c r="O1935" t="str">
        <f t="shared" ca="1" si="123"/>
        <v>Senior level</v>
      </c>
    </row>
    <row r="1936" spans="1:15" x14ac:dyDescent="0.3">
      <c r="A1936" t="s">
        <v>2919</v>
      </c>
      <c r="B1936" t="s">
        <v>13560</v>
      </c>
      <c r="C1936" t="s">
        <v>317</v>
      </c>
      <c r="D1936" t="s">
        <v>13561</v>
      </c>
      <c r="E1936" t="s">
        <v>13562</v>
      </c>
      <c r="F1936" t="s">
        <v>9359</v>
      </c>
      <c r="G1936" t="s">
        <v>13563</v>
      </c>
      <c r="H1936" t="s">
        <v>13564</v>
      </c>
      <c r="I1936">
        <f t="shared" ca="1" si="120"/>
        <v>48</v>
      </c>
      <c r="J1936" t="str">
        <f t="shared" ca="1" si="121"/>
        <v>40-49</v>
      </c>
      <c r="K1936">
        <v>59582.46</v>
      </c>
      <c r="L1936" t="str">
        <f>IF(Workforce[[#This Row],[Salary]]&lt;50000,"30k-49k",IF(Workforce[[#This Row],[Salary]]&lt;70000,"50k-69k",IF(Workforce[[#This Row],[Salary]]&lt;90000,"70k-89k","90k+")))</f>
        <v>50k-69k</v>
      </c>
      <c r="M1936" t="s">
        <v>13565</v>
      </c>
      <c r="N1936">
        <f t="shared" ca="1" si="122"/>
        <v>3</v>
      </c>
      <c r="O1936" t="str">
        <f t="shared" ca="1" si="123"/>
        <v>Intermediate level</v>
      </c>
    </row>
    <row r="1937" spans="1:15" x14ac:dyDescent="0.3">
      <c r="A1937" t="s">
        <v>13566</v>
      </c>
      <c r="B1937" t="s">
        <v>13567</v>
      </c>
      <c r="C1937" t="s">
        <v>169</v>
      </c>
      <c r="D1937" t="s">
        <v>13568</v>
      </c>
      <c r="E1937" t="s">
        <v>13569</v>
      </c>
      <c r="F1937" t="s">
        <v>2036</v>
      </c>
      <c r="G1937" t="s">
        <v>13570</v>
      </c>
      <c r="H1937" t="s">
        <v>13571</v>
      </c>
      <c r="I1937">
        <f t="shared" ca="1" si="120"/>
        <v>39</v>
      </c>
      <c r="J1937" t="str">
        <f t="shared" ca="1" si="121"/>
        <v>30-39</v>
      </c>
      <c r="K1937">
        <v>74106.570000000007</v>
      </c>
      <c r="L1937" t="str">
        <f>IF(Workforce[[#This Row],[Salary]]&lt;50000,"30k-49k",IF(Workforce[[#This Row],[Salary]]&lt;70000,"50k-69k",IF(Workforce[[#This Row],[Salary]]&lt;90000,"70k-89k","90k+")))</f>
        <v>70k-89k</v>
      </c>
      <c r="M1937" t="s">
        <v>13572</v>
      </c>
      <c r="N1937">
        <f t="shared" ca="1" si="122"/>
        <v>8</v>
      </c>
      <c r="O1937" t="str">
        <f t="shared" ca="1" si="123"/>
        <v>Senior level</v>
      </c>
    </row>
    <row r="1938" spans="1:15" x14ac:dyDescent="0.3">
      <c r="A1938" t="s">
        <v>13573</v>
      </c>
      <c r="B1938" t="s">
        <v>13574</v>
      </c>
      <c r="C1938" t="s">
        <v>1043</v>
      </c>
      <c r="D1938" t="s">
        <v>13575</v>
      </c>
      <c r="E1938" t="s">
        <v>13576</v>
      </c>
      <c r="F1938" t="s">
        <v>2577</v>
      </c>
      <c r="G1938" t="s">
        <v>13577</v>
      </c>
      <c r="H1938" t="s">
        <v>13578</v>
      </c>
      <c r="I1938">
        <f t="shared" ca="1" si="120"/>
        <v>50</v>
      </c>
      <c r="J1938" t="str">
        <f t="shared" ca="1" si="121"/>
        <v>50-59</v>
      </c>
      <c r="K1938">
        <v>62746.65</v>
      </c>
      <c r="L1938" t="str">
        <f>IF(Workforce[[#This Row],[Salary]]&lt;50000,"30k-49k",IF(Workforce[[#This Row],[Salary]]&lt;70000,"50k-69k",IF(Workforce[[#This Row],[Salary]]&lt;90000,"70k-89k","90k+")))</f>
        <v>50k-69k</v>
      </c>
      <c r="M1938" t="s">
        <v>13579</v>
      </c>
      <c r="N1938">
        <f t="shared" ca="1" si="122"/>
        <v>1</v>
      </c>
      <c r="O1938" t="str">
        <f t="shared" ca="1" si="123"/>
        <v>Beginner</v>
      </c>
    </row>
    <row r="1939" spans="1:15" x14ac:dyDescent="0.3">
      <c r="A1939" t="s">
        <v>13580</v>
      </c>
      <c r="B1939" t="s">
        <v>13581</v>
      </c>
      <c r="C1939" t="s">
        <v>1004</v>
      </c>
      <c r="D1939" t="s">
        <v>13582</v>
      </c>
      <c r="E1939" t="s">
        <v>13583</v>
      </c>
      <c r="F1939" t="s">
        <v>517</v>
      </c>
      <c r="G1939" t="s">
        <v>13584</v>
      </c>
      <c r="H1939" t="s">
        <v>13585</v>
      </c>
      <c r="I1939">
        <f t="shared" ca="1" si="120"/>
        <v>21</v>
      </c>
      <c r="J1939" t="str">
        <f t="shared" ca="1" si="121"/>
        <v>18-29</v>
      </c>
      <c r="K1939">
        <v>111061.59</v>
      </c>
      <c r="L1939" t="str">
        <f>IF(Workforce[[#This Row],[Salary]]&lt;50000,"30k-49k",IF(Workforce[[#This Row],[Salary]]&lt;70000,"50k-69k",IF(Workforce[[#This Row],[Salary]]&lt;90000,"70k-89k","90k+")))</f>
        <v>90k+</v>
      </c>
      <c r="M1939" t="s">
        <v>8154</v>
      </c>
      <c r="N1939">
        <f t="shared" ca="1" si="122"/>
        <v>3</v>
      </c>
      <c r="O1939" t="str">
        <f t="shared" ca="1" si="123"/>
        <v>Intermediate level</v>
      </c>
    </row>
    <row r="1940" spans="1:15" x14ac:dyDescent="0.3">
      <c r="A1940" t="s">
        <v>13586</v>
      </c>
      <c r="B1940" t="s">
        <v>13587</v>
      </c>
      <c r="C1940" t="s">
        <v>482</v>
      </c>
      <c r="D1940" t="s">
        <v>13588</v>
      </c>
      <c r="E1940" t="s">
        <v>13589</v>
      </c>
      <c r="F1940" t="s">
        <v>13590</v>
      </c>
      <c r="G1940" t="s">
        <v>13591</v>
      </c>
      <c r="H1940" t="s">
        <v>13592</v>
      </c>
      <c r="I1940">
        <f t="shared" ca="1" si="120"/>
        <v>65</v>
      </c>
      <c r="J1940" t="str">
        <f t="shared" ca="1" si="121"/>
        <v>60+</v>
      </c>
      <c r="K1940">
        <v>73375.53</v>
      </c>
      <c r="L1940" t="str">
        <f>IF(Workforce[[#This Row],[Salary]]&lt;50000,"30k-49k",IF(Workforce[[#This Row],[Salary]]&lt;70000,"50k-69k",IF(Workforce[[#This Row],[Salary]]&lt;90000,"70k-89k","90k+")))</f>
        <v>70k-89k</v>
      </c>
      <c r="M1940" t="s">
        <v>13593</v>
      </c>
      <c r="N1940">
        <f t="shared" ca="1" si="122"/>
        <v>4</v>
      </c>
      <c r="O1940" t="str">
        <f t="shared" ca="1" si="123"/>
        <v>Intermediate level</v>
      </c>
    </row>
    <row r="1941" spans="1:15" x14ac:dyDescent="0.3">
      <c r="A1941" t="s">
        <v>13594</v>
      </c>
      <c r="B1941" t="s">
        <v>13595</v>
      </c>
      <c r="C1941" t="s">
        <v>844</v>
      </c>
      <c r="D1941" t="s">
        <v>13596</v>
      </c>
      <c r="E1941" t="s">
        <v>13597</v>
      </c>
      <c r="F1941" t="s">
        <v>2592</v>
      </c>
      <c r="G1941" t="s">
        <v>13598</v>
      </c>
      <c r="H1941" t="s">
        <v>13599</v>
      </c>
      <c r="I1941">
        <f t="shared" ca="1" si="120"/>
        <v>25</v>
      </c>
      <c r="J1941" t="str">
        <f t="shared" ca="1" si="121"/>
        <v>18-29</v>
      </c>
      <c r="K1941">
        <v>97890.72</v>
      </c>
      <c r="L1941" t="str">
        <f>IF(Workforce[[#This Row],[Salary]]&lt;50000,"30k-49k",IF(Workforce[[#This Row],[Salary]]&lt;70000,"50k-69k",IF(Workforce[[#This Row],[Salary]]&lt;90000,"70k-89k","90k+")))</f>
        <v>90k+</v>
      </c>
      <c r="M1941" t="s">
        <v>4549</v>
      </c>
      <c r="N1941">
        <f t="shared" ca="1" si="122"/>
        <v>9</v>
      </c>
      <c r="O1941" t="str">
        <f t="shared" ca="1" si="123"/>
        <v>Senior level</v>
      </c>
    </row>
    <row r="1942" spans="1:15" x14ac:dyDescent="0.3">
      <c r="A1942" t="s">
        <v>13600</v>
      </c>
      <c r="B1942" t="s">
        <v>13601</v>
      </c>
      <c r="C1942" t="s">
        <v>44</v>
      </c>
      <c r="D1942" t="s">
        <v>13602</v>
      </c>
      <c r="E1942" t="s">
        <v>13603</v>
      </c>
      <c r="F1942" t="s">
        <v>1153</v>
      </c>
      <c r="G1942" t="s">
        <v>13604</v>
      </c>
      <c r="H1942" t="s">
        <v>13605</v>
      </c>
      <c r="I1942">
        <f t="shared" ca="1" si="120"/>
        <v>38</v>
      </c>
      <c r="J1942" t="str">
        <f t="shared" ca="1" si="121"/>
        <v>30-39</v>
      </c>
      <c r="K1942">
        <v>97757.05</v>
      </c>
      <c r="L1942" t="str">
        <f>IF(Workforce[[#This Row],[Salary]]&lt;50000,"30k-49k",IF(Workforce[[#This Row],[Salary]]&lt;70000,"50k-69k",IF(Workforce[[#This Row],[Salary]]&lt;90000,"70k-89k","90k+")))</f>
        <v>90k+</v>
      </c>
      <c r="M1942" t="s">
        <v>13606</v>
      </c>
      <c r="N1942">
        <f t="shared" ca="1" si="122"/>
        <v>8</v>
      </c>
      <c r="O1942" t="str">
        <f t="shared" ca="1" si="123"/>
        <v>Senior level</v>
      </c>
    </row>
    <row r="1943" spans="1:15" x14ac:dyDescent="0.3">
      <c r="A1943" t="s">
        <v>13607</v>
      </c>
      <c r="B1943" t="s">
        <v>13608</v>
      </c>
      <c r="C1943" t="s">
        <v>61</v>
      </c>
      <c r="D1943" t="s">
        <v>13609</v>
      </c>
      <c r="E1943" t="s">
        <v>13610</v>
      </c>
      <c r="F1943" t="s">
        <v>3329</v>
      </c>
      <c r="G1943" t="s">
        <v>13611</v>
      </c>
      <c r="H1943" t="s">
        <v>6134</v>
      </c>
      <c r="I1943">
        <f t="shared" ca="1" si="120"/>
        <v>50</v>
      </c>
      <c r="J1943" t="str">
        <f t="shared" ca="1" si="121"/>
        <v>50-59</v>
      </c>
      <c r="K1943">
        <v>43241.42</v>
      </c>
      <c r="L1943" t="str">
        <f>IF(Workforce[[#This Row],[Salary]]&lt;50000,"30k-49k",IF(Workforce[[#This Row],[Salary]]&lt;70000,"50k-69k",IF(Workforce[[#This Row],[Salary]]&lt;90000,"70k-89k","90k+")))</f>
        <v>30k-49k</v>
      </c>
      <c r="M1943" t="s">
        <v>13612</v>
      </c>
      <c r="N1943">
        <f t="shared" ca="1" si="122"/>
        <v>1</v>
      </c>
      <c r="O1943" t="str">
        <f t="shared" ca="1" si="123"/>
        <v>Beginner</v>
      </c>
    </row>
    <row r="1944" spans="1:15" x14ac:dyDescent="0.3">
      <c r="A1944" t="s">
        <v>13613</v>
      </c>
      <c r="B1944" t="s">
        <v>13614</v>
      </c>
      <c r="C1944" t="s">
        <v>115</v>
      </c>
      <c r="D1944" t="s">
        <v>13615</v>
      </c>
      <c r="E1944" t="s">
        <v>13616</v>
      </c>
      <c r="F1944" t="s">
        <v>1442</v>
      </c>
      <c r="G1944" t="s">
        <v>13617</v>
      </c>
      <c r="H1944" t="s">
        <v>13618</v>
      </c>
      <c r="I1944">
        <f t="shared" ca="1" si="120"/>
        <v>65</v>
      </c>
      <c r="J1944" t="str">
        <f t="shared" ca="1" si="121"/>
        <v>60+</v>
      </c>
      <c r="K1944">
        <v>61989.52</v>
      </c>
      <c r="L1944" t="str">
        <f>IF(Workforce[[#This Row],[Salary]]&lt;50000,"30k-49k",IF(Workforce[[#This Row],[Salary]]&lt;70000,"50k-69k",IF(Workforce[[#This Row],[Salary]]&lt;90000,"70k-89k","90k+")))</f>
        <v>50k-69k</v>
      </c>
      <c r="M1944" t="s">
        <v>13619</v>
      </c>
      <c r="N1944">
        <f t="shared" ca="1" si="122"/>
        <v>4</v>
      </c>
      <c r="O1944" t="str">
        <f t="shared" ca="1" si="123"/>
        <v>Intermediate level</v>
      </c>
    </row>
    <row r="1945" spans="1:15" x14ac:dyDescent="0.3">
      <c r="A1945" t="s">
        <v>13620</v>
      </c>
      <c r="B1945" t="s">
        <v>13621</v>
      </c>
      <c r="C1945" t="s">
        <v>178</v>
      </c>
      <c r="D1945" t="s">
        <v>13622</v>
      </c>
      <c r="E1945" t="s">
        <v>13623</v>
      </c>
      <c r="F1945" t="s">
        <v>13624</v>
      </c>
      <c r="G1945" t="s">
        <v>13625</v>
      </c>
      <c r="H1945" t="s">
        <v>13626</v>
      </c>
      <c r="I1945">
        <f t="shared" ca="1" si="120"/>
        <v>58</v>
      </c>
      <c r="J1945" t="str">
        <f t="shared" ca="1" si="121"/>
        <v>50-59</v>
      </c>
      <c r="K1945">
        <v>36040.21</v>
      </c>
      <c r="L1945" t="str">
        <f>IF(Workforce[[#This Row],[Salary]]&lt;50000,"30k-49k",IF(Workforce[[#This Row],[Salary]]&lt;70000,"50k-69k",IF(Workforce[[#This Row],[Salary]]&lt;90000,"70k-89k","90k+")))</f>
        <v>30k-49k</v>
      </c>
      <c r="M1945" t="s">
        <v>520</v>
      </c>
      <c r="N1945">
        <f t="shared" ca="1" si="122"/>
        <v>1</v>
      </c>
      <c r="O1945" t="str">
        <f t="shared" ca="1" si="123"/>
        <v>Beginner</v>
      </c>
    </row>
    <row r="1946" spans="1:15" x14ac:dyDescent="0.3">
      <c r="A1946" t="s">
        <v>13627</v>
      </c>
      <c r="B1946" t="s">
        <v>13628</v>
      </c>
      <c r="C1946" t="s">
        <v>35</v>
      </c>
      <c r="D1946" t="s">
        <v>13629</v>
      </c>
      <c r="E1946" t="s">
        <v>13630</v>
      </c>
      <c r="F1946" t="s">
        <v>1888</v>
      </c>
      <c r="G1946" t="s">
        <v>13058</v>
      </c>
      <c r="H1946" t="s">
        <v>13631</v>
      </c>
      <c r="I1946">
        <f t="shared" ca="1" si="120"/>
        <v>19</v>
      </c>
      <c r="J1946" t="str">
        <f t="shared" ca="1" si="121"/>
        <v>18-29</v>
      </c>
      <c r="K1946">
        <v>103038.13</v>
      </c>
      <c r="L1946" t="str">
        <f>IF(Workforce[[#This Row],[Salary]]&lt;50000,"30k-49k",IF(Workforce[[#This Row],[Salary]]&lt;70000,"50k-69k",IF(Workforce[[#This Row],[Salary]]&lt;90000,"70k-89k","90k+")))</f>
        <v>90k+</v>
      </c>
      <c r="M1946" t="s">
        <v>13632</v>
      </c>
      <c r="N1946">
        <f t="shared" ca="1" si="122"/>
        <v>5</v>
      </c>
      <c r="O1946" t="str">
        <f t="shared" ca="1" si="123"/>
        <v>Intermediate level</v>
      </c>
    </row>
    <row r="1947" spans="1:15" x14ac:dyDescent="0.3">
      <c r="A1947" t="s">
        <v>13633</v>
      </c>
      <c r="B1947" t="s">
        <v>13634</v>
      </c>
      <c r="C1947" t="s">
        <v>995</v>
      </c>
      <c r="D1947" t="s">
        <v>13635</v>
      </c>
      <c r="E1947" t="s">
        <v>13636</v>
      </c>
      <c r="F1947" t="s">
        <v>4546</v>
      </c>
      <c r="G1947" t="s">
        <v>13637</v>
      </c>
      <c r="H1947" t="s">
        <v>13638</v>
      </c>
      <c r="I1947">
        <f t="shared" ca="1" si="120"/>
        <v>33</v>
      </c>
      <c r="J1947" t="str">
        <f t="shared" ca="1" si="121"/>
        <v>30-39</v>
      </c>
      <c r="K1947">
        <v>86771.7</v>
      </c>
      <c r="L1947" t="str">
        <f>IF(Workforce[[#This Row],[Salary]]&lt;50000,"30k-49k",IF(Workforce[[#This Row],[Salary]]&lt;70000,"50k-69k",IF(Workforce[[#This Row],[Salary]]&lt;90000,"70k-89k","90k+")))</f>
        <v>70k-89k</v>
      </c>
      <c r="M1947" t="s">
        <v>13639</v>
      </c>
      <c r="N1947">
        <f t="shared" ca="1" si="122"/>
        <v>8</v>
      </c>
      <c r="O1947" t="str">
        <f t="shared" ca="1" si="123"/>
        <v>Senior level</v>
      </c>
    </row>
    <row r="1948" spans="1:15" x14ac:dyDescent="0.3">
      <c r="A1948" t="s">
        <v>13640</v>
      </c>
      <c r="B1948" t="s">
        <v>13641</v>
      </c>
      <c r="C1948" t="s">
        <v>213</v>
      </c>
      <c r="D1948" t="s">
        <v>13642</v>
      </c>
      <c r="E1948" t="s">
        <v>13643</v>
      </c>
      <c r="F1948" t="s">
        <v>3199</v>
      </c>
      <c r="G1948" t="s">
        <v>13644</v>
      </c>
      <c r="H1948" t="s">
        <v>13645</v>
      </c>
      <c r="I1948">
        <f t="shared" ca="1" si="120"/>
        <v>59</v>
      </c>
      <c r="J1948" t="str">
        <f t="shared" ca="1" si="121"/>
        <v>50-59</v>
      </c>
      <c r="K1948">
        <v>43530.38</v>
      </c>
      <c r="L1948" t="str">
        <f>IF(Workforce[[#This Row],[Salary]]&lt;50000,"30k-49k",IF(Workforce[[#This Row],[Salary]]&lt;70000,"50k-69k",IF(Workforce[[#This Row],[Salary]]&lt;90000,"70k-89k","90k+")))</f>
        <v>30k-49k</v>
      </c>
      <c r="M1948" t="s">
        <v>13646</v>
      </c>
      <c r="N1948">
        <f t="shared" ca="1" si="122"/>
        <v>3</v>
      </c>
      <c r="O1948" t="str">
        <f t="shared" ca="1" si="123"/>
        <v>Intermediate level</v>
      </c>
    </row>
    <row r="1949" spans="1:15" x14ac:dyDescent="0.3">
      <c r="A1949" t="s">
        <v>13647</v>
      </c>
      <c r="B1949" t="s">
        <v>13648</v>
      </c>
      <c r="C1949" t="s">
        <v>79</v>
      </c>
      <c r="D1949" t="s">
        <v>13649</v>
      </c>
      <c r="E1949" t="s">
        <v>13650</v>
      </c>
      <c r="F1949" t="s">
        <v>2840</v>
      </c>
      <c r="G1949" t="s">
        <v>13651</v>
      </c>
      <c r="H1949" t="s">
        <v>13652</v>
      </c>
      <c r="I1949">
        <f t="shared" ca="1" si="120"/>
        <v>41</v>
      </c>
      <c r="J1949" t="str">
        <f t="shared" ca="1" si="121"/>
        <v>40-49</v>
      </c>
      <c r="K1949">
        <v>32499.95</v>
      </c>
      <c r="L1949" t="str">
        <f>IF(Workforce[[#This Row],[Salary]]&lt;50000,"30k-49k",IF(Workforce[[#This Row],[Salary]]&lt;70000,"50k-69k",IF(Workforce[[#This Row],[Salary]]&lt;90000,"70k-89k","90k+")))</f>
        <v>30k-49k</v>
      </c>
      <c r="M1949" t="s">
        <v>13653</v>
      </c>
      <c r="N1949">
        <f t="shared" ca="1" si="122"/>
        <v>6</v>
      </c>
      <c r="O1949" t="str">
        <f t="shared" ca="1" si="123"/>
        <v>Intermediate level</v>
      </c>
    </row>
    <row r="1950" spans="1:15" x14ac:dyDescent="0.3">
      <c r="A1950" t="s">
        <v>13654</v>
      </c>
      <c r="B1950" t="s">
        <v>13655</v>
      </c>
      <c r="C1950" t="s">
        <v>160</v>
      </c>
      <c r="D1950" t="s">
        <v>13656</v>
      </c>
      <c r="E1950" t="s">
        <v>13657</v>
      </c>
      <c r="F1950" t="s">
        <v>345</v>
      </c>
      <c r="G1950" t="s">
        <v>13658</v>
      </c>
      <c r="H1950" t="s">
        <v>13659</v>
      </c>
      <c r="I1950">
        <f t="shared" ca="1" si="120"/>
        <v>36</v>
      </c>
      <c r="J1950" t="str">
        <f t="shared" ca="1" si="121"/>
        <v>30-39</v>
      </c>
      <c r="K1950">
        <v>69581.259999999995</v>
      </c>
      <c r="L1950" t="str">
        <f>IF(Workforce[[#This Row],[Salary]]&lt;50000,"30k-49k",IF(Workforce[[#This Row],[Salary]]&lt;70000,"50k-69k",IF(Workforce[[#This Row],[Salary]]&lt;90000,"70k-89k","90k+")))</f>
        <v>50k-69k</v>
      </c>
      <c r="M1950" t="s">
        <v>2316</v>
      </c>
      <c r="N1950">
        <f t="shared" ca="1" si="122"/>
        <v>4</v>
      </c>
      <c r="O1950" t="str">
        <f t="shared" ca="1" si="123"/>
        <v>Intermediate level</v>
      </c>
    </row>
    <row r="1951" spans="1:15" x14ac:dyDescent="0.3">
      <c r="A1951" t="s">
        <v>13660</v>
      </c>
      <c r="B1951" t="s">
        <v>13661</v>
      </c>
      <c r="C1951" t="s">
        <v>1004</v>
      </c>
      <c r="D1951" t="s">
        <v>13662</v>
      </c>
      <c r="E1951" t="s">
        <v>13663</v>
      </c>
      <c r="F1951" t="s">
        <v>6827</v>
      </c>
      <c r="G1951" t="s">
        <v>13664</v>
      </c>
      <c r="H1951" t="s">
        <v>13665</v>
      </c>
      <c r="I1951">
        <f t="shared" ca="1" si="120"/>
        <v>39</v>
      </c>
      <c r="J1951" t="str">
        <f t="shared" ca="1" si="121"/>
        <v>30-39</v>
      </c>
      <c r="K1951">
        <v>74121.289999999994</v>
      </c>
      <c r="L1951" t="str">
        <f>IF(Workforce[[#This Row],[Salary]]&lt;50000,"30k-49k",IF(Workforce[[#This Row],[Salary]]&lt;70000,"50k-69k",IF(Workforce[[#This Row],[Salary]]&lt;90000,"70k-89k","90k+")))</f>
        <v>70k-89k</v>
      </c>
      <c r="M1951" t="s">
        <v>13666</v>
      </c>
      <c r="N1951">
        <f t="shared" ca="1" si="122"/>
        <v>8</v>
      </c>
      <c r="O1951" t="str">
        <f t="shared" ca="1" si="123"/>
        <v>Senior level</v>
      </c>
    </row>
    <row r="1952" spans="1:15" x14ac:dyDescent="0.3">
      <c r="A1952" t="s">
        <v>13667</v>
      </c>
      <c r="B1952" t="s">
        <v>13668</v>
      </c>
      <c r="C1952" t="s">
        <v>539</v>
      </c>
      <c r="D1952" t="s">
        <v>13669</v>
      </c>
      <c r="E1952" t="s">
        <v>13670</v>
      </c>
      <c r="F1952" t="s">
        <v>451</v>
      </c>
      <c r="G1952" t="s">
        <v>13671</v>
      </c>
      <c r="H1952" t="s">
        <v>10865</v>
      </c>
      <c r="I1952">
        <f t="shared" ca="1" si="120"/>
        <v>29</v>
      </c>
      <c r="J1952" t="str">
        <f t="shared" ca="1" si="121"/>
        <v>18-29</v>
      </c>
      <c r="K1952">
        <v>104088.29</v>
      </c>
      <c r="L1952" t="str">
        <f>IF(Workforce[[#This Row],[Salary]]&lt;50000,"30k-49k",IF(Workforce[[#This Row],[Salary]]&lt;70000,"50k-69k",IF(Workforce[[#This Row],[Salary]]&lt;90000,"70k-89k","90k+")))</f>
        <v>90k+</v>
      </c>
      <c r="M1952" t="s">
        <v>5568</v>
      </c>
      <c r="N1952">
        <f t="shared" ca="1" si="122"/>
        <v>8</v>
      </c>
      <c r="O1952" t="str">
        <f t="shared" ca="1" si="123"/>
        <v>Senior level</v>
      </c>
    </row>
    <row r="1953" spans="1:15" x14ac:dyDescent="0.3">
      <c r="A1953" t="s">
        <v>13672</v>
      </c>
      <c r="B1953" t="s">
        <v>13673</v>
      </c>
      <c r="C1953" t="s">
        <v>844</v>
      </c>
      <c r="D1953" t="s">
        <v>13674</v>
      </c>
      <c r="E1953" t="s">
        <v>13675</v>
      </c>
      <c r="F1953" t="s">
        <v>2328</v>
      </c>
      <c r="G1953" t="s">
        <v>13676</v>
      </c>
      <c r="H1953" t="s">
        <v>13677</v>
      </c>
      <c r="I1953">
        <f t="shared" ca="1" si="120"/>
        <v>21</v>
      </c>
      <c r="J1953" t="str">
        <f t="shared" ca="1" si="121"/>
        <v>18-29</v>
      </c>
      <c r="K1953">
        <v>62657.07</v>
      </c>
      <c r="L1953" t="str">
        <f>IF(Workforce[[#This Row],[Salary]]&lt;50000,"30k-49k",IF(Workforce[[#This Row],[Salary]]&lt;70000,"50k-69k",IF(Workforce[[#This Row],[Salary]]&lt;90000,"70k-89k","90k+")))</f>
        <v>50k-69k</v>
      </c>
      <c r="M1953" t="s">
        <v>13678</v>
      </c>
      <c r="N1953">
        <f t="shared" ca="1" si="122"/>
        <v>8</v>
      </c>
      <c r="O1953" t="str">
        <f t="shared" ca="1" si="123"/>
        <v>Senior level</v>
      </c>
    </row>
    <row r="1954" spans="1:15" x14ac:dyDescent="0.3">
      <c r="A1954" t="s">
        <v>13679</v>
      </c>
      <c r="B1954" t="s">
        <v>13680</v>
      </c>
      <c r="C1954" t="s">
        <v>70</v>
      </c>
      <c r="D1954" t="s">
        <v>13681</v>
      </c>
      <c r="E1954" t="s">
        <v>13682</v>
      </c>
      <c r="F1954" t="s">
        <v>542</v>
      </c>
      <c r="G1954" t="s">
        <v>13683</v>
      </c>
      <c r="H1954" t="s">
        <v>5738</v>
      </c>
      <c r="I1954">
        <f t="shared" ca="1" si="120"/>
        <v>33</v>
      </c>
      <c r="J1954" t="str">
        <f t="shared" ca="1" si="121"/>
        <v>30-39</v>
      </c>
      <c r="K1954">
        <v>52819.02</v>
      </c>
      <c r="L1954" t="str">
        <f>IF(Workforce[[#This Row],[Salary]]&lt;50000,"30k-49k",IF(Workforce[[#This Row],[Salary]]&lt;70000,"50k-69k",IF(Workforce[[#This Row],[Salary]]&lt;90000,"70k-89k","90k+")))</f>
        <v>50k-69k</v>
      </c>
      <c r="M1954" t="s">
        <v>13684</v>
      </c>
      <c r="N1954">
        <f t="shared" ca="1" si="122"/>
        <v>10</v>
      </c>
      <c r="O1954" t="str">
        <f t="shared" ca="1" si="123"/>
        <v>Senior level</v>
      </c>
    </row>
    <row r="1955" spans="1:15" x14ac:dyDescent="0.3">
      <c r="A1955" t="s">
        <v>13685</v>
      </c>
      <c r="B1955" t="s">
        <v>13686</v>
      </c>
      <c r="C1955" t="s">
        <v>482</v>
      </c>
      <c r="D1955" t="s">
        <v>13687</v>
      </c>
      <c r="E1955" t="s">
        <v>13688</v>
      </c>
      <c r="F1955" t="s">
        <v>760</v>
      </c>
      <c r="G1955" t="s">
        <v>13689</v>
      </c>
      <c r="H1955" t="s">
        <v>5004</v>
      </c>
      <c r="I1955">
        <f t="shared" ca="1" si="120"/>
        <v>45</v>
      </c>
      <c r="J1955" t="str">
        <f t="shared" ca="1" si="121"/>
        <v>40-49</v>
      </c>
      <c r="K1955">
        <v>71096.89</v>
      </c>
      <c r="L1955" t="str">
        <f>IF(Workforce[[#This Row],[Salary]]&lt;50000,"30k-49k",IF(Workforce[[#This Row],[Salary]]&lt;70000,"50k-69k",IF(Workforce[[#This Row],[Salary]]&lt;90000,"70k-89k","90k+")))</f>
        <v>70k-89k</v>
      </c>
      <c r="M1955" t="s">
        <v>12240</v>
      </c>
      <c r="N1955">
        <f t="shared" ca="1" si="122"/>
        <v>1</v>
      </c>
      <c r="O1955" t="str">
        <f t="shared" ca="1" si="123"/>
        <v>Beginner</v>
      </c>
    </row>
    <row r="1956" spans="1:15" x14ac:dyDescent="0.3">
      <c r="A1956" t="s">
        <v>13690</v>
      </c>
      <c r="B1956" t="s">
        <v>13691</v>
      </c>
      <c r="C1956" t="s">
        <v>275</v>
      </c>
      <c r="D1956" t="s">
        <v>13692</v>
      </c>
      <c r="E1956" t="s">
        <v>13693</v>
      </c>
      <c r="F1956" t="s">
        <v>13694</v>
      </c>
      <c r="G1956" t="s">
        <v>13695</v>
      </c>
      <c r="H1956" t="s">
        <v>13696</v>
      </c>
      <c r="I1956">
        <f t="shared" ca="1" si="120"/>
        <v>58</v>
      </c>
      <c r="J1956" t="str">
        <f t="shared" ca="1" si="121"/>
        <v>50-59</v>
      </c>
      <c r="K1956">
        <v>118717.31</v>
      </c>
      <c r="L1956" t="str">
        <f>IF(Workforce[[#This Row],[Salary]]&lt;50000,"30k-49k",IF(Workforce[[#This Row],[Salary]]&lt;70000,"50k-69k",IF(Workforce[[#This Row],[Salary]]&lt;90000,"70k-89k","90k+")))</f>
        <v>90k+</v>
      </c>
      <c r="M1956" t="s">
        <v>13697</v>
      </c>
      <c r="N1956">
        <f t="shared" ca="1" si="122"/>
        <v>1</v>
      </c>
      <c r="O1956" t="str">
        <f t="shared" ca="1" si="123"/>
        <v>Beginner</v>
      </c>
    </row>
    <row r="1957" spans="1:15" x14ac:dyDescent="0.3">
      <c r="A1957" t="s">
        <v>13698</v>
      </c>
      <c r="B1957" t="s">
        <v>13699</v>
      </c>
      <c r="C1957" t="s">
        <v>88</v>
      </c>
      <c r="D1957" t="s">
        <v>13700</v>
      </c>
      <c r="E1957" t="s">
        <v>13701</v>
      </c>
      <c r="F1957" t="s">
        <v>3111</v>
      </c>
      <c r="G1957" t="s">
        <v>13702</v>
      </c>
      <c r="H1957" t="s">
        <v>13703</v>
      </c>
      <c r="I1957">
        <f t="shared" ca="1" si="120"/>
        <v>33</v>
      </c>
      <c r="J1957" t="str">
        <f t="shared" ca="1" si="121"/>
        <v>30-39</v>
      </c>
      <c r="K1957">
        <v>97982.37</v>
      </c>
      <c r="L1957" t="str">
        <f>IF(Workforce[[#This Row],[Salary]]&lt;50000,"30k-49k",IF(Workforce[[#This Row],[Salary]]&lt;70000,"50k-69k",IF(Workforce[[#This Row],[Salary]]&lt;90000,"70k-89k","90k+")))</f>
        <v>90k+</v>
      </c>
      <c r="M1957" t="s">
        <v>8148</v>
      </c>
      <c r="N1957">
        <f t="shared" ca="1" si="122"/>
        <v>7</v>
      </c>
      <c r="O1957" t="str">
        <f t="shared" ca="1" si="123"/>
        <v>Senior level</v>
      </c>
    </row>
    <row r="1958" spans="1:15" x14ac:dyDescent="0.3">
      <c r="A1958" t="s">
        <v>13704</v>
      </c>
      <c r="B1958" t="s">
        <v>13705</v>
      </c>
      <c r="C1958" t="s">
        <v>17</v>
      </c>
      <c r="D1958" t="s">
        <v>13706</v>
      </c>
      <c r="E1958" t="s">
        <v>13707</v>
      </c>
      <c r="F1958" t="s">
        <v>10080</v>
      </c>
      <c r="G1958" t="s">
        <v>13708</v>
      </c>
      <c r="H1958" t="s">
        <v>13709</v>
      </c>
      <c r="I1958">
        <f t="shared" ca="1" si="120"/>
        <v>22</v>
      </c>
      <c r="J1958" t="str">
        <f t="shared" ca="1" si="121"/>
        <v>18-29</v>
      </c>
      <c r="K1958">
        <v>110081.39</v>
      </c>
      <c r="L1958" t="str">
        <f>IF(Workforce[[#This Row],[Salary]]&lt;50000,"30k-49k",IF(Workforce[[#This Row],[Salary]]&lt;70000,"50k-69k",IF(Workforce[[#This Row],[Salary]]&lt;90000,"70k-89k","90k+")))</f>
        <v>90k+</v>
      </c>
      <c r="M1958" t="s">
        <v>13710</v>
      </c>
      <c r="N1958">
        <f t="shared" ca="1" si="122"/>
        <v>1</v>
      </c>
      <c r="O1958" t="str">
        <f t="shared" ca="1" si="123"/>
        <v>Beginner</v>
      </c>
    </row>
    <row r="1959" spans="1:15" x14ac:dyDescent="0.3">
      <c r="A1959" t="s">
        <v>13711</v>
      </c>
      <c r="B1959" t="s">
        <v>13712</v>
      </c>
      <c r="C1959" t="s">
        <v>1223</v>
      </c>
      <c r="D1959" t="s">
        <v>13713</v>
      </c>
      <c r="E1959" t="s">
        <v>13714</v>
      </c>
      <c r="F1959" t="s">
        <v>4313</v>
      </c>
      <c r="G1959" t="s">
        <v>13715</v>
      </c>
      <c r="H1959" t="s">
        <v>13716</v>
      </c>
      <c r="I1959">
        <f t="shared" ca="1" si="120"/>
        <v>26</v>
      </c>
      <c r="J1959" t="str">
        <f t="shared" ca="1" si="121"/>
        <v>18-29</v>
      </c>
      <c r="K1959">
        <v>33814</v>
      </c>
      <c r="L1959" t="str">
        <f>IF(Workforce[[#This Row],[Salary]]&lt;50000,"30k-49k",IF(Workforce[[#This Row],[Salary]]&lt;70000,"50k-69k",IF(Workforce[[#This Row],[Salary]]&lt;90000,"70k-89k","90k+")))</f>
        <v>30k-49k</v>
      </c>
      <c r="M1959" t="s">
        <v>642</v>
      </c>
      <c r="N1959">
        <f t="shared" ca="1" si="122"/>
        <v>4</v>
      </c>
      <c r="O1959" t="str">
        <f t="shared" ca="1" si="123"/>
        <v>Intermediate level</v>
      </c>
    </row>
    <row r="1960" spans="1:15" x14ac:dyDescent="0.3">
      <c r="A1960" t="s">
        <v>13717</v>
      </c>
      <c r="B1960" t="s">
        <v>13718</v>
      </c>
      <c r="C1960" t="s">
        <v>26</v>
      </c>
      <c r="D1960" t="s">
        <v>13719</v>
      </c>
      <c r="E1960" t="s">
        <v>13720</v>
      </c>
      <c r="F1960" t="s">
        <v>5416</v>
      </c>
      <c r="G1960" t="s">
        <v>13721</v>
      </c>
      <c r="H1960" t="s">
        <v>13722</v>
      </c>
      <c r="I1960">
        <f t="shared" ca="1" si="120"/>
        <v>56</v>
      </c>
      <c r="J1960" t="str">
        <f t="shared" ca="1" si="121"/>
        <v>50-59</v>
      </c>
      <c r="K1960">
        <v>96304.43</v>
      </c>
      <c r="L1960" t="str">
        <f>IF(Workforce[[#This Row],[Salary]]&lt;50000,"30k-49k",IF(Workforce[[#This Row],[Salary]]&lt;70000,"50k-69k",IF(Workforce[[#This Row],[Salary]]&lt;90000,"70k-89k","90k+")))</f>
        <v>90k+</v>
      </c>
      <c r="M1960" t="s">
        <v>13723</v>
      </c>
      <c r="N1960">
        <f t="shared" ca="1" si="122"/>
        <v>6</v>
      </c>
      <c r="O1960" t="str">
        <f t="shared" ca="1" si="123"/>
        <v>Intermediate level</v>
      </c>
    </row>
    <row r="1961" spans="1:15" x14ac:dyDescent="0.3">
      <c r="A1961" t="s">
        <v>13724</v>
      </c>
      <c r="B1961" t="s">
        <v>13725</v>
      </c>
      <c r="C1961" t="s">
        <v>61</v>
      </c>
      <c r="D1961" t="s">
        <v>13726</v>
      </c>
      <c r="E1961" t="s">
        <v>13727</v>
      </c>
      <c r="F1961" t="s">
        <v>5637</v>
      </c>
      <c r="G1961" t="s">
        <v>13728</v>
      </c>
      <c r="H1961" t="s">
        <v>9367</v>
      </c>
      <c r="I1961">
        <f t="shared" ca="1" si="120"/>
        <v>20</v>
      </c>
      <c r="J1961" t="str">
        <f t="shared" ca="1" si="121"/>
        <v>18-29</v>
      </c>
      <c r="K1961">
        <v>95676.7</v>
      </c>
      <c r="L1961" t="str">
        <f>IF(Workforce[[#This Row],[Salary]]&lt;50000,"30k-49k",IF(Workforce[[#This Row],[Salary]]&lt;70000,"50k-69k",IF(Workforce[[#This Row],[Salary]]&lt;90000,"70k-89k","90k+")))</f>
        <v>90k+</v>
      </c>
      <c r="M1961" t="s">
        <v>11833</v>
      </c>
      <c r="N1961">
        <f t="shared" ca="1" si="122"/>
        <v>4</v>
      </c>
      <c r="O1961" t="str">
        <f t="shared" ca="1" si="123"/>
        <v>Intermediate level</v>
      </c>
    </row>
    <row r="1962" spans="1:15" x14ac:dyDescent="0.3">
      <c r="A1962" t="s">
        <v>13729</v>
      </c>
      <c r="B1962" t="s">
        <v>13730</v>
      </c>
      <c r="C1962" t="s">
        <v>151</v>
      </c>
      <c r="D1962" t="s">
        <v>13731</v>
      </c>
      <c r="E1962" t="s">
        <v>13732</v>
      </c>
      <c r="F1962" t="s">
        <v>3095</v>
      </c>
      <c r="G1962" t="s">
        <v>13733</v>
      </c>
      <c r="H1962" t="s">
        <v>13734</v>
      </c>
      <c r="I1962">
        <f t="shared" ca="1" si="120"/>
        <v>56</v>
      </c>
      <c r="J1962" t="str">
        <f t="shared" ca="1" si="121"/>
        <v>50-59</v>
      </c>
      <c r="K1962">
        <v>94668.85</v>
      </c>
      <c r="L1962" t="str">
        <f>IF(Workforce[[#This Row],[Salary]]&lt;50000,"30k-49k",IF(Workforce[[#This Row],[Salary]]&lt;70000,"50k-69k",IF(Workforce[[#This Row],[Salary]]&lt;90000,"70k-89k","90k+")))</f>
        <v>90k+</v>
      </c>
      <c r="M1962" t="s">
        <v>13735</v>
      </c>
      <c r="N1962">
        <f t="shared" ca="1" si="122"/>
        <v>1</v>
      </c>
      <c r="O1962" t="str">
        <f t="shared" ca="1" si="123"/>
        <v>Beginner</v>
      </c>
    </row>
    <row r="1963" spans="1:15" x14ac:dyDescent="0.3">
      <c r="A1963" t="s">
        <v>13736</v>
      </c>
      <c r="B1963" t="s">
        <v>13737</v>
      </c>
      <c r="C1963" t="s">
        <v>1223</v>
      </c>
      <c r="D1963" t="s">
        <v>13738</v>
      </c>
      <c r="E1963" t="s">
        <v>13739</v>
      </c>
      <c r="F1963" t="s">
        <v>13117</v>
      </c>
      <c r="G1963" t="s">
        <v>13740</v>
      </c>
      <c r="H1963" t="s">
        <v>13741</v>
      </c>
      <c r="I1963">
        <f t="shared" ca="1" si="120"/>
        <v>20</v>
      </c>
      <c r="J1963" t="str">
        <f t="shared" ca="1" si="121"/>
        <v>18-29</v>
      </c>
      <c r="K1963">
        <v>115389.03</v>
      </c>
      <c r="L1963" t="str">
        <f>IF(Workforce[[#This Row],[Salary]]&lt;50000,"30k-49k",IF(Workforce[[#This Row],[Salary]]&lt;70000,"50k-69k",IF(Workforce[[#This Row],[Salary]]&lt;90000,"70k-89k","90k+")))</f>
        <v>90k+</v>
      </c>
      <c r="M1963" t="s">
        <v>10673</v>
      </c>
      <c r="N1963">
        <f t="shared" ca="1" si="122"/>
        <v>5</v>
      </c>
      <c r="O1963" t="str">
        <f t="shared" ca="1" si="123"/>
        <v>Intermediate level</v>
      </c>
    </row>
    <row r="1964" spans="1:15" x14ac:dyDescent="0.3">
      <c r="A1964" t="s">
        <v>13742</v>
      </c>
      <c r="B1964" t="s">
        <v>13743</v>
      </c>
      <c r="C1964" t="s">
        <v>133</v>
      </c>
      <c r="D1964" t="s">
        <v>13744</v>
      </c>
      <c r="E1964" t="s">
        <v>13745</v>
      </c>
      <c r="F1964" t="s">
        <v>13746</v>
      </c>
      <c r="G1964" t="s">
        <v>13747</v>
      </c>
      <c r="H1964" t="s">
        <v>13748</v>
      </c>
      <c r="I1964">
        <f t="shared" ca="1" si="120"/>
        <v>47</v>
      </c>
      <c r="J1964" t="str">
        <f t="shared" ca="1" si="121"/>
        <v>40-49</v>
      </c>
      <c r="K1964">
        <v>50104.74</v>
      </c>
      <c r="L1964" t="str">
        <f>IF(Workforce[[#This Row],[Salary]]&lt;50000,"30k-49k",IF(Workforce[[#This Row],[Salary]]&lt;70000,"50k-69k",IF(Workforce[[#This Row],[Salary]]&lt;90000,"70k-89k","90k+")))</f>
        <v>50k-69k</v>
      </c>
      <c r="M1964" t="s">
        <v>13749</v>
      </c>
      <c r="N1964">
        <f t="shared" ca="1" si="122"/>
        <v>10</v>
      </c>
      <c r="O1964" t="str">
        <f t="shared" ca="1" si="123"/>
        <v>Senior level</v>
      </c>
    </row>
    <row r="1965" spans="1:15" x14ac:dyDescent="0.3">
      <c r="A1965" t="s">
        <v>13750</v>
      </c>
      <c r="B1965" t="s">
        <v>13751</v>
      </c>
      <c r="C1965" t="s">
        <v>178</v>
      </c>
      <c r="D1965" t="s">
        <v>13752</v>
      </c>
      <c r="E1965" t="s">
        <v>13753</v>
      </c>
      <c r="F1965" t="s">
        <v>1099</v>
      </c>
      <c r="G1965" t="s">
        <v>13754</v>
      </c>
      <c r="H1965" t="s">
        <v>13755</v>
      </c>
      <c r="I1965">
        <f t="shared" ca="1" si="120"/>
        <v>40</v>
      </c>
      <c r="J1965" t="str">
        <f t="shared" ca="1" si="121"/>
        <v>40-49</v>
      </c>
      <c r="K1965">
        <v>80120.89</v>
      </c>
      <c r="L1965" t="str">
        <f>IF(Workforce[[#This Row],[Salary]]&lt;50000,"30k-49k",IF(Workforce[[#This Row],[Salary]]&lt;70000,"50k-69k",IF(Workforce[[#This Row],[Salary]]&lt;90000,"70k-89k","90k+")))</f>
        <v>70k-89k</v>
      </c>
      <c r="M1965" t="s">
        <v>13756</v>
      </c>
      <c r="N1965">
        <f t="shared" ca="1" si="122"/>
        <v>8</v>
      </c>
      <c r="O1965" t="str">
        <f t="shared" ca="1" si="123"/>
        <v>Senior level</v>
      </c>
    </row>
    <row r="1966" spans="1:15" x14ac:dyDescent="0.3">
      <c r="A1966" t="s">
        <v>13757</v>
      </c>
      <c r="B1966" t="s">
        <v>13758</v>
      </c>
      <c r="C1966" t="s">
        <v>160</v>
      </c>
      <c r="D1966" t="s">
        <v>13759</v>
      </c>
      <c r="E1966" t="s">
        <v>13760</v>
      </c>
      <c r="F1966" t="s">
        <v>10225</v>
      </c>
      <c r="G1966" t="s">
        <v>13761</v>
      </c>
      <c r="H1966" t="s">
        <v>13762</v>
      </c>
      <c r="I1966">
        <f t="shared" ca="1" si="120"/>
        <v>53</v>
      </c>
      <c r="J1966" t="str">
        <f t="shared" ca="1" si="121"/>
        <v>50-59</v>
      </c>
      <c r="K1966">
        <v>98256.19</v>
      </c>
      <c r="L1966" t="str">
        <f>IF(Workforce[[#This Row],[Salary]]&lt;50000,"30k-49k",IF(Workforce[[#This Row],[Salary]]&lt;70000,"50k-69k",IF(Workforce[[#This Row],[Salary]]&lt;90000,"70k-89k","90k+")))</f>
        <v>90k+</v>
      </c>
      <c r="M1966" t="s">
        <v>6459</v>
      </c>
      <c r="N1966">
        <f t="shared" ca="1" si="122"/>
        <v>2</v>
      </c>
      <c r="O1966" t="str">
        <f t="shared" ca="1" si="123"/>
        <v>Beginner</v>
      </c>
    </row>
    <row r="1967" spans="1:15" x14ac:dyDescent="0.3">
      <c r="A1967" t="s">
        <v>13763</v>
      </c>
      <c r="B1967" t="s">
        <v>13764</v>
      </c>
      <c r="C1967" t="s">
        <v>151</v>
      </c>
      <c r="D1967" t="s">
        <v>13765</v>
      </c>
      <c r="E1967" t="s">
        <v>13766</v>
      </c>
      <c r="F1967" t="s">
        <v>4546</v>
      </c>
      <c r="G1967" t="s">
        <v>13767</v>
      </c>
      <c r="H1967" t="s">
        <v>13768</v>
      </c>
      <c r="I1967">
        <f t="shared" ca="1" si="120"/>
        <v>36</v>
      </c>
      <c r="J1967" t="str">
        <f t="shared" ca="1" si="121"/>
        <v>30-39</v>
      </c>
      <c r="K1967">
        <v>93296.07</v>
      </c>
      <c r="L1967" t="str">
        <f>IF(Workforce[[#This Row],[Salary]]&lt;50000,"30k-49k",IF(Workforce[[#This Row],[Salary]]&lt;70000,"50k-69k",IF(Workforce[[#This Row],[Salary]]&lt;90000,"70k-89k","90k+")))</f>
        <v>90k+</v>
      </c>
      <c r="M1967" t="s">
        <v>13769</v>
      </c>
      <c r="N1967">
        <f t="shared" ca="1" si="122"/>
        <v>4</v>
      </c>
      <c r="O1967" t="str">
        <f t="shared" ca="1" si="123"/>
        <v>Intermediate level</v>
      </c>
    </row>
    <row r="1968" spans="1:15" x14ac:dyDescent="0.3">
      <c r="A1968" t="s">
        <v>13770</v>
      </c>
      <c r="B1968" t="s">
        <v>13771</v>
      </c>
      <c r="C1968" t="s">
        <v>604</v>
      </c>
      <c r="D1968" t="s">
        <v>13772</v>
      </c>
      <c r="E1968" t="s">
        <v>13773</v>
      </c>
      <c r="F1968" t="s">
        <v>7210</v>
      </c>
      <c r="G1968" t="s">
        <v>13774</v>
      </c>
      <c r="H1968" t="s">
        <v>13775</v>
      </c>
      <c r="I1968">
        <f t="shared" ca="1" si="120"/>
        <v>29</v>
      </c>
      <c r="J1968" t="str">
        <f t="shared" ca="1" si="121"/>
        <v>18-29</v>
      </c>
      <c r="K1968">
        <v>85873.87</v>
      </c>
      <c r="L1968" t="str">
        <f>IF(Workforce[[#This Row],[Salary]]&lt;50000,"30k-49k",IF(Workforce[[#This Row],[Salary]]&lt;70000,"50k-69k",IF(Workforce[[#This Row],[Salary]]&lt;90000,"70k-89k","90k+")))</f>
        <v>70k-89k</v>
      </c>
      <c r="M1968" t="s">
        <v>13776</v>
      </c>
      <c r="N1968">
        <f t="shared" ca="1" si="122"/>
        <v>8</v>
      </c>
      <c r="O1968" t="str">
        <f t="shared" ca="1" si="123"/>
        <v>Senior level</v>
      </c>
    </row>
    <row r="1969" spans="1:15" x14ac:dyDescent="0.3">
      <c r="A1969" t="s">
        <v>13777</v>
      </c>
      <c r="B1969" t="s">
        <v>13778</v>
      </c>
      <c r="C1969" t="s">
        <v>326</v>
      </c>
      <c r="D1969" t="s">
        <v>13779</v>
      </c>
      <c r="E1969" t="s">
        <v>13780</v>
      </c>
      <c r="F1969" t="s">
        <v>6428</v>
      </c>
      <c r="G1969" t="s">
        <v>13781</v>
      </c>
      <c r="H1969" t="s">
        <v>13782</v>
      </c>
      <c r="I1969">
        <f t="shared" ca="1" si="120"/>
        <v>61</v>
      </c>
      <c r="J1969" t="str">
        <f t="shared" ca="1" si="121"/>
        <v>60+</v>
      </c>
      <c r="K1969">
        <v>65704.34</v>
      </c>
      <c r="L1969" t="str">
        <f>IF(Workforce[[#This Row],[Salary]]&lt;50000,"30k-49k",IF(Workforce[[#This Row],[Salary]]&lt;70000,"50k-69k",IF(Workforce[[#This Row],[Salary]]&lt;90000,"70k-89k","90k+")))</f>
        <v>50k-69k</v>
      </c>
      <c r="M1969" t="s">
        <v>1906</v>
      </c>
      <c r="N1969">
        <f t="shared" ca="1" si="122"/>
        <v>3</v>
      </c>
      <c r="O1969" t="str">
        <f t="shared" ca="1" si="123"/>
        <v>Intermediate level</v>
      </c>
    </row>
    <row r="1970" spans="1:15" x14ac:dyDescent="0.3">
      <c r="A1970" t="s">
        <v>7531</v>
      </c>
      <c r="B1970" t="s">
        <v>13783</v>
      </c>
      <c r="C1970" t="s">
        <v>79</v>
      </c>
      <c r="D1970" t="s">
        <v>13784</v>
      </c>
      <c r="E1970" t="s">
        <v>13785</v>
      </c>
      <c r="F1970" t="s">
        <v>902</v>
      </c>
      <c r="G1970" t="s">
        <v>3142</v>
      </c>
      <c r="H1970" t="s">
        <v>13786</v>
      </c>
      <c r="I1970">
        <f t="shared" ca="1" si="120"/>
        <v>34</v>
      </c>
      <c r="J1970" t="str">
        <f t="shared" ca="1" si="121"/>
        <v>30-39</v>
      </c>
      <c r="K1970">
        <v>65468.39</v>
      </c>
      <c r="L1970" t="str">
        <f>IF(Workforce[[#This Row],[Salary]]&lt;50000,"30k-49k",IF(Workforce[[#This Row],[Salary]]&lt;70000,"50k-69k",IF(Workforce[[#This Row],[Salary]]&lt;90000,"70k-89k","90k+")))</f>
        <v>50k-69k</v>
      </c>
      <c r="M1970" t="s">
        <v>13787</v>
      </c>
      <c r="N1970">
        <f t="shared" ca="1" si="122"/>
        <v>4</v>
      </c>
      <c r="O1970" t="str">
        <f t="shared" ca="1" si="123"/>
        <v>Intermediate level</v>
      </c>
    </row>
    <row r="1971" spans="1:15" x14ac:dyDescent="0.3">
      <c r="A1971" t="s">
        <v>6230</v>
      </c>
      <c r="B1971" t="s">
        <v>13788</v>
      </c>
      <c r="C1971" t="s">
        <v>151</v>
      </c>
      <c r="D1971" t="s">
        <v>13789</v>
      </c>
      <c r="E1971" t="s">
        <v>13790</v>
      </c>
      <c r="F1971" t="s">
        <v>2623</v>
      </c>
      <c r="G1971" t="s">
        <v>13791</v>
      </c>
      <c r="H1971" t="s">
        <v>13792</v>
      </c>
      <c r="I1971">
        <f t="shared" ca="1" si="120"/>
        <v>35</v>
      </c>
      <c r="J1971" t="str">
        <f t="shared" ca="1" si="121"/>
        <v>30-39</v>
      </c>
      <c r="K1971">
        <v>77688.75</v>
      </c>
      <c r="L1971" t="str">
        <f>IF(Workforce[[#This Row],[Salary]]&lt;50000,"30k-49k",IF(Workforce[[#This Row],[Salary]]&lt;70000,"50k-69k",IF(Workforce[[#This Row],[Salary]]&lt;90000,"70k-89k","90k+")))</f>
        <v>70k-89k</v>
      </c>
      <c r="M1971" t="s">
        <v>13793</v>
      </c>
      <c r="N1971">
        <f t="shared" ca="1" si="122"/>
        <v>8</v>
      </c>
      <c r="O1971" t="str">
        <f t="shared" ca="1" si="123"/>
        <v>Senior level</v>
      </c>
    </row>
    <row r="1972" spans="1:15" x14ac:dyDescent="0.3">
      <c r="A1972" t="s">
        <v>13794</v>
      </c>
      <c r="B1972" t="s">
        <v>13795</v>
      </c>
      <c r="C1972" t="s">
        <v>70</v>
      </c>
      <c r="D1972" t="s">
        <v>13796</v>
      </c>
      <c r="E1972" t="s">
        <v>13797</v>
      </c>
      <c r="F1972" t="s">
        <v>6094</v>
      </c>
      <c r="G1972" t="s">
        <v>13798</v>
      </c>
      <c r="H1972" t="s">
        <v>13799</v>
      </c>
      <c r="I1972">
        <f t="shared" ca="1" si="120"/>
        <v>25</v>
      </c>
      <c r="J1972" t="str">
        <f t="shared" ca="1" si="121"/>
        <v>18-29</v>
      </c>
      <c r="K1972">
        <v>67710.649999999994</v>
      </c>
      <c r="L1972" t="str">
        <f>IF(Workforce[[#This Row],[Salary]]&lt;50000,"30k-49k",IF(Workforce[[#This Row],[Salary]]&lt;70000,"50k-69k",IF(Workforce[[#This Row],[Salary]]&lt;90000,"70k-89k","90k+")))</f>
        <v>50k-69k</v>
      </c>
      <c r="M1972" t="s">
        <v>13800</v>
      </c>
      <c r="N1972">
        <f t="shared" ca="1" si="122"/>
        <v>0</v>
      </c>
      <c r="O1972" t="str">
        <f t="shared" ca="1" si="123"/>
        <v>Beginner</v>
      </c>
    </row>
    <row r="1973" spans="1:15" x14ac:dyDescent="0.3">
      <c r="A1973" t="s">
        <v>13801</v>
      </c>
      <c r="B1973" t="s">
        <v>13802</v>
      </c>
      <c r="C1973" t="s">
        <v>1159</v>
      </c>
      <c r="D1973" t="s">
        <v>13803</v>
      </c>
      <c r="E1973" t="s">
        <v>13804</v>
      </c>
      <c r="F1973" t="s">
        <v>6008</v>
      </c>
      <c r="G1973" t="s">
        <v>3599</v>
      </c>
      <c r="H1973" t="s">
        <v>13805</v>
      </c>
      <c r="I1973">
        <f t="shared" ca="1" si="120"/>
        <v>41</v>
      </c>
      <c r="J1973" t="str">
        <f t="shared" ca="1" si="121"/>
        <v>40-49</v>
      </c>
      <c r="K1973">
        <v>49453.82</v>
      </c>
      <c r="L1973" t="str">
        <f>IF(Workforce[[#This Row],[Salary]]&lt;50000,"30k-49k",IF(Workforce[[#This Row],[Salary]]&lt;70000,"50k-69k",IF(Workforce[[#This Row],[Salary]]&lt;90000,"70k-89k","90k+")))</f>
        <v>30k-49k</v>
      </c>
      <c r="M1973" t="s">
        <v>1645</v>
      </c>
      <c r="N1973">
        <f t="shared" ca="1" si="122"/>
        <v>3</v>
      </c>
      <c r="O1973" t="str">
        <f t="shared" ca="1" si="123"/>
        <v>Intermediate level</v>
      </c>
    </row>
    <row r="1974" spans="1:15" x14ac:dyDescent="0.3">
      <c r="A1974" t="s">
        <v>13806</v>
      </c>
      <c r="B1974" t="s">
        <v>13807</v>
      </c>
      <c r="C1974" t="s">
        <v>995</v>
      </c>
      <c r="D1974" t="s">
        <v>13808</v>
      </c>
      <c r="E1974" t="s">
        <v>13809</v>
      </c>
      <c r="F1974" t="s">
        <v>10306</v>
      </c>
      <c r="G1974" t="s">
        <v>13810</v>
      </c>
      <c r="H1974" t="s">
        <v>13811</v>
      </c>
      <c r="I1974">
        <f t="shared" ca="1" si="120"/>
        <v>21</v>
      </c>
      <c r="J1974" t="str">
        <f t="shared" ca="1" si="121"/>
        <v>18-29</v>
      </c>
      <c r="K1974">
        <v>48620.25</v>
      </c>
      <c r="L1974" t="str">
        <f>IF(Workforce[[#This Row],[Salary]]&lt;50000,"30k-49k",IF(Workforce[[#This Row],[Salary]]&lt;70000,"50k-69k",IF(Workforce[[#This Row],[Salary]]&lt;90000,"70k-89k","90k+")))</f>
        <v>30k-49k</v>
      </c>
      <c r="M1974" t="s">
        <v>4890</v>
      </c>
      <c r="N1974">
        <f t="shared" ca="1" si="122"/>
        <v>7</v>
      </c>
      <c r="O1974" t="str">
        <f t="shared" ca="1" si="123"/>
        <v>Senior level</v>
      </c>
    </row>
    <row r="1975" spans="1:15" x14ac:dyDescent="0.3">
      <c r="A1975" t="s">
        <v>13812</v>
      </c>
      <c r="B1975" t="s">
        <v>13813</v>
      </c>
      <c r="C1975" t="s">
        <v>79</v>
      </c>
      <c r="D1975" t="s">
        <v>13814</v>
      </c>
      <c r="E1975" t="s">
        <v>13815</v>
      </c>
      <c r="F1975" t="s">
        <v>216</v>
      </c>
      <c r="G1975" t="s">
        <v>13816</v>
      </c>
      <c r="H1975" t="s">
        <v>13817</v>
      </c>
      <c r="I1975">
        <f t="shared" ca="1" si="120"/>
        <v>27</v>
      </c>
      <c r="J1975" t="str">
        <f t="shared" ca="1" si="121"/>
        <v>18-29</v>
      </c>
      <c r="K1975">
        <v>68952.350000000006</v>
      </c>
      <c r="L1975" t="str">
        <f>IF(Workforce[[#This Row],[Salary]]&lt;50000,"30k-49k",IF(Workforce[[#This Row],[Salary]]&lt;70000,"50k-69k",IF(Workforce[[#This Row],[Salary]]&lt;90000,"70k-89k","90k+")))</f>
        <v>50k-69k</v>
      </c>
      <c r="M1975" t="s">
        <v>2755</v>
      </c>
      <c r="N1975">
        <f t="shared" ca="1" si="122"/>
        <v>7</v>
      </c>
      <c r="O1975" t="str">
        <f t="shared" ca="1" si="123"/>
        <v>Senior level</v>
      </c>
    </row>
    <row r="1976" spans="1:15" x14ac:dyDescent="0.3">
      <c r="A1976" t="s">
        <v>13818</v>
      </c>
      <c r="B1976" t="s">
        <v>13819</v>
      </c>
      <c r="C1976" t="s">
        <v>35</v>
      </c>
      <c r="D1976" t="s">
        <v>13820</v>
      </c>
      <c r="E1976" t="s">
        <v>13821</v>
      </c>
      <c r="F1976" t="s">
        <v>4502</v>
      </c>
      <c r="G1976" t="s">
        <v>13822</v>
      </c>
      <c r="H1976" t="s">
        <v>13823</v>
      </c>
      <c r="I1976">
        <f t="shared" ca="1" si="120"/>
        <v>46</v>
      </c>
      <c r="J1976" t="str">
        <f t="shared" ca="1" si="121"/>
        <v>40-49</v>
      </c>
      <c r="K1976">
        <v>37140.51</v>
      </c>
      <c r="L1976" t="str">
        <f>IF(Workforce[[#This Row],[Salary]]&lt;50000,"30k-49k",IF(Workforce[[#This Row],[Salary]]&lt;70000,"50k-69k",IF(Workforce[[#This Row],[Salary]]&lt;90000,"70k-89k","90k+")))</f>
        <v>30k-49k</v>
      </c>
      <c r="M1976" t="s">
        <v>8937</v>
      </c>
      <c r="N1976">
        <f t="shared" ca="1" si="122"/>
        <v>4</v>
      </c>
      <c r="O1976" t="str">
        <f t="shared" ca="1" si="123"/>
        <v>Intermediate level</v>
      </c>
    </row>
    <row r="1977" spans="1:15" x14ac:dyDescent="0.3">
      <c r="A1977" t="s">
        <v>13824</v>
      </c>
      <c r="B1977" t="s">
        <v>13825</v>
      </c>
      <c r="C1977" t="s">
        <v>222</v>
      </c>
      <c r="D1977" t="s">
        <v>13826</v>
      </c>
      <c r="E1977" t="s">
        <v>13827</v>
      </c>
      <c r="F1977" t="s">
        <v>4726</v>
      </c>
      <c r="G1977" t="s">
        <v>13828</v>
      </c>
      <c r="H1977" t="s">
        <v>13829</v>
      </c>
      <c r="I1977">
        <f t="shared" ca="1" si="120"/>
        <v>50</v>
      </c>
      <c r="J1977" t="str">
        <f t="shared" ca="1" si="121"/>
        <v>50-59</v>
      </c>
      <c r="K1977">
        <v>101086.95</v>
      </c>
      <c r="L1977" t="str">
        <f>IF(Workforce[[#This Row],[Salary]]&lt;50000,"30k-49k",IF(Workforce[[#This Row],[Salary]]&lt;70000,"50k-69k",IF(Workforce[[#This Row],[Salary]]&lt;90000,"70k-89k","90k+")))</f>
        <v>90k+</v>
      </c>
      <c r="M1977" t="s">
        <v>13830</v>
      </c>
      <c r="N1977">
        <f t="shared" ca="1" si="122"/>
        <v>7</v>
      </c>
      <c r="O1977" t="str">
        <f t="shared" ca="1" si="123"/>
        <v>Senior level</v>
      </c>
    </row>
    <row r="1978" spans="1:15" x14ac:dyDescent="0.3">
      <c r="A1978" t="s">
        <v>13831</v>
      </c>
      <c r="B1978" t="s">
        <v>13832</v>
      </c>
      <c r="C1978" t="s">
        <v>1223</v>
      </c>
      <c r="D1978" t="s">
        <v>13833</v>
      </c>
      <c r="E1978" t="s">
        <v>13834</v>
      </c>
      <c r="F1978" t="s">
        <v>639</v>
      </c>
      <c r="G1978" t="s">
        <v>13835</v>
      </c>
      <c r="H1978" t="s">
        <v>13836</v>
      </c>
      <c r="I1978">
        <f t="shared" ca="1" si="120"/>
        <v>35</v>
      </c>
      <c r="J1978" t="str">
        <f t="shared" ca="1" si="121"/>
        <v>30-39</v>
      </c>
      <c r="K1978">
        <v>45471.56</v>
      </c>
      <c r="L1978" t="str">
        <f>IF(Workforce[[#This Row],[Salary]]&lt;50000,"30k-49k",IF(Workforce[[#This Row],[Salary]]&lt;70000,"50k-69k",IF(Workforce[[#This Row],[Salary]]&lt;90000,"70k-89k","90k+")))</f>
        <v>30k-49k</v>
      </c>
      <c r="M1978" t="s">
        <v>13837</v>
      </c>
      <c r="N1978">
        <f t="shared" ca="1" si="122"/>
        <v>3</v>
      </c>
      <c r="O1978" t="str">
        <f t="shared" ca="1" si="123"/>
        <v>Intermediate level</v>
      </c>
    </row>
    <row r="1979" spans="1:15" x14ac:dyDescent="0.3">
      <c r="A1979" t="s">
        <v>13838</v>
      </c>
      <c r="B1979" t="s">
        <v>13839</v>
      </c>
      <c r="C1979" t="s">
        <v>457</v>
      </c>
      <c r="D1979" t="s">
        <v>13840</v>
      </c>
      <c r="E1979" t="s">
        <v>13841</v>
      </c>
      <c r="F1979" t="s">
        <v>163</v>
      </c>
      <c r="G1979" t="s">
        <v>13842</v>
      </c>
      <c r="H1979" t="s">
        <v>13843</v>
      </c>
      <c r="I1979">
        <f t="shared" ca="1" si="120"/>
        <v>19</v>
      </c>
      <c r="J1979" t="str">
        <f t="shared" ca="1" si="121"/>
        <v>18-29</v>
      </c>
      <c r="K1979">
        <v>49759.71</v>
      </c>
      <c r="L1979" t="str">
        <f>IF(Workforce[[#This Row],[Salary]]&lt;50000,"30k-49k",IF(Workforce[[#This Row],[Salary]]&lt;70000,"50k-69k",IF(Workforce[[#This Row],[Salary]]&lt;90000,"70k-89k","90k+")))</f>
        <v>30k-49k</v>
      </c>
      <c r="M1979" t="s">
        <v>13844</v>
      </c>
      <c r="N1979">
        <f t="shared" ca="1" si="122"/>
        <v>5</v>
      </c>
      <c r="O1979" t="str">
        <f t="shared" ca="1" si="123"/>
        <v>Intermediate level</v>
      </c>
    </row>
    <row r="1980" spans="1:15" x14ac:dyDescent="0.3">
      <c r="A1980" t="s">
        <v>13845</v>
      </c>
      <c r="B1980" t="s">
        <v>13846</v>
      </c>
      <c r="C1980" t="s">
        <v>106</v>
      </c>
      <c r="D1980" t="s">
        <v>13847</v>
      </c>
      <c r="E1980" t="s">
        <v>13848</v>
      </c>
      <c r="F1980" t="s">
        <v>6684</v>
      </c>
      <c r="G1980" t="s">
        <v>13849</v>
      </c>
      <c r="H1980" t="s">
        <v>13850</v>
      </c>
      <c r="I1980">
        <f t="shared" ca="1" si="120"/>
        <v>22</v>
      </c>
      <c r="J1980" t="str">
        <f t="shared" ca="1" si="121"/>
        <v>18-29</v>
      </c>
      <c r="K1980">
        <v>96192.87</v>
      </c>
      <c r="L1980" t="str">
        <f>IF(Workforce[[#This Row],[Salary]]&lt;50000,"30k-49k",IF(Workforce[[#This Row],[Salary]]&lt;70000,"50k-69k",IF(Workforce[[#This Row],[Salary]]&lt;90000,"70k-89k","90k+")))</f>
        <v>90k+</v>
      </c>
      <c r="M1980" t="s">
        <v>13851</v>
      </c>
      <c r="N1980">
        <f t="shared" ca="1" si="122"/>
        <v>3</v>
      </c>
      <c r="O1980" t="str">
        <f t="shared" ca="1" si="123"/>
        <v>Intermediate level</v>
      </c>
    </row>
    <row r="1981" spans="1:15" x14ac:dyDescent="0.3">
      <c r="A1981" t="s">
        <v>13852</v>
      </c>
      <c r="B1981" t="s">
        <v>13853</v>
      </c>
      <c r="C1981" t="s">
        <v>160</v>
      </c>
      <c r="D1981" t="s">
        <v>13854</v>
      </c>
      <c r="E1981" t="s">
        <v>13855</v>
      </c>
      <c r="F1981" t="s">
        <v>831</v>
      </c>
      <c r="G1981" t="s">
        <v>13856</v>
      </c>
      <c r="H1981" t="s">
        <v>13857</v>
      </c>
      <c r="I1981">
        <f t="shared" ca="1" si="120"/>
        <v>57</v>
      </c>
      <c r="J1981" t="str">
        <f t="shared" ca="1" si="121"/>
        <v>50-59</v>
      </c>
      <c r="K1981">
        <v>50585.84</v>
      </c>
      <c r="L1981" t="str">
        <f>IF(Workforce[[#This Row],[Salary]]&lt;50000,"30k-49k",IF(Workforce[[#This Row],[Salary]]&lt;70000,"50k-69k",IF(Workforce[[#This Row],[Salary]]&lt;90000,"70k-89k","90k+")))</f>
        <v>50k-69k</v>
      </c>
      <c r="M1981" t="s">
        <v>13858</v>
      </c>
      <c r="N1981">
        <f t="shared" ca="1" si="122"/>
        <v>2</v>
      </c>
      <c r="O1981" t="str">
        <f t="shared" ca="1" si="123"/>
        <v>Beginner</v>
      </c>
    </row>
    <row r="1982" spans="1:15" x14ac:dyDescent="0.3">
      <c r="A1982" t="s">
        <v>13859</v>
      </c>
      <c r="B1982" t="s">
        <v>13860</v>
      </c>
      <c r="C1982" t="s">
        <v>231</v>
      </c>
      <c r="D1982" t="s">
        <v>13861</v>
      </c>
      <c r="E1982" t="s">
        <v>13862</v>
      </c>
      <c r="F1982" t="s">
        <v>7487</v>
      </c>
      <c r="G1982" t="s">
        <v>13863</v>
      </c>
      <c r="H1982" t="s">
        <v>13864</v>
      </c>
      <c r="I1982">
        <f t="shared" ca="1" si="120"/>
        <v>64</v>
      </c>
      <c r="J1982" t="str">
        <f t="shared" ca="1" si="121"/>
        <v>60+</v>
      </c>
      <c r="K1982">
        <v>45443.46</v>
      </c>
      <c r="L1982" t="str">
        <f>IF(Workforce[[#This Row],[Salary]]&lt;50000,"30k-49k",IF(Workforce[[#This Row],[Salary]]&lt;70000,"50k-69k",IF(Workforce[[#This Row],[Salary]]&lt;90000,"70k-89k","90k+")))</f>
        <v>30k-49k</v>
      </c>
      <c r="M1982" t="s">
        <v>13865</v>
      </c>
      <c r="N1982">
        <f t="shared" ca="1" si="122"/>
        <v>9</v>
      </c>
      <c r="O1982" t="str">
        <f t="shared" ca="1" si="123"/>
        <v>Senior level</v>
      </c>
    </row>
    <row r="1983" spans="1:15" x14ac:dyDescent="0.3">
      <c r="A1983" t="s">
        <v>13866</v>
      </c>
      <c r="B1983" t="s">
        <v>13867</v>
      </c>
      <c r="C1983" t="s">
        <v>231</v>
      </c>
      <c r="D1983" t="s">
        <v>13868</v>
      </c>
      <c r="E1983" t="s">
        <v>13869</v>
      </c>
      <c r="F1983" t="s">
        <v>1107</v>
      </c>
      <c r="G1983" t="s">
        <v>13870</v>
      </c>
      <c r="H1983" t="s">
        <v>13871</v>
      </c>
      <c r="I1983">
        <f t="shared" ca="1" si="120"/>
        <v>21</v>
      </c>
      <c r="J1983" t="str">
        <f t="shared" ca="1" si="121"/>
        <v>18-29</v>
      </c>
      <c r="K1983">
        <v>82344.479999999996</v>
      </c>
      <c r="L1983" t="str">
        <f>IF(Workforce[[#This Row],[Salary]]&lt;50000,"30k-49k",IF(Workforce[[#This Row],[Salary]]&lt;70000,"50k-69k",IF(Workforce[[#This Row],[Salary]]&lt;90000,"70k-89k","90k+")))</f>
        <v>70k-89k</v>
      </c>
      <c r="M1983" t="s">
        <v>13872</v>
      </c>
      <c r="N1983">
        <f t="shared" ca="1" si="122"/>
        <v>6</v>
      </c>
      <c r="O1983" t="str">
        <f t="shared" ca="1" si="123"/>
        <v>Intermediate level</v>
      </c>
    </row>
    <row r="1984" spans="1:15" x14ac:dyDescent="0.3">
      <c r="A1984" t="s">
        <v>13873</v>
      </c>
      <c r="B1984" t="s">
        <v>13874</v>
      </c>
      <c r="C1984" t="s">
        <v>774</v>
      </c>
      <c r="D1984" t="s">
        <v>13875</v>
      </c>
      <c r="E1984" t="s">
        <v>13876</v>
      </c>
      <c r="F1984" t="s">
        <v>1076</v>
      </c>
      <c r="G1984" t="s">
        <v>13877</v>
      </c>
      <c r="H1984" t="s">
        <v>13878</v>
      </c>
      <c r="I1984">
        <f t="shared" ca="1" si="120"/>
        <v>37</v>
      </c>
      <c r="J1984" t="str">
        <f t="shared" ca="1" si="121"/>
        <v>30-39</v>
      </c>
      <c r="K1984">
        <v>54920.66</v>
      </c>
      <c r="L1984" t="str">
        <f>IF(Workforce[[#This Row],[Salary]]&lt;50000,"30k-49k",IF(Workforce[[#This Row],[Salary]]&lt;70000,"50k-69k",IF(Workforce[[#This Row],[Salary]]&lt;90000,"70k-89k","90k+")))</f>
        <v>50k-69k</v>
      </c>
      <c r="M1984" t="s">
        <v>13879</v>
      </c>
      <c r="N1984">
        <f t="shared" ca="1" si="122"/>
        <v>1</v>
      </c>
      <c r="O1984" t="str">
        <f t="shared" ca="1" si="123"/>
        <v>Beginner</v>
      </c>
    </row>
    <row r="1985" spans="1:15" x14ac:dyDescent="0.3">
      <c r="A1985" t="s">
        <v>13880</v>
      </c>
      <c r="B1985" t="s">
        <v>13881</v>
      </c>
      <c r="C1985" t="s">
        <v>748</v>
      </c>
      <c r="D1985" t="s">
        <v>13882</v>
      </c>
      <c r="E1985" t="s">
        <v>13883</v>
      </c>
      <c r="F1985" t="s">
        <v>1123</v>
      </c>
      <c r="G1985" t="s">
        <v>13884</v>
      </c>
      <c r="H1985" t="s">
        <v>13885</v>
      </c>
      <c r="I1985">
        <f t="shared" ca="1" si="120"/>
        <v>62</v>
      </c>
      <c r="J1985" t="str">
        <f t="shared" ca="1" si="121"/>
        <v>60+</v>
      </c>
      <c r="K1985">
        <v>75059.5</v>
      </c>
      <c r="L1985" t="str">
        <f>IF(Workforce[[#This Row],[Salary]]&lt;50000,"30k-49k",IF(Workforce[[#This Row],[Salary]]&lt;70000,"50k-69k",IF(Workforce[[#This Row],[Salary]]&lt;90000,"70k-89k","90k+")))</f>
        <v>70k-89k</v>
      </c>
      <c r="M1985" t="s">
        <v>3332</v>
      </c>
      <c r="N1985">
        <f t="shared" ca="1" si="122"/>
        <v>9</v>
      </c>
      <c r="O1985" t="str">
        <f t="shared" ca="1" si="123"/>
        <v>Senior level</v>
      </c>
    </row>
    <row r="1986" spans="1:15" x14ac:dyDescent="0.3">
      <c r="A1986" t="s">
        <v>13886</v>
      </c>
      <c r="B1986" t="s">
        <v>13887</v>
      </c>
      <c r="C1986" t="s">
        <v>400</v>
      </c>
      <c r="D1986" t="s">
        <v>13888</v>
      </c>
      <c r="E1986" t="s">
        <v>13889</v>
      </c>
      <c r="F1986" t="s">
        <v>1153</v>
      </c>
      <c r="G1986" t="s">
        <v>13890</v>
      </c>
      <c r="H1986" t="s">
        <v>13891</v>
      </c>
      <c r="I1986">
        <f t="shared" ref="I1986:I2049" ca="1" si="124">DATEDIF(H1986,TODAY(),"y")</f>
        <v>58</v>
      </c>
      <c r="J1986" t="str">
        <f t="shared" ref="J1986:J2049" ca="1" si="125">IF(I1986&lt;30,"18-29",IF(I1986&lt;40,"30-39",IF(I1986&lt;50,"40-49",IF(I1986&lt;60,"50-59","60+"))))</f>
        <v>50-59</v>
      </c>
      <c r="K1986">
        <v>45713.74</v>
      </c>
      <c r="L1986" t="str">
        <f>IF(Workforce[[#This Row],[Salary]]&lt;50000,"30k-49k",IF(Workforce[[#This Row],[Salary]]&lt;70000,"50k-69k",IF(Workforce[[#This Row],[Salary]]&lt;90000,"70k-89k","90k+")))</f>
        <v>30k-49k</v>
      </c>
      <c r="M1986" t="s">
        <v>13892</v>
      </c>
      <c r="N1986">
        <f t="shared" ref="N1986:N2049" ca="1" si="126">DATEDIF(M1986,TODAY(),"y")</f>
        <v>6</v>
      </c>
      <c r="O1986" t="str">
        <f t="shared" ref="O1986:O2049" ca="1" si="127">IF(N1986&lt;=2,"Beginner",IF(N1986&lt;=6,"Intermediate level","Senior level"))</f>
        <v>Intermediate level</v>
      </c>
    </row>
    <row r="1987" spans="1:15" x14ac:dyDescent="0.3">
      <c r="A1987" t="s">
        <v>13893</v>
      </c>
      <c r="B1987" t="s">
        <v>13894</v>
      </c>
      <c r="C1987" t="s">
        <v>757</v>
      </c>
      <c r="D1987" t="s">
        <v>13895</v>
      </c>
      <c r="E1987" t="s">
        <v>13896</v>
      </c>
      <c r="F1987" t="s">
        <v>6260</v>
      </c>
      <c r="G1987" t="s">
        <v>13897</v>
      </c>
      <c r="H1987" t="s">
        <v>13898</v>
      </c>
      <c r="I1987">
        <f t="shared" ca="1" si="124"/>
        <v>30</v>
      </c>
      <c r="J1987" t="str">
        <f t="shared" ca="1" si="125"/>
        <v>30-39</v>
      </c>
      <c r="K1987">
        <v>97191.44</v>
      </c>
      <c r="L1987" t="str">
        <f>IF(Workforce[[#This Row],[Salary]]&lt;50000,"30k-49k",IF(Workforce[[#This Row],[Salary]]&lt;70000,"50k-69k",IF(Workforce[[#This Row],[Salary]]&lt;90000,"70k-89k","90k+")))</f>
        <v>90k+</v>
      </c>
      <c r="M1987" t="s">
        <v>13899</v>
      </c>
      <c r="N1987">
        <f t="shared" ca="1" si="126"/>
        <v>8</v>
      </c>
      <c r="O1987" t="str">
        <f t="shared" ca="1" si="127"/>
        <v>Senior level</v>
      </c>
    </row>
    <row r="1988" spans="1:15" x14ac:dyDescent="0.3">
      <c r="A1988" t="s">
        <v>13900</v>
      </c>
      <c r="B1988" t="s">
        <v>13901</v>
      </c>
      <c r="C1988" t="s">
        <v>240</v>
      </c>
      <c r="D1988" t="s">
        <v>13902</v>
      </c>
      <c r="E1988" t="s">
        <v>13903</v>
      </c>
      <c r="F1988" t="s">
        <v>1765</v>
      </c>
      <c r="G1988" t="s">
        <v>13904</v>
      </c>
      <c r="H1988" t="s">
        <v>13905</v>
      </c>
      <c r="I1988">
        <f t="shared" ca="1" si="124"/>
        <v>47</v>
      </c>
      <c r="J1988" t="str">
        <f t="shared" ca="1" si="125"/>
        <v>40-49</v>
      </c>
      <c r="K1988">
        <v>113924.88</v>
      </c>
      <c r="L1988" t="str">
        <f>IF(Workforce[[#This Row],[Salary]]&lt;50000,"30k-49k",IF(Workforce[[#This Row],[Salary]]&lt;70000,"50k-69k",IF(Workforce[[#This Row],[Salary]]&lt;90000,"70k-89k","90k+")))</f>
        <v>90k+</v>
      </c>
      <c r="M1988" t="s">
        <v>6891</v>
      </c>
      <c r="N1988">
        <f t="shared" ca="1" si="126"/>
        <v>7</v>
      </c>
      <c r="O1988" t="str">
        <f t="shared" ca="1" si="127"/>
        <v>Senior level</v>
      </c>
    </row>
    <row r="1989" spans="1:15" x14ac:dyDescent="0.3">
      <c r="A1989" t="s">
        <v>13906</v>
      </c>
      <c r="B1989" t="s">
        <v>13907</v>
      </c>
      <c r="C1989" t="s">
        <v>1159</v>
      </c>
      <c r="D1989" t="s">
        <v>13908</v>
      </c>
      <c r="E1989" t="s">
        <v>13909</v>
      </c>
      <c r="F1989" t="s">
        <v>1549</v>
      </c>
      <c r="G1989" t="s">
        <v>13910</v>
      </c>
      <c r="H1989" t="s">
        <v>13911</v>
      </c>
      <c r="I1989">
        <f t="shared" ca="1" si="124"/>
        <v>36</v>
      </c>
      <c r="J1989" t="str">
        <f t="shared" ca="1" si="125"/>
        <v>30-39</v>
      </c>
      <c r="K1989">
        <v>110990.43</v>
      </c>
      <c r="L1989" t="str">
        <f>IF(Workforce[[#This Row],[Salary]]&lt;50000,"30k-49k",IF(Workforce[[#This Row],[Salary]]&lt;70000,"50k-69k",IF(Workforce[[#This Row],[Salary]]&lt;90000,"70k-89k","90k+")))</f>
        <v>90k+</v>
      </c>
      <c r="M1989" t="s">
        <v>5682</v>
      </c>
      <c r="N1989">
        <f t="shared" ca="1" si="126"/>
        <v>6</v>
      </c>
      <c r="O1989" t="str">
        <f t="shared" ca="1" si="127"/>
        <v>Intermediate level</v>
      </c>
    </row>
    <row r="1990" spans="1:15" x14ac:dyDescent="0.3">
      <c r="A1990" t="s">
        <v>13912</v>
      </c>
      <c r="B1990" t="s">
        <v>13913</v>
      </c>
      <c r="C1990" t="s">
        <v>17</v>
      </c>
      <c r="D1990" t="s">
        <v>13914</v>
      </c>
      <c r="E1990" t="s">
        <v>13915</v>
      </c>
      <c r="F1990" t="s">
        <v>10232</v>
      </c>
      <c r="G1990" t="s">
        <v>13916</v>
      </c>
      <c r="H1990" t="s">
        <v>13917</v>
      </c>
      <c r="I1990">
        <f t="shared" ca="1" si="124"/>
        <v>65</v>
      </c>
      <c r="J1990" t="str">
        <f t="shared" ca="1" si="125"/>
        <v>60+</v>
      </c>
      <c r="K1990">
        <v>34375.279999999999</v>
      </c>
      <c r="L1990" t="str">
        <f>IF(Workforce[[#This Row],[Salary]]&lt;50000,"30k-49k",IF(Workforce[[#This Row],[Salary]]&lt;70000,"50k-69k",IF(Workforce[[#This Row],[Salary]]&lt;90000,"70k-89k","90k+")))</f>
        <v>30k-49k</v>
      </c>
      <c r="M1990" t="s">
        <v>13918</v>
      </c>
      <c r="N1990">
        <f t="shared" ca="1" si="126"/>
        <v>4</v>
      </c>
      <c r="O1990" t="str">
        <f t="shared" ca="1" si="127"/>
        <v>Intermediate level</v>
      </c>
    </row>
    <row r="1991" spans="1:15" x14ac:dyDescent="0.3">
      <c r="A1991" t="s">
        <v>13919</v>
      </c>
      <c r="B1991" t="s">
        <v>13920</v>
      </c>
      <c r="C1991" t="s">
        <v>169</v>
      </c>
      <c r="D1991" t="s">
        <v>13921</v>
      </c>
      <c r="E1991" t="s">
        <v>13922</v>
      </c>
      <c r="F1991" t="s">
        <v>2824</v>
      </c>
      <c r="G1991" t="s">
        <v>13923</v>
      </c>
      <c r="H1991" t="s">
        <v>13924</v>
      </c>
      <c r="I1991">
        <f t="shared" ca="1" si="124"/>
        <v>32</v>
      </c>
      <c r="J1991" t="str">
        <f t="shared" ca="1" si="125"/>
        <v>30-39</v>
      </c>
      <c r="K1991">
        <v>105844.62</v>
      </c>
      <c r="L1991" t="str">
        <f>IF(Workforce[[#This Row],[Salary]]&lt;50000,"30k-49k",IF(Workforce[[#This Row],[Salary]]&lt;70000,"50k-69k",IF(Workforce[[#This Row],[Salary]]&lt;90000,"70k-89k","90k+")))</f>
        <v>90k+</v>
      </c>
      <c r="M1991" t="s">
        <v>4405</v>
      </c>
      <c r="N1991">
        <f t="shared" ca="1" si="126"/>
        <v>5</v>
      </c>
      <c r="O1991" t="str">
        <f t="shared" ca="1" si="127"/>
        <v>Intermediate level</v>
      </c>
    </row>
    <row r="1992" spans="1:15" x14ac:dyDescent="0.3">
      <c r="A1992" t="s">
        <v>13925</v>
      </c>
      <c r="B1992" t="s">
        <v>13926</v>
      </c>
      <c r="C1992" t="s">
        <v>17</v>
      </c>
      <c r="D1992" t="s">
        <v>13927</v>
      </c>
      <c r="E1992" t="s">
        <v>13928</v>
      </c>
      <c r="F1992" t="s">
        <v>942</v>
      </c>
      <c r="G1992" t="s">
        <v>13929</v>
      </c>
      <c r="H1992" t="s">
        <v>13930</v>
      </c>
      <c r="I1992">
        <f t="shared" ca="1" si="124"/>
        <v>54</v>
      </c>
      <c r="J1992" t="str">
        <f t="shared" ca="1" si="125"/>
        <v>50-59</v>
      </c>
      <c r="K1992">
        <v>38801.46</v>
      </c>
      <c r="L1992" t="str">
        <f>IF(Workforce[[#This Row],[Salary]]&lt;50000,"30k-49k",IF(Workforce[[#This Row],[Salary]]&lt;70000,"50k-69k",IF(Workforce[[#This Row],[Salary]]&lt;90000,"70k-89k","90k+")))</f>
        <v>30k-49k</v>
      </c>
      <c r="M1992" t="s">
        <v>13931</v>
      </c>
      <c r="N1992">
        <f t="shared" ca="1" si="126"/>
        <v>7</v>
      </c>
      <c r="O1992" t="str">
        <f t="shared" ca="1" si="127"/>
        <v>Senior level</v>
      </c>
    </row>
    <row r="1993" spans="1:15" x14ac:dyDescent="0.3">
      <c r="A1993" t="s">
        <v>13932</v>
      </c>
      <c r="B1993" t="s">
        <v>13933</v>
      </c>
      <c r="C1993" t="s">
        <v>335</v>
      </c>
      <c r="D1993" t="s">
        <v>13934</v>
      </c>
      <c r="E1993" t="s">
        <v>13935</v>
      </c>
      <c r="F1993" t="s">
        <v>2540</v>
      </c>
      <c r="G1993" t="s">
        <v>13936</v>
      </c>
      <c r="H1993" t="s">
        <v>13937</v>
      </c>
      <c r="I1993">
        <f t="shared" ca="1" si="124"/>
        <v>34</v>
      </c>
      <c r="J1993" t="str">
        <f t="shared" ca="1" si="125"/>
        <v>30-39</v>
      </c>
      <c r="K1993">
        <v>41108.28</v>
      </c>
      <c r="L1993" t="str">
        <f>IF(Workforce[[#This Row],[Salary]]&lt;50000,"30k-49k",IF(Workforce[[#This Row],[Salary]]&lt;70000,"50k-69k",IF(Workforce[[#This Row],[Salary]]&lt;90000,"70k-89k","90k+")))</f>
        <v>30k-49k</v>
      </c>
      <c r="M1993" t="s">
        <v>1606</v>
      </c>
      <c r="N1993">
        <f t="shared" ca="1" si="126"/>
        <v>10</v>
      </c>
      <c r="O1993" t="str">
        <f t="shared" ca="1" si="127"/>
        <v>Senior level</v>
      </c>
    </row>
    <row r="1994" spans="1:15" x14ac:dyDescent="0.3">
      <c r="A1994" t="s">
        <v>13938</v>
      </c>
      <c r="B1994" t="s">
        <v>13939</v>
      </c>
      <c r="C1994" t="s">
        <v>400</v>
      </c>
      <c r="D1994" t="s">
        <v>13940</v>
      </c>
      <c r="E1994" t="s">
        <v>13941</v>
      </c>
      <c r="F1994" t="s">
        <v>13942</v>
      </c>
      <c r="G1994" t="s">
        <v>13943</v>
      </c>
      <c r="H1994" t="s">
        <v>13944</v>
      </c>
      <c r="I1994">
        <f t="shared" ca="1" si="124"/>
        <v>35</v>
      </c>
      <c r="J1994" t="str">
        <f t="shared" ca="1" si="125"/>
        <v>30-39</v>
      </c>
      <c r="K1994">
        <v>92462.64</v>
      </c>
      <c r="L1994" t="str">
        <f>IF(Workforce[[#This Row],[Salary]]&lt;50000,"30k-49k",IF(Workforce[[#This Row],[Salary]]&lt;70000,"50k-69k",IF(Workforce[[#This Row],[Salary]]&lt;90000,"70k-89k","90k+")))</f>
        <v>90k+</v>
      </c>
      <c r="M1994" t="s">
        <v>13945</v>
      </c>
      <c r="N1994">
        <f t="shared" ca="1" si="126"/>
        <v>3</v>
      </c>
      <c r="O1994" t="str">
        <f t="shared" ca="1" si="127"/>
        <v>Intermediate level</v>
      </c>
    </row>
    <row r="1995" spans="1:15" x14ac:dyDescent="0.3">
      <c r="A1995" t="s">
        <v>13946</v>
      </c>
      <c r="B1995" t="s">
        <v>13947</v>
      </c>
      <c r="C1995" t="s">
        <v>748</v>
      </c>
      <c r="D1995" t="s">
        <v>13948</v>
      </c>
      <c r="E1995" t="s">
        <v>13949</v>
      </c>
      <c r="F1995" t="s">
        <v>5176</v>
      </c>
      <c r="G1995" t="s">
        <v>13950</v>
      </c>
      <c r="H1995" t="s">
        <v>13951</v>
      </c>
      <c r="I1995">
        <f t="shared" ca="1" si="124"/>
        <v>35</v>
      </c>
      <c r="J1995" t="str">
        <f t="shared" ca="1" si="125"/>
        <v>30-39</v>
      </c>
      <c r="K1995">
        <v>82791.210000000006</v>
      </c>
      <c r="L1995" t="str">
        <f>IF(Workforce[[#This Row],[Salary]]&lt;50000,"30k-49k",IF(Workforce[[#This Row],[Salary]]&lt;70000,"50k-69k",IF(Workforce[[#This Row],[Salary]]&lt;90000,"70k-89k","90k+")))</f>
        <v>70k-89k</v>
      </c>
      <c r="M1995" t="s">
        <v>6580</v>
      </c>
      <c r="N1995">
        <f t="shared" ca="1" si="126"/>
        <v>4</v>
      </c>
      <c r="O1995" t="str">
        <f t="shared" ca="1" si="127"/>
        <v>Intermediate level</v>
      </c>
    </row>
    <row r="1996" spans="1:15" x14ac:dyDescent="0.3">
      <c r="A1996" t="s">
        <v>13952</v>
      </c>
      <c r="B1996" t="s">
        <v>13953</v>
      </c>
      <c r="C1996" t="s">
        <v>275</v>
      </c>
      <c r="D1996" t="s">
        <v>13954</v>
      </c>
      <c r="E1996" t="s">
        <v>13955</v>
      </c>
      <c r="F1996" t="s">
        <v>1084</v>
      </c>
      <c r="G1996" t="s">
        <v>13956</v>
      </c>
      <c r="H1996" t="s">
        <v>13957</v>
      </c>
      <c r="I1996">
        <f t="shared" ca="1" si="124"/>
        <v>39</v>
      </c>
      <c r="J1996" t="str">
        <f t="shared" ca="1" si="125"/>
        <v>30-39</v>
      </c>
      <c r="K1996">
        <v>82927.41</v>
      </c>
      <c r="L1996" t="str">
        <f>IF(Workforce[[#This Row],[Salary]]&lt;50000,"30k-49k",IF(Workforce[[#This Row],[Salary]]&lt;70000,"50k-69k",IF(Workforce[[#This Row],[Salary]]&lt;90000,"70k-89k","90k+")))</f>
        <v>70k-89k</v>
      </c>
      <c r="M1996" t="s">
        <v>13958</v>
      </c>
      <c r="N1996">
        <f t="shared" ca="1" si="126"/>
        <v>6</v>
      </c>
      <c r="O1996" t="str">
        <f t="shared" ca="1" si="127"/>
        <v>Intermediate level</v>
      </c>
    </row>
    <row r="1997" spans="1:15" x14ac:dyDescent="0.3">
      <c r="A1997" t="s">
        <v>13959</v>
      </c>
      <c r="B1997" t="s">
        <v>13960</v>
      </c>
      <c r="C1997" t="s">
        <v>35</v>
      </c>
      <c r="D1997" t="s">
        <v>13961</v>
      </c>
      <c r="E1997" t="s">
        <v>13962</v>
      </c>
      <c r="F1997" t="s">
        <v>8351</v>
      </c>
      <c r="G1997" t="s">
        <v>3142</v>
      </c>
      <c r="H1997" t="s">
        <v>762</v>
      </c>
      <c r="I1997">
        <f t="shared" ca="1" si="124"/>
        <v>65</v>
      </c>
      <c r="J1997" t="str">
        <f t="shared" ca="1" si="125"/>
        <v>60+</v>
      </c>
      <c r="K1997">
        <v>46494.68</v>
      </c>
      <c r="L1997" t="str">
        <f>IF(Workforce[[#This Row],[Salary]]&lt;50000,"30k-49k",IF(Workforce[[#This Row],[Salary]]&lt;70000,"50k-69k",IF(Workforce[[#This Row],[Salary]]&lt;90000,"70k-89k","90k+")))</f>
        <v>30k-49k</v>
      </c>
      <c r="M1997" t="s">
        <v>4526</v>
      </c>
      <c r="N1997">
        <f t="shared" ca="1" si="126"/>
        <v>4</v>
      </c>
      <c r="O1997" t="str">
        <f t="shared" ca="1" si="127"/>
        <v>Intermediate level</v>
      </c>
    </row>
    <row r="1998" spans="1:15" x14ac:dyDescent="0.3">
      <c r="A1998" t="s">
        <v>13963</v>
      </c>
      <c r="B1998" t="s">
        <v>13964</v>
      </c>
      <c r="C1998" t="s">
        <v>240</v>
      </c>
      <c r="D1998" t="s">
        <v>13965</v>
      </c>
      <c r="E1998" t="s">
        <v>13966</v>
      </c>
      <c r="F1998" t="s">
        <v>958</v>
      </c>
      <c r="G1998" t="s">
        <v>13967</v>
      </c>
      <c r="H1998" t="s">
        <v>13968</v>
      </c>
      <c r="I1998">
        <f t="shared" ca="1" si="124"/>
        <v>31</v>
      </c>
      <c r="J1998" t="str">
        <f t="shared" ca="1" si="125"/>
        <v>30-39</v>
      </c>
      <c r="K1998">
        <v>78522.850000000006</v>
      </c>
      <c r="L1998" t="str">
        <f>IF(Workforce[[#This Row],[Salary]]&lt;50000,"30k-49k",IF(Workforce[[#This Row],[Salary]]&lt;70000,"50k-69k",IF(Workforce[[#This Row],[Salary]]&lt;90000,"70k-89k","90k+")))</f>
        <v>70k-89k</v>
      </c>
      <c r="M1998" t="s">
        <v>13969</v>
      </c>
      <c r="N1998">
        <f t="shared" ca="1" si="126"/>
        <v>10</v>
      </c>
      <c r="O1998" t="str">
        <f t="shared" ca="1" si="127"/>
        <v>Senior level</v>
      </c>
    </row>
    <row r="1999" spans="1:15" x14ac:dyDescent="0.3">
      <c r="A1999" t="s">
        <v>13970</v>
      </c>
      <c r="B1999" t="s">
        <v>13971</v>
      </c>
      <c r="C1999" t="s">
        <v>317</v>
      </c>
      <c r="D1999" t="s">
        <v>13972</v>
      </c>
      <c r="E1999" t="s">
        <v>13973</v>
      </c>
      <c r="F1999" t="s">
        <v>3456</v>
      </c>
      <c r="G1999" t="s">
        <v>13974</v>
      </c>
      <c r="H1999" t="s">
        <v>13975</v>
      </c>
      <c r="I1999">
        <f t="shared" ca="1" si="124"/>
        <v>19</v>
      </c>
      <c r="J1999" t="str">
        <f t="shared" ca="1" si="125"/>
        <v>18-29</v>
      </c>
      <c r="K1999">
        <v>43403.37</v>
      </c>
      <c r="L1999" t="str">
        <f>IF(Workforce[[#This Row],[Salary]]&lt;50000,"30k-49k",IF(Workforce[[#This Row],[Salary]]&lt;70000,"50k-69k",IF(Workforce[[#This Row],[Salary]]&lt;90000,"70k-89k","90k+")))</f>
        <v>30k-49k</v>
      </c>
      <c r="M1999" t="s">
        <v>8411</v>
      </c>
      <c r="N1999">
        <f t="shared" ca="1" si="126"/>
        <v>5</v>
      </c>
      <c r="O1999" t="str">
        <f t="shared" ca="1" si="127"/>
        <v>Intermediate level</v>
      </c>
    </row>
    <row r="2000" spans="1:15" x14ac:dyDescent="0.3">
      <c r="A2000" t="s">
        <v>13976</v>
      </c>
      <c r="B2000" t="s">
        <v>13977</v>
      </c>
      <c r="C2000" t="s">
        <v>61</v>
      </c>
      <c r="D2000" t="s">
        <v>13978</v>
      </c>
      <c r="E2000" t="s">
        <v>13979</v>
      </c>
      <c r="F2000" t="s">
        <v>493</v>
      </c>
      <c r="G2000" t="s">
        <v>13980</v>
      </c>
      <c r="H2000" t="s">
        <v>13981</v>
      </c>
      <c r="I2000">
        <f t="shared" ca="1" si="124"/>
        <v>64</v>
      </c>
      <c r="J2000" t="str">
        <f t="shared" ca="1" si="125"/>
        <v>60+</v>
      </c>
      <c r="K2000">
        <v>66008.479999999996</v>
      </c>
      <c r="L2000" t="str">
        <f>IF(Workforce[[#This Row],[Salary]]&lt;50000,"30k-49k",IF(Workforce[[#This Row],[Salary]]&lt;70000,"50k-69k",IF(Workforce[[#This Row],[Salary]]&lt;90000,"70k-89k","90k+")))</f>
        <v>50k-69k</v>
      </c>
      <c r="M2000" t="s">
        <v>13982</v>
      </c>
      <c r="N2000">
        <f t="shared" ca="1" si="126"/>
        <v>1</v>
      </c>
      <c r="O2000" t="str">
        <f t="shared" ca="1" si="127"/>
        <v>Beginner</v>
      </c>
    </row>
    <row r="2001" spans="1:15" x14ac:dyDescent="0.3">
      <c r="A2001" t="s">
        <v>3946</v>
      </c>
      <c r="B2001" t="s">
        <v>13983</v>
      </c>
      <c r="C2001" t="s">
        <v>284</v>
      </c>
      <c r="D2001" t="s">
        <v>13984</v>
      </c>
      <c r="E2001" t="s">
        <v>13985</v>
      </c>
      <c r="F2001" t="s">
        <v>13986</v>
      </c>
      <c r="G2001" t="s">
        <v>2067</v>
      </c>
      <c r="H2001" t="s">
        <v>13987</v>
      </c>
      <c r="I2001">
        <f t="shared" ca="1" si="124"/>
        <v>56</v>
      </c>
      <c r="J2001" t="str">
        <f t="shared" ca="1" si="125"/>
        <v>50-59</v>
      </c>
      <c r="K2001">
        <v>34082.14</v>
      </c>
      <c r="L2001" t="str">
        <f>IF(Workforce[[#This Row],[Salary]]&lt;50000,"30k-49k",IF(Workforce[[#This Row],[Salary]]&lt;70000,"50k-69k",IF(Workforce[[#This Row],[Salary]]&lt;90000,"70k-89k","90k+")))</f>
        <v>30k-49k</v>
      </c>
      <c r="M2001" t="s">
        <v>12209</v>
      </c>
      <c r="N2001">
        <f t="shared" ca="1" si="126"/>
        <v>4</v>
      </c>
      <c r="O2001" t="str">
        <f t="shared" ca="1" si="127"/>
        <v>Intermediate level</v>
      </c>
    </row>
    <row r="2002" spans="1:15" x14ac:dyDescent="0.3">
      <c r="A2002" t="s">
        <v>13988</v>
      </c>
      <c r="B2002" t="s">
        <v>13989</v>
      </c>
      <c r="C2002" t="s">
        <v>257</v>
      </c>
      <c r="D2002" t="s">
        <v>13990</v>
      </c>
      <c r="E2002" t="s">
        <v>13991</v>
      </c>
      <c r="F2002" t="s">
        <v>4459</v>
      </c>
      <c r="G2002" t="s">
        <v>13992</v>
      </c>
      <c r="H2002" t="s">
        <v>13993</v>
      </c>
      <c r="I2002">
        <f t="shared" ca="1" si="124"/>
        <v>52</v>
      </c>
      <c r="J2002" t="str">
        <f t="shared" ca="1" si="125"/>
        <v>50-59</v>
      </c>
      <c r="K2002">
        <v>95047.65</v>
      </c>
      <c r="L2002" t="str">
        <f>IF(Workforce[[#This Row],[Salary]]&lt;50000,"30k-49k",IF(Workforce[[#This Row],[Salary]]&lt;70000,"50k-69k",IF(Workforce[[#This Row],[Salary]]&lt;90000,"70k-89k","90k+")))</f>
        <v>90k+</v>
      </c>
      <c r="M2002" t="s">
        <v>13994</v>
      </c>
      <c r="N2002">
        <f t="shared" ca="1" si="126"/>
        <v>7</v>
      </c>
      <c r="O2002" t="str">
        <f t="shared" ca="1" si="127"/>
        <v>Senior level</v>
      </c>
    </row>
    <row r="2003" spans="1:15" x14ac:dyDescent="0.3">
      <c r="A2003" t="s">
        <v>13995</v>
      </c>
      <c r="B2003" t="s">
        <v>13996</v>
      </c>
      <c r="C2003" t="s">
        <v>457</v>
      </c>
      <c r="D2003" t="s">
        <v>13997</v>
      </c>
      <c r="E2003" t="s">
        <v>13998</v>
      </c>
      <c r="F2003" t="s">
        <v>1673</v>
      </c>
      <c r="G2003" t="s">
        <v>13999</v>
      </c>
      <c r="H2003" t="s">
        <v>14000</v>
      </c>
      <c r="I2003">
        <f t="shared" ca="1" si="124"/>
        <v>60</v>
      </c>
      <c r="J2003" t="str">
        <f t="shared" ca="1" si="125"/>
        <v>60+</v>
      </c>
      <c r="K2003">
        <v>89246.96</v>
      </c>
      <c r="L2003" t="str">
        <f>IF(Workforce[[#This Row],[Salary]]&lt;50000,"30k-49k",IF(Workforce[[#This Row],[Salary]]&lt;70000,"50k-69k",IF(Workforce[[#This Row],[Salary]]&lt;90000,"70k-89k","90k+")))</f>
        <v>70k-89k</v>
      </c>
      <c r="M2003" t="s">
        <v>14001</v>
      </c>
      <c r="N2003">
        <f t="shared" ca="1" si="126"/>
        <v>1</v>
      </c>
      <c r="O2003" t="str">
        <f t="shared" ca="1" si="127"/>
        <v>Beginner</v>
      </c>
    </row>
    <row r="2004" spans="1:15" x14ac:dyDescent="0.3">
      <c r="A2004" t="s">
        <v>14002</v>
      </c>
      <c r="B2004" t="s">
        <v>14003</v>
      </c>
      <c r="C2004" t="s">
        <v>257</v>
      </c>
      <c r="D2004" t="s">
        <v>14004</v>
      </c>
      <c r="E2004" t="s">
        <v>14005</v>
      </c>
      <c r="F2004" t="s">
        <v>9409</v>
      </c>
      <c r="G2004" t="s">
        <v>14006</v>
      </c>
      <c r="H2004" t="s">
        <v>14007</v>
      </c>
      <c r="I2004">
        <f t="shared" ca="1" si="124"/>
        <v>46</v>
      </c>
      <c r="J2004" t="str">
        <f t="shared" ca="1" si="125"/>
        <v>40-49</v>
      </c>
      <c r="K2004">
        <v>78706.039999999994</v>
      </c>
      <c r="L2004" t="str">
        <f>IF(Workforce[[#This Row],[Salary]]&lt;50000,"30k-49k",IF(Workforce[[#This Row],[Salary]]&lt;70000,"50k-69k",IF(Workforce[[#This Row],[Salary]]&lt;90000,"70k-89k","90k+")))</f>
        <v>70k-89k</v>
      </c>
      <c r="M2004" t="s">
        <v>14008</v>
      </c>
      <c r="N2004">
        <f t="shared" ca="1" si="126"/>
        <v>6</v>
      </c>
      <c r="O2004" t="str">
        <f t="shared" ca="1" si="127"/>
        <v>Intermediate level</v>
      </c>
    </row>
    <row r="2005" spans="1:15" x14ac:dyDescent="0.3">
      <c r="A2005" t="s">
        <v>7061</v>
      </c>
      <c r="B2005" t="s">
        <v>14009</v>
      </c>
      <c r="C2005" t="s">
        <v>115</v>
      </c>
      <c r="D2005" t="s">
        <v>14010</v>
      </c>
      <c r="E2005" t="s">
        <v>14011</v>
      </c>
      <c r="F2005" t="s">
        <v>1115</v>
      </c>
      <c r="G2005" t="s">
        <v>14012</v>
      </c>
      <c r="H2005" t="s">
        <v>14013</v>
      </c>
      <c r="I2005">
        <f t="shared" ca="1" si="124"/>
        <v>23</v>
      </c>
      <c r="J2005" t="str">
        <f t="shared" ca="1" si="125"/>
        <v>18-29</v>
      </c>
      <c r="K2005">
        <v>73558.789999999994</v>
      </c>
      <c r="L2005" t="str">
        <f>IF(Workforce[[#This Row],[Salary]]&lt;50000,"30k-49k",IF(Workforce[[#This Row],[Salary]]&lt;70000,"50k-69k",IF(Workforce[[#This Row],[Salary]]&lt;90000,"70k-89k","90k+")))</f>
        <v>70k-89k</v>
      </c>
      <c r="M2005" t="s">
        <v>14014</v>
      </c>
      <c r="N2005">
        <f t="shared" ca="1" si="126"/>
        <v>1</v>
      </c>
      <c r="O2005" t="str">
        <f t="shared" ca="1" si="127"/>
        <v>Beginner</v>
      </c>
    </row>
    <row r="2006" spans="1:15" x14ac:dyDescent="0.3">
      <c r="A2006" t="s">
        <v>14015</v>
      </c>
      <c r="B2006" t="s">
        <v>14016</v>
      </c>
      <c r="C2006" t="s">
        <v>160</v>
      </c>
      <c r="D2006" t="s">
        <v>14017</v>
      </c>
      <c r="E2006" t="s">
        <v>14018</v>
      </c>
      <c r="F2006" t="s">
        <v>1194</v>
      </c>
      <c r="G2006" t="s">
        <v>14019</v>
      </c>
      <c r="H2006" t="s">
        <v>14020</v>
      </c>
      <c r="I2006">
        <f t="shared" ca="1" si="124"/>
        <v>29</v>
      </c>
      <c r="J2006" t="str">
        <f t="shared" ca="1" si="125"/>
        <v>18-29</v>
      </c>
      <c r="K2006">
        <v>67050.87</v>
      </c>
      <c r="L2006" t="str">
        <f>IF(Workforce[[#This Row],[Salary]]&lt;50000,"30k-49k",IF(Workforce[[#This Row],[Salary]]&lt;70000,"50k-69k",IF(Workforce[[#This Row],[Salary]]&lt;90000,"70k-89k","90k+")))</f>
        <v>50k-69k</v>
      </c>
      <c r="M2006" t="s">
        <v>14021</v>
      </c>
      <c r="N2006">
        <f t="shared" ca="1" si="126"/>
        <v>4</v>
      </c>
      <c r="O2006" t="str">
        <f t="shared" ca="1" si="127"/>
        <v>Intermediate level</v>
      </c>
    </row>
    <row r="2007" spans="1:15" x14ac:dyDescent="0.3">
      <c r="A2007" t="s">
        <v>14022</v>
      </c>
      <c r="B2007" t="s">
        <v>14023</v>
      </c>
      <c r="C2007" t="s">
        <v>169</v>
      </c>
      <c r="D2007" t="s">
        <v>14024</v>
      </c>
      <c r="E2007" t="s">
        <v>14025</v>
      </c>
      <c r="F2007" t="s">
        <v>4148</v>
      </c>
      <c r="G2007" t="s">
        <v>14026</v>
      </c>
      <c r="H2007" t="s">
        <v>14027</v>
      </c>
      <c r="I2007">
        <f t="shared" ca="1" si="124"/>
        <v>56</v>
      </c>
      <c r="J2007" t="str">
        <f t="shared" ca="1" si="125"/>
        <v>50-59</v>
      </c>
      <c r="K2007">
        <v>109932.88</v>
      </c>
      <c r="L2007" t="str">
        <f>IF(Workforce[[#This Row],[Salary]]&lt;50000,"30k-49k",IF(Workforce[[#This Row],[Salary]]&lt;70000,"50k-69k",IF(Workforce[[#This Row],[Salary]]&lt;90000,"70k-89k","90k+")))</f>
        <v>90k+</v>
      </c>
      <c r="M2007" t="s">
        <v>14028</v>
      </c>
      <c r="N2007">
        <f t="shared" ca="1" si="126"/>
        <v>5</v>
      </c>
      <c r="O2007" t="str">
        <f t="shared" ca="1" si="127"/>
        <v>Intermediate level</v>
      </c>
    </row>
    <row r="2008" spans="1:15" x14ac:dyDescent="0.3">
      <c r="A2008" t="s">
        <v>14029</v>
      </c>
      <c r="B2008" t="s">
        <v>14030</v>
      </c>
      <c r="C2008" t="s">
        <v>326</v>
      </c>
      <c r="D2008" t="s">
        <v>14031</v>
      </c>
      <c r="E2008" t="s">
        <v>14032</v>
      </c>
      <c r="F2008" t="s">
        <v>9460</v>
      </c>
      <c r="G2008" t="s">
        <v>14033</v>
      </c>
      <c r="H2008" t="s">
        <v>14034</v>
      </c>
      <c r="I2008">
        <f t="shared" ca="1" si="124"/>
        <v>24</v>
      </c>
      <c r="J2008" t="str">
        <f t="shared" ca="1" si="125"/>
        <v>18-29</v>
      </c>
      <c r="K2008">
        <v>85856.76</v>
      </c>
      <c r="L2008" t="str">
        <f>IF(Workforce[[#This Row],[Salary]]&lt;50000,"30k-49k",IF(Workforce[[#This Row],[Salary]]&lt;70000,"50k-69k",IF(Workforce[[#This Row],[Salary]]&lt;90000,"70k-89k","90k+")))</f>
        <v>70k-89k</v>
      </c>
      <c r="M2008" t="s">
        <v>14035</v>
      </c>
      <c r="N2008">
        <f t="shared" ca="1" si="126"/>
        <v>5</v>
      </c>
      <c r="O2008" t="str">
        <f t="shared" ca="1" si="127"/>
        <v>Intermediate level</v>
      </c>
    </row>
    <row r="2009" spans="1:15" x14ac:dyDescent="0.3">
      <c r="A2009" t="s">
        <v>14036</v>
      </c>
      <c r="B2009" t="s">
        <v>14037</v>
      </c>
      <c r="C2009" t="s">
        <v>1159</v>
      </c>
      <c r="D2009" t="s">
        <v>14038</v>
      </c>
      <c r="E2009" t="s">
        <v>14039</v>
      </c>
      <c r="F2009" t="s">
        <v>378</v>
      </c>
      <c r="G2009" t="s">
        <v>14040</v>
      </c>
      <c r="H2009" t="s">
        <v>14041</v>
      </c>
      <c r="I2009">
        <f t="shared" ca="1" si="124"/>
        <v>51</v>
      </c>
      <c r="J2009" t="str">
        <f t="shared" ca="1" si="125"/>
        <v>50-59</v>
      </c>
      <c r="K2009">
        <v>76144.600000000006</v>
      </c>
      <c r="L2009" t="str">
        <f>IF(Workforce[[#This Row],[Salary]]&lt;50000,"30k-49k",IF(Workforce[[#This Row],[Salary]]&lt;70000,"50k-69k",IF(Workforce[[#This Row],[Salary]]&lt;90000,"70k-89k","90k+")))</f>
        <v>70k-89k</v>
      </c>
      <c r="M2009" t="s">
        <v>14042</v>
      </c>
      <c r="N2009">
        <f t="shared" ca="1" si="126"/>
        <v>2</v>
      </c>
      <c r="O2009" t="str">
        <f t="shared" ca="1" si="127"/>
        <v>Beginner</v>
      </c>
    </row>
    <row r="2010" spans="1:15" x14ac:dyDescent="0.3">
      <c r="A2010" t="s">
        <v>14043</v>
      </c>
      <c r="B2010" t="s">
        <v>14044</v>
      </c>
      <c r="C2010" t="s">
        <v>115</v>
      </c>
      <c r="D2010" t="s">
        <v>14045</v>
      </c>
      <c r="E2010" t="s">
        <v>14046</v>
      </c>
      <c r="F2010" t="s">
        <v>8083</v>
      </c>
      <c r="G2010" t="s">
        <v>14047</v>
      </c>
      <c r="H2010" t="s">
        <v>14048</v>
      </c>
      <c r="I2010">
        <f t="shared" ca="1" si="124"/>
        <v>59</v>
      </c>
      <c r="J2010" t="str">
        <f t="shared" ca="1" si="125"/>
        <v>50-59</v>
      </c>
      <c r="K2010">
        <v>111210.24000000001</v>
      </c>
      <c r="L2010" t="str">
        <f>IF(Workforce[[#This Row],[Salary]]&lt;50000,"30k-49k",IF(Workforce[[#This Row],[Salary]]&lt;70000,"50k-69k",IF(Workforce[[#This Row],[Salary]]&lt;90000,"70k-89k","90k+")))</f>
        <v>90k+</v>
      </c>
      <c r="M2010" t="s">
        <v>94</v>
      </c>
      <c r="N2010">
        <f t="shared" ca="1" si="126"/>
        <v>4</v>
      </c>
      <c r="O2010" t="str">
        <f t="shared" ca="1" si="127"/>
        <v>Intermediate level</v>
      </c>
    </row>
    <row r="2011" spans="1:15" x14ac:dyDescent="0.3">
      <c r="A2011" t="s">
        <v>14049</v>
      </c>
      <c r="B2011" t="s">
        <v>14050</v>
      </c>
      <c r="C2011" t="s">
        <v>257</v>
      </c>
      <c r="D2011" t="s">
        <v>14051</v>
      </c>
      <c r="E2011" t="s">
        <v>14052</v>
      </c>
      <c r="F2011" t="s">
        <v>14053</v>
      </c>
      <c r="G2011" t="s">
        <v>14054</v>
      </c>
      <c r="H2011" t="s">
        <v>14055</v>
      </c>
      <c r="I2011">
        <f t="shared" ca="1" si="124"/>
        <v>39</v>
      </c>
      <c r="J2011" t="str">
        <f t="shared" ca="1" si="125"/>
        <v>30-39</v>
      </c>
      <c r="K2011">
        <v>117506.11</v>
      </c>
      <c r="L2011" t="str">
        <f>IF(Workforce[[#This Row],[Salary]]&lt;50000,"30k-49k",IF(Workforce[[#This Row],[Salary]]&lt;70000,"50k-69k",IF(Workforce[[#This Row],[Salary]]&lt;90000,"70k-89k","90k+")))</f>
        <v>90k+</v>
      </c>
      <c r="M2011" t="s">
        <v>14056</v>
      </c>
      <c r="N2011">
        <f t="shared" ca="1" si="126"/>
        <v>3</v>
      </c>
      <c r="O2011" t="str">
        <f t="shared" ca="1" si="127"/>
        <v>Intermediate level</v>
      </c>
    </row>
    <row r="2012" spans="1:15" x14ac:dyDescent="0.3">
      <c r="A2012" t="s">
        <v>14057</v>
      </c>
      <c r="B2012" t="s">
        <v>14058</v>
      </c>
      <c r="C2012" t="s">
        <v>222</v>
      </c>
      <c r="D2012" t="s">
        <v>14059</v>
      </c>
      <c r="E2012" t="s">
        <v>14060</v>
      </c>
      <c r="F2012" t="s">
        <v>14061</v>
      </c>
      <c r="G2012" t="s">
        <v>14062</v>
      </c>
      <c r="H2012" t="s">
        <v>12456</v>
      </c>
      <c r="I2012">
        <f t="shared" ca="1" si="124"/>
        <v>42</v>
      </c>
      <c r="J2012" t="str">
        <f t="shared" ca="1" si="125"/>
        <v>40-49</v>
      </c>
      <c r="K2012">
        <v>34442.160000000003</v>
      </c>
      <c r="L2012" t="str">
        <f>IF(Workforce[[#This Row],[Salary]]&lt;50000,"30k-49k",IF(Workforce[[#This Row],[Salary]]&lt;70000,"50k-69k",IF(Workforce[[#This Row],[Salary]]&lt;90000,"70k-89k","90k+")))</f>
        <v>30k-49k</v>
      </c>
      <c r="M2012" t="s">
        <v>13153</v>
      </c>
      <c r="N2012">
        <f t="shared" ca="1" si="126"/>
        <v>9</v>
      </c>
      <c r="O2012" t="str">
        <f t="shared" ca="1" si="127"/>
        <v>Senior level</v>
      </c>
    </row>
    <row r="2013" spans="1:15" x14ac:dyDescent="0.3">
      <c r="A2013" t="s">
        <v>14063</v>
      </c>
      <c r="B2013" t="s">
        <v>14064</v>
      </c>
      <c r="C2013" t="s">
        <v>326</v>
      </c>
      <c r="D2013" t="s">
        <v>14065</v>
      </c>
      <c r="E2013" t="s">
        <v>14066</v>
      </c>
      <c r="F2013" t="s">
        <v>9475</v>
      </c>
      <c r="G2013" t="s">
        <v>14067</v>
      </c>
      <c r="H2013" t="s">
        <v>14068</v>
      </c>
      <c r="I2013">
        <f t="shared" ca="1" si="124"/>
        <v>49</v>
      </c>
      <c r="J2013" t="str">
        <f t="shared" ca="1" si="125"/>
        <v>40-49</v>
      </c>
      <c r="K2013">
        <v>100465.29</v>
      </c>
      <c r="L2013" t="str">
        <f>IF(Workforce[[#This Row],[Salary]]&lt;50000,"30k-49k",IF(Workforce[[#This Row],[Salary]]&lt;70000,"50k-69k",IF(Workforce[[#This Row],[Salary]]&lt;90000,"70k-89k","90k+")))</f>
        <v>90k+</v>
      </c>
      <c r="M2013" t="s">
        <v>4846</v>
      </c>
      <c r="N2013">
        <f t="shared" ca="1" si="126"/>
        <v>7</v>
      </c>
      <c r="O2013" t="str">
        <f t="shared" ca="1" si="127"/>
        <v>Senior level</v>
      </c>
    </row>
    <row r="2014" spans="1:15" x14ac:dyDescent="0.3">
      <c r="A2014" t="s">
        <v>14069</v>
      </c>
      <c r="B2014" t="s">
        <v>14070</v>
      </c>
      <c r="C2014" t="s">
        <v>124</v>
      </c>
      <c r="D2014" t="s">
        <v>14071</v>
      </c>
      <c r="E2014" t="s">
        <v>14072</v>
      </c>
      <c r="F2014" t="s">
        <v>6740</v>
      </c>
      <c r="G2014" t="s">
        <v>14073</v>
      </c>
      <c r="H2014" t="s">
        <v>14074</v>
      </c>
      <c r="I2014">
        <f t="shared" ca="1" si="124"/>
        <v>40</v>
      </c>
      <c r="J2014" t="str">
        <f t="shared" ca="1" si="125"/>
        <v>40-49</v>
      </c>
      <c r="K2014">
        <v>78769.33</v>
      </c>
      <c r="L2014" t="str">
        <f>IF(Workforce[[#This Row],[Salary]]&lt;50000,"30k-49k",IF(Workforce[[#This Row],[Salary]]&lt;70000,"50k-69k",IF(Workforce[[#This Row],[Salary]]&lt;90000,"70k-89k","90k+")))</f>
        <v>70k-89k</v>
      </c>
      <c r="M2014" t="s">
        <v>12496</v>
      </c>
      <c r="N2014">
        <f t="shared" ca="1" si="126"/>
        <v>9</v>
      </c>
      <c r="O2014" t="str">
        <f t="shared" ca="1" si="127"/>
        <v>Senior level</v>
      </c>
    </row>
    <row r="2015" spans="1:15" x14ac:dyDescent="0.3">
      <c r="A2015" t="s">
        <v>14075</v>
      </c>
      <c r="B2015" t="s">
        <v>14076</v>
      </c>
      <c r="C2015" t="s">
        <v>1223</v>
      </c>
      <c r="D2015" t="s">
        <v>14077</v>
      </c>
      <c r="E2015" t="s">
        <v>14078</v>
      </c>
      <c r="F2015" t="s">
        <v>10225</v>
      </c>
      <c r="G2015" t="s">
        <v>14079</v>
      </c>
      <c r="H2015" t="s">
        <v>14080</v>
      </c>
      <c r="I2015">
        <f t="shared" ca="1" si="124"/>
        <v>45</v>
      </c>
      <c r="J2015" t="str">
        <f t="shared" ca="1" si="125"/>
        <v>40-49</v>
      </c>
      <c r="K2015">
        <v>108887.67</v>
      </c>
      <c r="L2015" t="str">
        <f>IF(Workforce[[#This Row],[Salary]]&lt;50000,"30k-49k",IF(Workforce[[#This Row],[Salary]]&lt;70000,"50k-69k",IF(Workforce[[#This Row],[Salary]]&lt;90000,"70k-89k","90k+")))</f>
        <v>90k+</v>
      </c>
      <c r="M2015" t="s">
        <v>4273</v>
      </c>
      <c r="N2015">
        <f t="shared" ca="1" si="126"/>
        <v>3</v>
      </c>
      <c r="O2015" t="str">
        <f t="shared" ca="1" si="127"/>
        <v>Intermediate level</v>
      </c>
    </row>
    <row r="2016" spans="1:15" x14ac:dyDescent="0.3">
      <c r="A2016" t="s">
        <v>14081</v>
      </c>
      <c r="B2016" t="s">
        <v>14082</v>
      </c>
      <c r="C2016" t="s">
        <v>79</v>
      </c>
      <c r="D2016" t="s">
        <v>14083</v>
      </c>
      <c r="E2016" t="s">
        <v>14084</v>
      </c>
      <c r="F2016" t="s">
        <v>9373</v>
      </c>
      <c r="G2016" t="s">
        <v>14085</v>
      </c>
      <c r="H2016" t="s">
        <v>14086</v>
      </c>
      <c r="I2016">
        <f t="shared" ca="1" si="124"/>
        <v>26</v>
      </c>
      <c r="J2016" t="str">
        <f t="shared" ca="1" si="125"/>
        <v>18-29</v>
      </c>
      <c r="K2016">
        <v>92801.17</v>
      </c>
      <c r="L2016" t="str">
        <f>IF(Workforce[[#This Row],[Salary]]&lt;50000,"30k-49k",IF(Workforce[[#This Row],[Salary]]&lt;70000,"50k-69k",IF(Workforce[[#This Row],[Salary]]&lt;90000,"70k-89k","90k+")))</f>
        <v>90k+</v>
      </c>
      <c r="M2016" t="s">
        <v>818</v>
      </c>
      <c r="N2016">
        <f t="shared" ca="1" si="126"/>
        <v>4</v>
      </c>
      <c r="O2016" t="str">
        <f t="shared" ca="1" si="127"/>
        <v>Intermediate level</v>
      </c>
    </row>
    <row r="2017" spans="1:15" x14ac:dyDescent="0.3">
      <c r="A2017" t="s">
        <v>14087</v>
      </c>
      <c r="B2017" t="s">
        <v>14088</v>
      </c>
      <c r="C2017" t="s">
        <v>1043</v>
      </c>
      <c r="D2017" t="s">
        <v>14089</v>
      </c>
      <c r="E2017" t="s">
        <v>14090</v>
      </c>
      <c r="F2017" t="s">
        <v>5940</v>
      </c>
      <c r="G2017" t="s">
        <v>14091</v>
      </c>
      <c r="H2017" t="s">
        <v>14092</v>
      </c>
      <c r="I2017">
        <f t="shared" ca="1" si="124"/>
        <v>30</v>
      </c>
      <c r="J2017" t="str">
        <f t="shared" ca="1" si="125"/>
        <v>30-39</v>
      </c>
      <c r="K2017">
        <v>89557.54</v>
      </c>
      <c r="L2017" t="str">
        <f>IF(Workforce[[#This Row],[Salary]]&lt;50000,"30k-49k",IF(Workforce[[#This Row],[Salary]]&lt;70000,"50k-69k",IF(Workforce[[#This Row],[Salary]]&lt;90000,"70k-89k","90k+")))</f>
        <v>70k-89k</v>
      </c>
      <c r="M2017" t="s">
        <v>14093</v>
      </c>
      <c r="N2017">
        <f t="shared" ca="1" si="126"/>
        <v>4</v>
      </c>
      <c r="O2017" t="str">
        <f t="shared" ca="1" si="127"/>
        <v>Intermediate level</v>
      </c>
    </row>
    <row r="2018" spans="1:15" x14ac:dyDescent="0.3">
      <c r="A2018" t="s">
        <v>14094</v>
      </c>
      <c r="B2018" t="s">
        <v>14095</v>
      </c>
      <c r="C2018" t="s">
        <v>35</v>
      </c>
      <c r="D2018" t="s">
        <v>14096</v>
      </c>
      <c r="E2018" t="s">
        <v>14097</v>
      </c>
      <c r="F2018" t="s">
        <v>525</v>
      </c>
      <c r="G2018" t="s">
        <v>14098</v>
      </c>
      <c r="H2018" t="s">
        <v>14099</v>
      </c>
      <c r="I2018">
        <f t="shared" ca="1" si="124"/>
        <v>60</v>
      </c>
      <c r="J2018" t="str">
        <f t="shared" ca="1" si="125"/>
        <v>60+</v>
      </c>
      <c r="K2018">
        <v>116490.12</v>
      </c>
      <c r="L2018" t="str">
        <f>IF(Workforce[[#This Row],[Salary]]&lt;50000,"30k-49k",IF(Workforce[[#This Row],[Salary]]&lt;70000,"50k-69k",IF(Workforce[[#This Row],[Salary]]&lt;90000,"70k-89k","90k+")))</f>
        <v>90k+</v>
      </c>
      <c r="M2018" t="s">
        <v>14100</v>
      </c>
      <c r="N2018">
        <f t="shared" ca="1" si="126"/>
        <v>2</v>
      </c>
      <c r="O2018" t="str">
        <f t="shared" ca="1" si="127"/>
        <v>Beginner</v>
      </c>
    </row>
    <row r="2019" spans="1:15" x14ac:dyDescent="0.3">
      <c r="A2019" t="s">
        <v>14101</v>
      </c>
      <c r="B2019" t="s">
        <v>14102</v>
      </c>
      <c r="C2019" t="s">
        <v>133</v>
      </c>
      <c r="D2019" t="s">
        <v>14103</v>
      </c>
      <c r="E2019" t="s">
        <v>14104</v>
      </c>
      <c r="F2019" t="s">
        <v>11463</v>
      </c>
      <c r="G2019" t="s">
        <v>14105</v>
      </c>
      <c r="H2019" t="s">
        <v>14106</v>
      </c>
      <c r="I2019">
        <f t="shared" ca="1" si="124"/>
        <v>51</v>
      </c>
      <c r="J2019" t="str">
        <f t="shared" ca="1" si="125"/>
        <v>50-59</v>
      </c>
      <c r="K2019">
        <v>80409.350000000006</v>
      </c>
      <c r="L2019" t="str">
        <f>IF(Workforce[[#This Row],[Salary]]&lt;50000,"30k-49k",IF(Workforce[[#This Row],[Salary]]&lt;70000,"50k-69k",IF(Workforce[[#This Row],[Salary]]&lt;90000,"70k-89k","90k+")))</f>
        <v>70k-89k</v>
      </c>
      <c r="M2019" t="s">
        <v>8346</v>
      </c>
      <c r="N2019">
        <f t="shared" ca="1" si="126"/>
        <v>6</v>
      </c>
      <c r="O2019" t="str">
        <f t="shared" ca="1" si="127"/>
        <v>Intermediate level</v>
      </c>
    </row>
    <row r="2020" spans="1:15" x14ac:dyDescent="0.3">
      <c r="A2020" t="s">
        <v>14107</v>
      </c>
      <c r="B2020" t="s">
        <v>14108</v>
      </c>
      <c r="C2020" t="s">
        <v>317</v>
      </c>
      <c r="D2020" t="s">
        <v>14109</v>
      </c>
      <c r="E2020" t="s">
        <v>14110</v>
      </c>
      <c r="F2020" t="s">
        <v>1826</v>
      </c>
      <c r="G2020" t="s">
        <v>13075</v>
      </c>
      <c r="H2020" t="s">
        <v>14111</v>
      </c>
      <c r="I2020">
        <f t="shared" ca="1" si="124"/>
        <v>58</v>
      </c>
      <c r="J2020" t="str">
        <f t="shared" ca="1" si="125"/>
        <v>50-59</v>
      </c>
      <c r="K2020">
        <v>64868.57</v>
      </c>
      <c r="L2020" t="str">
        <f>IF(Workforce[[#This Row],[Salary]]&lt;50000,"30k-49k",IF(Workforce[[#This Row],[Salary]]&lt;70000,"50k-69k",IF(Workforce[[#This Row],[Salary]]&lt;90000,"70k-89k","90k+")))</f>
        <v>50k-69k</v>
      </c>
      <c r="M2020" t="s">
        <v>12275</v>
      </c>
      <c r="N2020">
        <f t="shared" ca="1" si="126"/>
        <v>2</v>
      </c>
      <c r="O2020" t="str">
        <f t="shared" ca="1" si="127"/>
        <v>Beginner</v>
      </c>
    </row>
    <row r="2021" spans="1:15" x14ac:dyDescent="0.3">
      <c r="A2021" t="s">
        <v>14112</v>
      </c>
      <c r="B2021" t="s">
        <v>14113</v>
      </c>
      <c r="C2021" t="s">
        <v>335</v>
      </c>
      <c r="D2021" t="s">
        <v>14114</v>
      </c>
      <c r="E2021" t="s">
        <v>14115</v>
      </c>
      <c r="F2021" t="s">
        <v>172</v>
      </c>
      <c r="G2021" t="s">
        <v>14116</v>
      </c>
      <c r="H2021" t="s">
        <v>14117</v>
      </c>
      <c r="I2021">
        <f t="shared" ca="1" si="124"/>
        <v>28</v>
      </c>
      <c r="J2021" t="str">
        <f t="shared" ca="1" si="125"/>
        <v>18-29</v>
      </c>
      <c r="K2021">
        <v>46047.01</v>
      </c>
      <c r="L2021" t="str">
        <f>IF(Workforce[[#This Row],[Salary]]&lt;50000,"30k-49k",IF(Workforce[[#This Row],[Salary]]&lt;70000,"50k-69k",IF(Workforce[[#This Row],[Salary]]&lt;90000,"70k-89k","90k+")))</f>
        <v>30k-49k</v>
      </c>
      <c r="M2021" t="s">
        <v>14118</v>
      </c>
      <c r="N2021">
        <f t="shared" ca="1" si="126"/>
        <v>6</v>
      </c>
      <c r="O2021" t="str">
        <f t="shared" ca="1" si="127"/>
        <v>Intermediate level</v>
      </c>
    </row>
    <row r="2022" spans="1:15" x14ac:dyDescent="0.3">
      <c r="A2022" t="s">
        <v>14119</v>
      </c>
      <c r="B2022" t="s">
        <v>14120</v>
      </c>
      <c r="C2022" t="s">
        <v>240</v>
      </c>
      <c r="D2022" t="s">
        <v>14121</v>
      </c>
      <c r="E2022" t="s">
        <v>14122</v>
      </c>
      <c r="F2022" t="s">
        <v>4895</v>
      </c>
      <c r="G2022" t="s">
        <v>14123</v>
      </c>
      <c r="H2022" t="s">
        <v>7744</v>
      </c>
      <c r="I2022">
        <f t="shared" ca="1" si="124"/>
        <v>27</v>
      </c>
      <c r="J2022" t="str">
        <f t="shared" ca="1" si="125"/>
        <v>18-29</v>
      </c>
      <c r="K2022">
        <v>43679.37</v>
      </c>
      <c r="L2022" t="str">
        <f>IF(Workforce[[#This Row],[Salary]]&lt;50000,"30k-49k",IF(Workforce[[#This Row],[Salary]]&lt;70000,"50k-69k",IF(Workforce[[#This Row],[Salary]]&lt;90000,"70k-89k","90k+")))</f>
        <v>30k-49k</v>
      </c>
      <c r="M2022" t="s">
        <v>14124</v>
      </c>
      <c r="N2022">
        <f t="shared" ca="1" si="126"/>
        <v>2</v>
      </c>
      <c r="O2022" t="str">
        <f t="shared" ca="1" si="127"/>
        <v>Beginner</v>
      </c>
    </row>
    <row r="2023" spans="1:15" x14ac:dyDescent="0.3">
      <c r="A2023" t="s">
        <v>14125</v>
      </c>
      <c r="B2023" t="s">
        <v>14126</v>
      </c>
      <c r="C2023" t="s">
        <v>844</v>
      </c>
      <c r="D2023" t="s">
        <v>14127</v>
      </c>
      <c r="E2023" t="s">
        <v>14128</v>
      </c>
      <c r="F2023" t="s">
        <v>981</v>
      </c>
      <c r="G2023" t="s">
        <v>14129</v>
      </c>
      <c r="H2023" t="s">
        <v>14130</v>
      </c>
      <c r="I2023">
        <f t="shared" ca="1" si="124"/>
        <v>38</v>
      </c>
      <c r="J2023" t="str">
        <f t="shared" ca="1" si="125"/>
        <v>30-39</v>
      </c>
      <c r="K2023">
        <v>77833.7</v>
      </c>
      <c r="L2023" t="str">
        <f>IF(Workforce[[#This Row],[Salary]]&lt;50000,"30k-49k",IF(Workforce[[#This Row],[Salary]]&lt;70000,"50k-69k",IF(Workforce[[#This Row],[Salary]]&lt;90000,"70k-89k","90k+")))</f>
        <v>70k-89k</v>
      </c>
      <c r="M2023" t="s">
        <v>14131</v>
      </c>
      <c r="N2023">
        <f t="shared" ca="1" si="126"/>
        <v>1</v>
      </c>
      <c r="O2023" t="str">
        <f t="shared" ca="1" si="127"/>
        <v>Beginner</v>
      </c>
    </row>
    <row r="2024" spans="1:15" x14ac:dyDescent="0.3">
      <c r="A2024" t="s">
        <v>14132</v>
      </c>
      <c r="B2024" t="s">
        <v>14133</v>
      </c>
      <c r="C2024" t="s">
        <v>26</v>
      </c>
      <c r="D2024" t="s">
        <v>14134</v>
      </c>
      <c r="E2024" t="s">
        <v>14135</v>
      </c>
      <c r="F2024" t="s">
        <v>476</v>
      </c>
      <c r="G2024" t="s">
        <v>14136</v>
      </c>
      <c r="H2024" t="s">
        <v>14137</v>
      </c>
      <c r="I2024">
        <f t="shared" ca="1" si="124"/>
        <v>41</v>
      </c>
      <c r="J2024" t="str">
        <f t="shared" ca="1" si="125"/>
        <v>40-49</v>
      </c>
      <c r="K2024">
        <v>52218.89</v>
      </c>
      <c r="L2024" t="str">
        <f>IF(Workforce[[#This Row],[Salary]]&lt;50000,"30k-49k",IF(Workforce[[#This Row],[Salary]]&lt;70000,"50k-69k",IF(Workforce[[#This Row],[Salary]]&lt;90000,"70k-89k","90k+")))</f>
        <v>50k-69k</v>
      </c>
      <c r="M2024" t="s">
        <v>3384</v>
      </c>
      <c r="N2024">
        <f t="shared" ca="1" si="126"/>
        <v>6</v>
      </c>
      <c r="O2024" t="str">
        <f t="shared" ca="1" si="127"/>
        <v>Intermediate level</v>
      </c>
    </row>
    <row r="2025" spans="1:15" x14ac:dyDescent="0.3">
      <c r="A2025" t="s">
        <v>14138</v>
      </c>
      <c r="B2025" t="s">
        <v>14139</v>
      </c>
      <c r="C2025" t="s">
        <v>79</v>
      </c>
      <c r="D2025" t="s">
        <v>14140</v>
      </c>
      <c r="E2025" t="s">
        <v>14141</v>
      </c>
      <c r="F2025" t="s">
        <v>1099</v>
      </c>
      <c r="G2025" t="s">
        <v>14142</v>
      </c>
      <c r="H2025" t="s">
        <v>14143</v>
      </c>
      <c r="I2025">
        <f t="shared" ca="1" si="124"/>
        <v>23</v>
      </c>
      <c r="J2025" t="str">
        <f t="shared" ca="1" si="125"/>
        <v>18-29</v>
      </c>
      <c r="K2025">
        <v>83246.3</v>
      </c>
      <c r="L2025" t="str">
        <f>IF(Workforce[[#This Row],[Salary]]&lt;50000,"30k-49k",IF(Workforce[[#This Row],[Salary]]&lt;70000,"50k-69k",IF(Workforce[[#This Row],[Salary]]&lt;90000,"70k-89k","90k+")))</f>
        <v>70k-89k</v>
      </c>
      <c r="M2025" t="s">
        <v>14144</v>
      </c>
      <c r="N2025">
        <f t="shared" ca="1" si="126"/>
        <v>7</v>
      </c>
      <c r="O2025" t="str">
        <f t="shared" ca="1" si="127"/>
        <v>Senior level</v>
      </c>
    </row>
    <row r="2026" spans="1:15" x14ac:dyDescent="0.3">
      <c r="A2026" t="s">
        <v>14145</v>
      </c>
      <c r="B2026" t="s">
        <v>14146</v>
      </c>
      <c r="C2026" t="s">
        <v>142</v>
      </c>
      <c r="D2026" t="s">
        <v>14147</v>
      </c>
      <c r="E2026" t="s">
        <v>14148</v>
      </c>
      <c r="F2026" t="s">
        <v>3812</v>
      </c>
      <c r="G2026" t="s">
        <v>14149</v>
      </c>
      <c r="H2026" t="s">
        <v>14150</v>
      </c>
      <c r="I2026">
        <f t="shared" ca="1" si="124"/>
        <v>54</v>
      </c>
      <c r="J2026" t="str">
        <f t="shared" ca="1" si="125"/>
        <v>50-59</v>
      </c>
      <c r="K2026">
        <v>100191.3</v>
      </c>
      <c r="L2026" t="str">
        <f>IF(Workforce[[#This Row],[Salary]]&lt;50000,"30k-49k",IF(Workforce[[#This Row],[Salary]]&lt;70000,"50k-69k",IF(Workforce[[#This Row],[Salary]]&lt;90000,"70k-89k","90k+")))</f>
        <v>90k+</v>
      </c>
      <c r="M2026" t="s">
        <v>1852</v>
      </c>
      <c r="N2026">
        <f t="shared" ca="1" si="126"/>
        <v>8</v>
      </c>
      <c r="O2026" t="str">
        <f t="shared" ca="1" si="127"/>
        <v>Senior level</v>
      </c>
    </row>
    <row r="2027" spans="1:15" x14ac:dyDescent="0.3">
      <c r="A2027" t="s">
        <v>14151</v>
      </c>
      <c r="B2027" t="s">
        <v>14152</v>
      </c>
      <c r="C2027" t="s">
        <v>844</v>
      </c>
      <c r="D2027" t="s">
        <v>14153</v>
      </c>
      <c r="E2027" t="s">
        <v>14154</v>
      </c>
      <c r="F2027" t="s">
        <v>1864</v>
      </c>
      <c r="G2027" t="s">
        <v>14155</v>
      </c>
      <c r="H2027" t="s">
        <v>14156</v>
      </c>
      <c r="I2027">
        <f t="shared" ca="1" si="124"/>
        <v>53</v>
      </c>
      <c r="J2027" t="str">
        <f t="shared" ca="1" si="125"/>
        <v>50-59</v>
      </c>
      <c r="K2027">
        <v>62822.59</v>
      </c>
      <c r="L2027" t="str">
        <f>IF(Workforce[[#This Row],[Salary]]&lt;50000,"30k-49k",IF(Workforce[[#This Row],[Salary]]&lt;70000,"50k-69k",IF(Workforce[[#This Row],[Salary]]&lt;90000,"70k-89k","90k+")))</f>
        <v>50k-69k</v>
      </c>
      <c r="M2027" t="s">
        <v>14157</v>
      </c>
      <c r="N2027">
        <f t="shared" ca="1" si="126"/>
        <v>10</v>
      </c>
      <c r="O2027" t="str">
        <f t="shared" ca="1" si="127"/>
        <v>Senior level</v>
      </c>
    </row>
    <row r="2028" spans="1:15" x14ac:dyDescent="0.3">
      <c r="A2028" t="s">
        <v>14158</v>
      </c>
      <c r="B2028" t="s">
        <v>14159</v>
      </c>
      <c r="C2028" t="s">
        <v>35</v>
      </c>
      <c r="D2028" t="s">
        <v>14160</v>
      </c>
      <c r="E2028" t="s">
        <v>14161</v>
      </c>
      <c r="F2028" t="s">
        <v>5053</v>
      </c>
      <c r="G2028" t="s">
        <v>9476</v>
      </c>
      <c r="H2028" t="s">
        <v>14162</v>
      </c>
      <c r="I2028">
        <f t="shared" ca="1" si="124"/>
        <v>53</v>
      </c>
      <c r="J2028" t="str">
        <f t="shared" ca="1" si="125"/>
        <v>50-59</v>
      </c>
      <c r="K2028">
        <v>76781.710000000006</v>
      </c>
      <c r="L2028" t="str">
        <f>IF(Workforce[[#This Row],[Salary]]&lt;50000,"30k-49k",IF(Workforce[[#This Row],[Salary]]&lt;70000,"50k-69k",IF(Workforce[[#This Row],[Salary]]&lt;90000,"70k-89k","90k+")))</f>
        <v>70k-89k</v>
      </c>
      <c r="M2028" t="s">
        <v>14163</v>
      </c>
      <c r="N2028">
        <f t="shared" ca="1" si="126"/>
        <v>5</v>
      </c>
      <c r="O2028" t="str">
        <f t="shared" ca="1" si="127"/>
        <v>Intermediate level</v>
      </c>
    </row>
    <row r="2029" spans="1:15" x14ac:dyDescent="0.3">
      <c r="A2029" t="s">
        <v>14164</v>
      </c>
      <c r="B2029" t="s">
        <v>14165</v>
      </c>
      <c r="C2029" t="s">
        <v>222</v>
      </c>
      <c r="D2029" t="s">
        <v>14166</v>
      </c>
      <c r="E2029" t="s">
        <v>14167</v>
      </c>
      <c r="F2029" t="s">
        <v>1965</v>
      </c>
      <c r="G2029" t="s">
        <v>14168</v>
      </c>
      <c r="H2029" t="s">
        <v>2917</v>
      </c>
      <c r="I2029">
        <f t="shared" ca="1" si="124"/>
        <v>57</v>
      </c>
      <c r="J2029" t="str">
        <f t="shared" ca="1" si="125"/>
        <v>50-59</v>
      </c>
      <c r="K2029">
        <v>55637.8</v>
      </c>
      <c r="L2029" t="str">
        <f>IF(Workforce[[#This Row],[Salary]]&lt;50000,"30k-49k",IF(Workforce[[#This Row],[Salary]]&lt;70000,"50k-69k",IF(Workforce[[#This Row],[Salary]]&lt;90000,"70k-89k","90k+")))</f>
        <v>50k-69k</v>
      </c>
      <c r="M2029" t="s">
        <v>14169</v>
      </c>
      <c r="N2029">
        <f t="shared" ca="1" si="126"/>
        <v>5</v>
      </c>
      <c r="O2029" t="str">
        <f t="shared" ca="1" si="127"/>
        <v>Intermediate level</v>
      </c>
    </row>
    <row r="2030" spans="1:15" x14ac:dyDescent="0.3">
      <c r="A2030" t="s">
        <v>14170</v>
      </c>
      <c r="B2030" t="s">
        <v>14171</v>
      </c>
      <c r="C2030" t="s">
        <v>61</v>
      </c>
      <c r="D2030" t="s">
        <v>14172</v>
      </c>
      <c r="E2030" t="s">
        <v>14173</v>
      </c>
      <c r="F2030" t="s">
        <v>260</v>
      </c>
      <c r="G2030" t="s">
        <v>14174</v>
      </c>
      <c r="H2030" t="s">
        <v>14175</v>
      </c>
      <c r="I2030">
        <f t="shared" ca="1" si="124"/>
        <v>25</v>
      </c>
      <c r="J2030" t="str">
        <f t="shared" ca="1" si="125"/>
        <v>18-29</v>
      </c>
      <c r="K2030">
        <v>113886.93</v>
      </c>
      <c r="L2030" t="str">
        <f>IF(Workforce[[#This Row],[Salary]]&lt;50000,"30k-49k",IF(Workforce[[#This Row],[Salary]]&lt;70000,"50k-69k",IF(Workforce[[#This Row],[Salary]]&lt;90000,"70k-89k","90k+")))</f>
        <v>90k+</v>
      </c>
      <c r="M2030" t="s">
        <v>14176</v>
      </c>
      <c r="N2030">
        <f t="shared" ca="1" si="126"/>
        <v>10</v>
      </c>
      <c r="O2030" t="str">
        <f t="shared" ca="1" si="127"/>
        <v>Senior level</v>
      </c>
    </row>
    <row r="2031" spans="1:15" x14ac:dyDescent="0.3">
      <c r="A2031" t="s">
        <v>14177</v>
      </c>
      <c r="B2031" t="s">
        <v>14178</v>
      </c>
      <c r="C2031" t="s">
        <v>26</v>
      </c>
      <c r="D2031" t="s">
        <v>14179</v>
      </c>
      <c r="E2031" t="s">
        <v>14180</v>
      </c>
      <c r="F2031" t="s">
        <v>831</v>
      </c>
      <c r="G2031" t="s">
        <v>14181</v>
      </c>
      <c r="H2031" t="s">
        <v>14182</v>
      </c>
      <c r="I2031">
        <f t="shared" ca="1" si="124"/>
        <v>37</v>
      </c>
      <c r="J2031" t="str">
        <f t="shared" ca="1" si="125"/>
        <v>30-39</v>
      </c>
      <c r="K2031">
        <v>119991.08</v>
      </c>
      <c r="L2031" t="str">
        <f>IF(Workforce[[#This Row],[Salary]]&lt;50000,"30k-49k",IF(Workforce[[#This Row],[Salary]]&lt;70000,"50k-69k",IF(Workforce[[#This Row],[Salary]]&lt;90000,"70k-89k","90k+")))</f>
        <v>90k+</v>
      </c>
      <c r="M2031" t="s">
        <v>1399</v>
      </c>
      <c r="N2031">
        <f t="shared" ca="1" si="126"/>
        <v>8</v>
      </c>
      <c r="O2031" t="str">
        <f t="shared" ca="1" si="127"/>
        <v>Senior level</v>
      </c>
    </row>
    <row r="2032" spans="1:15" x14ac:dyDescent="0.3">
      <c r="A2032" t="s">
        <v>14183</v>
      </c>
      <c r="B2032" t="s">
        <v>14184</v>
      </c>
      <c r="C2032" t="s">
        <v>757</v>
      </c>
      <c r="D2032" t="s">
        <v>14185</v>
      </c>
      <c r="E2032" t="s">
        <v>14186</v>
      </c>
      <c r="F2032" t="s">
        <v>8536</v>
      </c>
      <c r="G2032" t="s">
        <v>14187</v>
      </c>
      <c r="H2032" t="s">
        <v>14188</v>
      </c>
      <c r="I2032">
        <f t="shared" ca="1" si="124"/>
        <v>62</v>
      </c>
      <c r="J2032" t="str">
        <f t="shared" ca="1" si="125"/>
        <v>60+</v>
      </c>
      <c r="K2032">
        <v>57475.16</v>
      </c>
      <c r="L2032" t="str">
        <f>IF(Workforce[[#This Row],[Salary]]&lt;50000,"30k-49k",IF(Workforce[[#This Row],[Salary]]&lt;70000,"50k-69k",IF(Workforce[[#This Row],[Salary]]&lt;90000,"70k-89k","90k+")))</f>
        <v>50k-69k</v>
      </c>
      <c r="M2032" t="s">
        <v>14189</v>
      </c>
      <c r="N2032">
        <f t="shared" ca="1" si="126"/>
        <v>10</v>
      </c>
      <c r="O2032" t="str">
        <f t="shared" ca="1" si="127"/>
        <v>Senior level</v>
      </c>
    </row>
    <row r="2033" spans="1:15" x14ac:dyDescent="0.3">
      <c r="A2033" t="s">
        <v>14190</v>
      </c>
      <c r="B2033" t="s">
        <v>14191</v>
      </c>
      <c r="C2033" t="s">
        <v>995</v>
      </c>
      <c r="D2033" t="s">
        <v>14192</v>
      </c>
      <c r="E2033" t="s">
        <v>14193</v>
      </c>
      <c r="F2033" t="s">
        <v>10670</v>
      </c>
      <c r="G2033" t="s">
        <v>14194</v>
      </c>
      <c r="H2033" t="s">
        <v>14195</v>
      </c>
      <c r="I2033">
        <f t="shared" ca="1" si="124"/>
        <v>26</v>
      </c>
      <c r="J2033" t="str">
        <f t="shared" ca="1" si="125"/>
        <v>18-29</v>
      </c>
      <c r="K2033">
        <v>37200.29</v>
      </c>
      <c r="L2033" t="str">
        <f>IF(Workforce[[#This Row],[Salary]]&lt;50000,"30k-49k",IF(Workforce[[#This Row],[Salary]]&lt;70000,"50k-69k",IF(Workforce[[#This Row],[Salary]]&lt;90000,"70k-89k","90k+")))</f>
        <v>30k-49k</v>
      </c>
      <c r="M2033" t="s">
        <v>14196</v>
      </c>
      <c r="N2033">
        <f t="shared" ca="1" si="126"/>
        <v>6</v>
      </c>
      <c r="O2033" t="str">
        <f t="shared" ca="1" si="127"/>
        <v>Intermediate level</v>
      </c>
    </row>
    <row r="2034" spans="1:15" x14ac:dyDescent="0.3">
      <c r="A2034" t="s">
        <v>14197</v>
      </c>
      <c r="B2034" t="s">
        <v>14198</v>
      </c>
      <c r="C2034" t="s">
        <v>284</v>
      </c>
      <c r="D2034" t="s">
        <v>14199</v>
      </c>
      <c r="E2034" t="s">
        <v>14200</v>
      </c>
      <c r="F2034" t="s">
        <v>6748</v>
      </c>
      <c r="G2034" t="s">
        <v>14201</v>
      </c>
      <c r="H2034" t="s">
        <v>14202</v>
      </c>
      <c r="I2034">
        <f t="shared" ca="1" si="124"/>
        <v>51</v>
      </c>
      <c r="J2034" t="str">
        <f t="shared" ca="1" si="125"/>
        <v>50-59</v>
      </c>
      <c r="K2034">
        <v>70263.62</v>
      </c>
      <c r="L2034" t="str">
        <f>IF(Workforce[[#This Row],[Salary]]&lt;50000,"30k-49k",IF(Workforce[[#This Row],[Salary]]&lt;70000,"50k-69k",IF(Workforce[[#This Row],[Salary]]&lt;90000,"70k-89k","90k+")))</f>
        <v>70k-89k</v>
      </c>
      <c r="M2034" t="s">
        <v>14203</v>
      </c>
      <c r="N2034">
        <f t="shared" ca="1" si="126"/>
        <v>5</v>
      </c>
      <c r="O2034" t="str">
        <f t="shared" ca="1" si="127"/>
        <v>Intermediate level</v>
      </c>
    </row>
    <row r="2035" spans="1:15" x14ac:dyDescent="0.3">
      <c r="A2035" t="s">
        <v>14204</v>
      </c>
      <c r="B2035" t="s">
        <v>14205</v>
      </c>
      <c r="C2035" t="s">
        <v>335</v>
      </c>
      <c r="D2035" t="s">
        <v>14206</v>
      </c>
      <c r="E2035" t="s">
        <v>14207</v>
      </c>
      <c r="F2035" t="s">
        <v>4118</v>
      </c>
      <c r="G2035" t="s">
        <v>7832</v>
      </c>
      <c r="H2035" t="s">
        <v>14208</v>
      </c>
      <c r="I2035">
        <f t="shared" ca="1" si="124"/>
        <v>21</v>
      </c>
      <c r="J2035" t="str">
        <f t="shared" ca="1" si="125"/>
        <v>18-29</v>
      </c>
      <c r="K2035">
        <v>62549.7</v>
      </c>
      <c r="L2035" t="str">
        <f>IF(Workforce[[#This Row],[Salary]]&lt;50000,"30k-49k",IF(Workforce[[#This Row],[Salary]]&lt;70000,"50k-69k",IF(Workforce[[#This Row],[Salary]]&lt;90000,"70k-89k","90k+")))</f>
        <v>50k-69k</v>
      </c>
      <c r="M2035" t="s">
        <v>14209</v>
      </c>
      <c r="N2035">
        <f t="shared" ca="1" si="126"/>
        <v>7</v>
      </c>
      <c r="O2035" t="str">
        <f t="shared" ca="1" si="127"/>
        <v>Senior level</v>
      </c>
    </row>
    <row r="2036" spans="1:15" x14ac:dyDescent="0.3">
      <c r="A2036" t="s">
        <v>14210</v>
      </c>
      <c r="B2036" t="s">
        <v>14211</v>
      </c>
      <c r="C2036" t="s">
        <v>457</v>
      </c>
      <c r="D2036" t="s">
        <v>14212</v>
      </c>
      <c r="E2036" t="s">
        <v>14213</v>
      </c>
      <c r="F2036" t="s">
        <v>6260</v>
      </c>
      <c r="G2036" t="s">
        <v>14214</v>
      </c>
      <c r="H2036" t="s">
        <v>14215</v>
      </c>
      <c r="I2036">
        <f t="shared" ca="1" si="124"/>
        <v>41</v>
      </c>
      <c r="J2036" t="str">
        <f t="shared" ca="1" si="125"/>
        <v>40-49</v>
      </c>
      <c r="K2036">
        <v>119837.47</v>
      </c>
      <c r="L2036" t="str">
        <f>IF(Workforce[[#This Row],[Salary]]&lt;50000,"30k-49k",IF(Workforce[[#This Row],[Salary]]&lt;70000,"50k-69k",IF(Workforce[[#This Row],[Salary]]&lt;90000,"70k-89k","90k+")))</f>
        <v>90k+</v>
      </c>
      <c r="M2036" t="s">
        <v>14216</v>
      </c>
      <c r="N2036">
        <f t="shared" ca="1" si="126"/>
        <v>3</v>
      </c>
      <c r="O2036" t="str">
        <f t="shared" ca="1" si="127"/>
        <v>Intermediate level</v>
      </c>
    </row>
    <row r="2037" spans="1:15" x14ac:dyDescent="0.3">
      <c r="A2037" t="s">
        <v>14217</v>
      </c>
      <c r="B2037" t="s">
        <v>14218</v>
      </c>
      <c r="C2037" t="s">
        <v>748</v>
      </c>
      <c r="D2037" t="s">
        <v>14219</v>
      </c>
      <c r="E2037" t="s">
        <v>14220</v>
      </c>
      <c r="F2037" t="s">
        <v>460</v>
      </c>
      <c r="G2037" t="s">
        <v>14221</v>
      </c>
      <c r="H2037" t="s">
        <v>14222</v>
      </c>
      <c r="I2037">
        <f t="shared" ca="1" si="124"/>
        <v>45</v>
      </c>
      <c r="J2037" t="str">
        <f t="shared" ca="1" si="125"/>
        <v>40-49</v>
      </c>
      <c r="K2037">
        <v>57308.08</v>
      </c>
      <c r="L2037" t="str">
        <f>IF(Workforce[[#This Row],[Salary]]&lt;50000,"30k-49k",IF(Workforce[[#This Row],[Salary]]&lt;70000,"50k-69k",IF(Workforce[[#This Row],[Salary]]&lt;90000,"70k-89k","90k+")))</f>
        <v>50k-69k</v>
      </c>
      <c r="M2037" t="s">
        <v>6559</v>
      </c>
      <c r="N2037">
        <f t="shared" ca="1" si="126"/>
        <v>9</v>
      </c>
      <c r="O2037" t="str">
        <f t="shared" ca="1" si="127"/>
        <v>Senior level</v>
      </c>
    </row>
    <row r="2038" spans="1:15" x14ac:dyDescent="0.3">
      <c r="A2038" t="s">
        <v>14223</v>
      </c>
      <c r="B2038" t="s">
        <v>14224</v>
      </c>
      <c r="C2038" t="s">
        <v>160</v>
      </c>
      <c r="D2038" t="s">
        <v>14225</v>
      </c>
      <c r="E2038" t="s">
        <v>14226</v>
      </c>
      <c r="F2038" t="s">
        <v>8571</v>
      </c>
      <c r="G2038" t="s">
        <v>14227</v>
      </c>
      <c r="H2038" t="s">
        <v>14228</v>
      </c>
      <c r="I2038">
        <f t="shared" ca="1" si="124"/>
        <v>40</v>
      </c>
      <c r="J2038" t="str">
        <f t="shared" ca="1" si="125"/>
        <v>40-49</v>
      </c>
      <c r="K2038">
        <v>119014.16</v>
      </c>
      <c r="L2038" t="str">
        <f>IF(Workforce[[#This Row],[Salary]]&lt;50000,"30k-49k",IF(Workforce[[#This Row],[Salary]]&lt;70000,"50k-69k",IF(Workforce[[#This Row],[Salary]]&lt;90000,"70k-89k","90k+")))</f>
        <v>90k+</v>
      </c>
      <c r="M2038" t="s">
        <v>3778</v>
      </c>
      <c r="N2038">
        <f t="shared" ca="1" si="126"/>
        <v>1</v>
      </c>
      <c r="O2038" t="str">
        <f t="shared" ca="1" si="127"/>
        <v>Beginner</v>
      </c>
    </row>
    <row r="2039" spans="1:15" x14ac:dyDescent="0.3">
      <c r="A2039" t="s">
        <v>14229</v>
      </c>
      <c r="B2039" t="s">
        <v>14230</v>
      </c>
      <c r="C2039" t="s">
        <v>187</v>
      </c>
      <c r="D2039" t="s">
        <v>14231</v>
      </c>
      <c r="E2039" t="s">
        <v>14232</v>
      </c>
      <c r="F2039" t="s">
        <v>14233</v>
      </c>
      <c r="G2039" t="s">
        <v>14234</v>
      </c>
      <c r="H2039" t="s">
        <v>14235</v>
      </c>
      <c r="I2039">
        <f t="shared" ca="1" si="124"/>
        <v>50</v>
      </c>
      <c r="J2039" t="str">
        <f t="shared" ca="1" si="125"/>
        <v>50-59</v>
      </c>
      <c r="K2039">
        <v>66193.070000000007</v>
      </c>
      <c r="L2039" t="str">
        <f>IF(Workforce[[#This Row],[Salary]]&lt;50000,"30k-49k",IF(Workforce[[#This Row],[Salary]]&lt;70000,"50k-69k",IF(Workforce[[#This Row],[Salary]]&lt;90000,"70k-89k","90k+")))</f>
        <v>50k-69k</v>
      </c>
      <c r="M2039" t="s">
        <v>1760</v>
      </c>
      <c r="N2039">
        <f t="shared" ca="1" si="126"/>
        <v>9</v>
      </c>
      <c r="O2039" t="str">
        <f t="shared" ca="1" si="127"/>
        <v>Senior level</v>
      </c>
    </row>
    <row r="2040" spans="1:15" x14ac:dyDescent="0.3">
      <c r="A2040" t="s">
        <v>14236</v>
      </c>
      <c r="B2040" t="s">
        <v>14237</v>
      </c>
      <c r="C2040" t="s">
        <v>580</v>
      </c>
      <c r="D2040" t="s">
        <v>14238</v>
      </c>
      <c r="E2040" t="s">
        <v>14239</v>
      </c>
      <c r="F2040" t="s">
        <v>8805</v>
      </c>
      <c r="G2040" t="s">
        <v>14240</v>
      </c>
      <c r="H2040" t="s">
        <v>14241</v>
      </c>
      <c r="I2040">
        <f t="shared" ca="1" si="124"/>
        <v>60</v>
      </c>
      <c r="J2040" t="str">
        <f t="shared" ca="1" si="125"/>
        <v>60+</v>
      </c>
      <c r="K2040">
        <v>111693.83</v>
      </c>
      <c r="L2040" t="str">
        <f>IF(Workforce[[#This Row],[Salary]]&lt;50000,"30k-49k",IF(Workforce[[#This Row],[Salary]]&lt;70000,"50k-69k",IF(Workforce[[#This Row],[Salary]]&lt;90000,"70k-89k","90k+")))</f>
        <v>90k+</v>
      </c>
      <c r="M2040" t="s">
        <v>7868</v>
      </c>
      <c r="N2040">
        <f t="shared" ca="1" si="126"/>
        <v>4</v>
      </c>
      <c r="O2040" t="str">
        <f t="shared" ca="1" si="127"/>
        <v>Intermediate level</v>
      </c>
    </row>
    <row r="2041" spans="1:15" x14ac:dyDescent="0.3">
      <c r="A2041" t="s">
        <v>14242</v>
      </c>
      <c r="B2041" t="s">
        <v>14243</v>
      </c>
      <c r="C2041" t="s">
        <v>187</v>
      </c>
      <c r="D2041" t="s">
        <v>14244</v>
      </c>
      <c r="E2041" t="s">
        <v>14245</v>
      </c>
      <c r="F2041" t="s">
        <v>6275</v>
      </c>
      <c r="G2041" t="s">
        <v>14246</v>
      </c>
      <c r="H2041" t="s">
        <v>14247</v>
      </c>
      <c r="I2041">
        <f t="shared" ca="1" si="124"/>
        <v>26</v>
      </c>
      <c r="J2041" t="str">
        <f t="shared" ca="1" si="125"/>
        <v>18-29</v>
      </c>
      <c r="K2041">
        <v>74376.12</v>
      </c>
      <c r="L2041" t="str">
        <f>IF(Workforce[[#This Row],[Salary]]&lt;50000,"30k-49k",IF(Workforce[[#This Row],[Salary]]&lt;70000,"50k-69k",IF(Workforce[[#This Row],[Salary]]&lt;90000,"70k-89k","90k+")))</f>
        <v>70k-89k</v>
      </c>
      <c r="M2041" t="s">
        <v>12745</v>
      </c>
      <c r="N2041">
        <f t="shared" ca="1" si="126"/>
        <v>5</v>
      </c>
      <c r="O2041" t="str">
        <f t="shared" ca="1" si="127"/>
        <v>Intermediate level</v>
      </c>
    </row>
    <row r="2042" spans="1:15" x14ac:dyDescent="0.3">
      <c r="A2042" t="s">
        <v>14248</v>
      </c>
      <c r="B2042" t="s">
        <v>14249</v>
      </c>
      <c r="C2042" t="s">
        <v>757</v>
      </c>
      <c r="D2042" t="s">
        <v>14250</v>
      </c>
      <c r="E2042" t="s">
        <v>14251</v>
      </c>
      <c r="F2042" t="s">
        <v>2282</v>
      </c>
      <c r="G2042" t="s">
        <v>14252</v>
      </c>
      <c r="H2042" t="s">
        <v>14253</v>
      </c>
      <c r="I2042">
        <f t="shared" ca="1" si="124"/>
        <v>33</v>
      </c>
      <c r="J2042" t="str">
        <f t="shared" ca="1" si="125"/>
        <v>30-39</v>
      </c>
      <c r="K2042">
        <v>108145.66</v>
      </c>
      <c r="L2042" t="str">
        <f>IF(Workforce[[#This Row],[Salary]]&lt;50000,"30k-49k",IF(Workforce[[#This Row],[Salary]]&lt;70000,"50k-69k",IF(Workforce[[#This Row],[Salary]]&lt;90000,"70k-89k","90k+")))</f>
        <v>90k+</v>
      </c>
      <c r="M2042" t="s">
        <v>14254</v>
      </c>
      <c r="N2042">
        <f t="shared" ca="1" si="126"/>
        <v>5</v>
      </c>
      <c r="O2042" t="str">
        <f t="shared" ca="1" si="127"/>
        <v>Intermediate level</v>
      </c>
    </row>
    <row r="2043" spans="1:15" x14ac:dyDescent="0.3">
      <c r="A2043" t="s">
        <v>14255</v>
      </c>
      <c r="B2043" t="s">
        <v>14256</v>
      </c>
      <c r="C2043" t="s">
        <v>1004</v>
      </c>
      <c r="D2043" t="s">
        <v>14257</v>
      </c>
      <c r="E2043" t="s">
        <v>14258</v>
      </c>
      <c r="F2043" t="s">
        <v>5424</v>
      </c>
      <c r="G2043" t="s">
        <v>14259</v>
      </c>
      <c r="H2043" t="s">
        <v>14260</v>
      </c>
      <c r="I2043">
        <f t="shared" ca="1" si="124"/>
        <v>55</v>
      </c>
      <c r="J2043" t="str">
        <f t="shared" ca="1" si="125"/>
        <v>50-59</v>
      </c>
      <c r="K2043">
        <v>33186.5</v>
      </c>
      <c r="L2043" t="str">
        <f>IF(Workforce[[#This Row],[Salary]]&lt;50000,"30k-49k",IF(Workforce[[#This Row],[Salary]]&lt;70000,"50k-69k",IF(Workforce[[#This Row],[Salary]]&lt;90000,"70k-89k","90k+")))</f>
        <v>30k-49k</v>
      </c>
      <c r="M2043" t="s">
        <v>14261</v>
      </c>
      <c r="N2043">
        <f t="shared" ca="1" si="126"/>
        <v>3</v>
      </c>
      <c r="O2043" t="str">
        <f t="shared" ca="1" si="127"/>
        <v>Intermediate level</v>
      </c>
    </row>
    <row r="2044" spans="1:15" x14ac:dyDescent="0.3">
      <c r="A2044" t="s">
        <v>14262</v>
      </c>
      <c r="B2044" t="s">
        <v>14263</v>
      </c>
      <c r="C2044" t="s">
        <v>1043</v>
      </c>
      <c r="D2044" t="s">
        <v>14264</v>
      </c>
      <c r="E2044" t="s">
        <v>14265</v>
      </c>
      <c r="F2044" t="s">
        <v>2217</v>
      </c>
      <c r="G2044" t="s">
        <v>14266</v>
      </c>
      <c r="H2044" t="s">
        <v>14267</v>
      </c>
      <c r="I2044">
        <f t="shared" ca="1" si="124"/>
        <v>19</v>
      </c>
      <c r="J2044" t="str">
        <f t="shared" ca="1" si="125"/>
        <v>18-29</v>
      </c>
      <c r="K2044">
        <v>50026.559999999998</v>
      </c>
      <c r="L2044" t="str">
        <f>IF(Workforce[[#This Row],[Salary]]&lt;50000,"30k-49k",IF(Workforce[[#This Row],[Salary]]&lt;70000,"50k-69k",IF(Workforce[[#This Row],[Salary]]&lt;90000,"70k-89k","90k+")))</f>
        <v>50k-69k</v>
      </c>
      <c r="M2044" t="s">
        <v>14268</v>
      </c>
      <c r="N2044">
        <f t="shared" ca="1" si="126"/>
        <v>5</v>
      </c>
      <c r="O2044" t="str">
        <f t="shared" ca="1" si="127"/>
        <v>Intermediate level</v>
      </c>
    </row>
    <row r="2045" spans="1:15" x14ac:dyDescent="0.3">
      <c r="A2045" t="s">
        <v>14269</v>
      </c>
      <c r="B2045" t="s">
        <v>14270</v>
      </c>
      <c r="C2045" t="s">
        <v>1043</v>
      </c>
      <c r="D2045" t="s">
        <v>14271</v>
      </c>
      <c r="E2045" t="s">
        <v>14272</v>
      </c>
      <c r="F2045" t="s">
        <v>3529</v>
      </c>
      <c r="G2045" t="s">
        <v>14273</v>
      </c>
      <c r="H2045" t="s">
        <v>14274</v>
      </c>
      <c r="I2045">
        <f t="shared" ca="1" si="124"/>
        <v>60</v>
      </c>
      <c r="J2045" t="str">
        <f t="shared" ca="1" si="125"/>
        <v>60+</v>
      </c>
      <c r="K2045">
        <v>97992.77</v>
      </c>
      <c r="L2045" t="str">
        <f>IF(Workforce[[#This Row],[Salary]]&lt;50000,"30k-49k",IF(Workforce[[#This Row],[Salary]]&lt;70000,"50k-69k",IF(Workforce[[#This Row],[Salary]]&lt;90000,"70k-89k","90k+")))</f>
        <v>90k+</v>
      </c>
      <c r="M2045" t="s">
        <v>6386</v>
      </c>
      <c r="N2045">
        <f t="shared" ca="1" si="126"/>
        <v>5</v>
      </c>
      <c r="O2045" t="str">
        <f t="shared" ca="1" si="127"/>
        <v>Intermediate level</v>
      </c>
    </row>
    <row r="2046" spans="1:15" x14ac:dyDescent="0.3">
      <c r="A2046" t="s">
        <v>14275</v>
      </c>
      <c r="B2046" t="s">
        <v>14276</v>
      </c>
      <c r="C2046" t="s">
        <v>151</v>
      </c>
      <c r="D2046" t="s">
        <v>14277</v>
      </c>
      <c r="E2046" t="s">
        <v>14278</v>
      </c>
      <c r="F2046" t="s">
        <v>2139</v>
      </c>
      <c r="G2046" t="s">
        <v>14279</v>
      </c>
      <c r="H2046" t="s">
        <v>14280</v>
      </c>
      <c r="I2046">
        <f t="shared" ca="1" si="124"/>
        <v>23</v>
      </c>
      <c r="J2046" t="str">
        <f t="shared" ca="1" si="125"/>
        <v>18-29</v>
      </c>
      <c r="K2046">
        <v>40603.74</v>
      </c>
      <c r="L2046" t="str">
        <f>IF(Workforce[[#This Row],[Salary]]&lt;50000,"30k-49k",IF(Workforce[[#This Row],[Salary]]&lt;70000,"50k-69k",IF(Workforce[[#This Row],[Salary]]&lt;90000,"70k-89k","90k+")))</f>
        <v>30k-49k</v>
      </c>
      <c r="M2046" t="s">
        <v>5682</v>
      </c>
      <c r="N2046">
        <f t="shared" ca="1" si="126"/>
        <v>6</v>
      </c>
      <c r="O2046" t="str">
        <f t="shared" ca="1" si="127"/>
        <v>Intermediate level</v>
      </c>
    </row>
    <row r="2047" spans="1:15" x14ac:dyDescent="0.3">
      <c r="A2047" t="s">
        <v>14281</v>
      </c>
      <c r="B2047" t="s">
        <v>14282</v>
      </c>
      <c r="C2047" t="s">
        <v>213</v>
      </c>
      <c r="D2047" t="s">
        <v>14283</v>
      </c>
      <c r="E2047" t="s">
        <v>14284</v>
      </c>
      <c r="F2047" t="s">
        <v>7582</v>
      </c>
      <c r="G2047" t="s">
        <v>14285</v>
      </c>
      <c r="H2047" t="s">
        <v>14286</v>
      </c>
      <c r="I2047">
        <f t="shared" ca="1" si="124"/>
        <v>45</v>
      </c>
      <c r="J2047" t="str">
        <f t="shared" ca="1" si="125"/>
        <v>40-49</v>
      </c>
      <c r="K2047">
        <v>81256.03</v>
      </c>
      <c r="L2047" t="str">
        <f>IF(Workforce[[#This Row],[Salary]]&lt;50000,"30k-49k",IF(Workforce[[#This Row],[Salary]]&lt;70000,"50k-69k",IF(Workforce[[#This Row],[Salary]]&lt;90000,"70k-89k","90k+")))</f>
        <v>70k-89k</v>
      </c>
      <c r="M2047" t="s">
        <v>14287</v>
      </c>
      <c r="N2047">
        <f t="shared" ca="1" si="126"/>
        <v>10</v>
      </c>
      <c r="O2047" t="str">
        <f t="shared" ca="1" si="127"/>
        <v>Senior level</v>
      </c>
    </row>
    <row r="2048" spans="1:15" x14ac:dyDescent="0.3">
      <c r="A2048" t="s">
        <v>14288</v>
      </c>
      <c r="B2048" t="s">
        <v>14289</v>
      </c>
      <c r="C2048" t="s">
        <v>266</v>
      </c>
      <c r="D2048" t="s">
        <v>14290</v>
      </c>
      <c r="E2048" t="s">
        <v>14291</v>
      </c>
      <c r="F2048" t="s">
        <v>14292</v>
      </c>
      <c r="G2048" t="s">
        <v>14293</v>
      </c>
      <c r="H2048" t="s">
        <v>14294</v>
      </c>
      <c r="I2048">
        <f t="shared" ca="1" si="124"/>
        <v>58</v>
      </c>
      <c r="J2048" t="str">
        <f t="shared" ca="1" si="125"/>
        <v>50-59</v>
      </c>
      <c r="K2048">
        <v>30467.91</v>
      </c>
      <c r="L2048" t="str">
        <f>IF(Workforce[[#This Row],[Salary]]&lt;50000,"30k-49k",IF(Workforce[[#This Row],[Salary]]&lt;70000,"50k-69k",IF(Workforce[[#This Row],[Salary]]&lt;90000,"70k-89k","90k+")))</f>
        <v>30k-49k</v>
      </c>
      <c r="M2048" t="s">
        <v>12996</v>
      </c>
      <c r="N2048">
        <f t="shared" ca="1" si="126"/>
        <v>2</v>
      </c>
      <c r="O2048" t="str">
        <f t="shared" ca="1" si="127"/>
        <v>Beginner</v>
      </c>
    </row>
    <row r="2049" spans="1:15" x14ac:dyDescent="0.3">
      <c r="A2049" t="s">
        <v>14295</v>
      </c>
      <c r="B2049" t="s">
        <v>14296</v>
      </c>
      <c r="C2049" t="s">
        <v>257</v>
      </c>
      <c r="D2049" t="s">
        <v>14297</v>
      </c>
      <c r="E2049" t="s">
        <v>14298</v>
      </c>
      <c r="F2049" t="s">
        <v>5293</v>
      </c>
      <c r="G2049" t="s">
        <v>14299</v>
      </c>
      <c r="H2049" t="s">
        <v>14300</v>
      </c>
      <c r="I2049">
        <f t="shared" ca="1" si="124"/>
        <v>23</v>
      </c>
      <c r="J2049" t="str">
        <f t="shared" ca="1" si="125"/>
        <v>18-29</v>
      </c>
      <c r="K2049">
        <v>57771.12</v>
      </c>
      <c r="L2049" t="str">
        <f>IF(Workforce[[#This Row],[Salary]]&lt;50000,"30k-49k",IF(Workforce[[#This Row],[Salary]]&lt;70000,"50k-69k",IF(Workforce[[#This Row],[Salary]]&lt;90000,"70k-89k","90k+")))</f>
        <v>50k-69k</v>
      </c>
      <c r="M2049" t="s">
        <v>14301</v>
      </c>
      <c r="N2049">
        <f t="shared" ca="1" si="126"/>
        <v>4</v>
      </c>
      <c r="O2049" t="str">
        <f t="shared" ca="1" si="127"/>
        <v>Intermediate level</v>
      </c>
    </row>
    <row r="2050" spans="1:15" x14ac:dyDescent="0.3">
      <c r="A2050" t="s">
        <v>14302</v>
      </c>
      <c r="B2050" t="s">
        <v>14303</v>
      </c>
      <c r="C2050" t="s">
        <v>774</v>
      </c>
      <c r="D2050" t="s">
        <v>14304</v>
      </c>
      <c r="E2050" t="s">
        <v>14305</v>
      </c>
      <c r="F2050" t="s">
        <v>8805</v>
      </c>
      <c r="G2050" t="s">
        <v>14306</v>
      </c>
      <c r="H2050" t="s">
        <v>14307</v>
      </c>
      <c r="I2050">
        <f t="shared" ref="I2050:I2113" ca="1" si="128">DATEDIF(H2050,TODAY(),"y")</f>
        <v>36</v>
      </c>
      <c r="J2050" t="str">
        <f t="shared" ref="J2050:J2113" ca="1" si="129">IF(I2050&lt;30,"18-29",IF(I2050&lt;40,"30-39",IF(I2050&lt;50,"40-49",IF(I2050&lt;60,"50-59","60+"))))</f>
        <v>30-39</v>
      </c>
      <c r="K2050">
        <v>96308.32</v>
      </c>
      <c r="L2050" t="str">
        <f>IF(Workforce[[#This Row],[Salary]]&lt;50000,"30k-49k",IF(Workforce[[#This Row],[Salary]]&lt;70000,"50k-69k",IF(Workforce[[#This Row],[Salary]]&lt;90000,"70k-89k","90k+")))</f>
        <v>90k+</v>
      </c>
      <c r="M2050" t="s">
        <v>14308</v>
      </c>
      <c r="N2050">
        <f t="shared" ref="N2050:N2113" ca="1" si="130">DATEDIF(M2050,TODAY(),"y")</f>
        <v>7</v>
      </c>
      <c r="O2050" t="str">
        <f t="shared" ref="O2050:O2113" ca="1" si="131">IF(N2050&lt;=2,"Beginner",IF(N2050&lt;=6,"Intermediate level","Senior level"))</f>
        <v>Senior level</v>
      </c>
    </row>
    <row r="2051" spans="1:15" x14ac:dyDescent="0.3">
      <c r="A2051" t="s">
        <v>14309</v>
      </c>
      <c r="B2051" t="s">
        <v>14310</v>
      </c>
      <c r="C2051" t="s">
        <v>844</v>
      </c>
      <c r="D2051" t="s">
        <v>14311</v>
      </c>
      <c r="E2051" t="s">
        <v>14312</v>
      </c>
      <c r="F2051" t="s">
        <v>11879</v>
      </c>
      <c r="G2051" t="s">
        <v>14313</v>
      </c>
      <c r="H2051" t="s">
        <v>14314</v>
      </c>
      <c r="I2051">
        <f t="shared" ca="1" si="128"/>
        <v>56</v>
      </c>
      <c r="J2051" t="str">
        <f t="shared" ca="1" si="129"/>
        <v>50-59</v>
      </c>
      <c r="K2051">
        <v>119082.98</v>
      </c>
      <c r="L2051" t="str">
        <f>IF(Workforce[[#This Row],[Salary]]&lt;50000,"30k-49k",IF(Workforce[[#This Row],[Salary]]&lt;70000,"50k-69k",IF(Workforce[[#This Row],[Salary]]&lt;90000,"70k-89k","90k+")))</f>
        <v>90k+</v>
      </c>
      <c r="M2051" t="s">
        <v>11086</v>
      </c>
      <c r="N2051">
        <f t="shared" ca="1" si="130"/>
        <v>7</v>
      </c>
      <c r="O2051" t="str">
        <f t="shared" ca="1" si="131"/>
        <v>Senior level</v>
      </c>
    </row>
    <row r="2052" spans="1:15" x14ac:dyDescent="0.3">
      <c r="A2052" t="s">
        <v>14315</v>
      </c>
      <c r="B2052" t="s">
        <v>14316</v>
      </c>
      <c r="C2052" t="s">
        <v>1004</v>
      </c>
      <c r="D2052" t="s">
        <v>14317</v>
      </c>
      <c r="E2052" t="s">
        <v>14318</v>
      </c>
      <c r="F2052" t="s">
        <v>760</v>
      </c>
      <c r="G2052" t="s">
        <v>14319</v>
      </c>
      <c r="H2052" t="s">
        <v>14320</v>
      </c>
      <c r="I2052">
        <f t="shared" ca="1" si="128"/>
        <v>61</v>
      </c>
      <c r="J2052" t="str">
        <f t="shared" ca="1" si="129"/>
        <v>60+</v>
      </c>
      <c r="K2052">
        <v>76787.990000000005</v>
      </c>
      <c r="L2052" t="str">
        <f>IF(Workforce[[#This Row],[Salary]]&lt;50000,"30k-49k",IF(Workforce[[#This Row],[Salary]]&lt;70000,"50k-69k",IF(Workforce[[#This Row],[Salary]]&lt;90000,"70k-89k","90k+")))</f>
        <v>70k-89k</v>
      </c>
      <c r="M2052" t="s">
        <v>14321</v>
      </c>
      <c r="N2052">
        <f t="shared" ca="1" si="130"/>
        <v>5</v>
      </c>
      <c r="O2052" t="str">
        <f t="shared" ca="1" si="131"/>
        <v>Intermediate level</v>
      </c>
    </row>
    <row r="2053" spans="1:15" x14ac:dyDescent="0.3">
      <c r="A2053" t="s">
        <v>14322</v>
      </c>
      <c r="B2053" t="s">
        <v>14323</v>
      </c>
      <c r="C2053" t="s">
        <v>88</v>
      </c>
      <c r="D2053" t="s">
        <v>14324</v>
      </c>
      <c r="E2053" t="s">
        <v>14325</v>
      </c>
      <c r="F2053" t="s">
        <v>5134</v>
      </c>
      <c r="G2053" t="s">
        <v>14326</v>
      </c>
      <c r="H2053" t="s">
        <v>14327</v>
      </c>
      <c r="I2053">
        <f t="shared" ca="1" si="128"/>
        <v>65</v>
      </c>
      <c r="J2053" t="str">
        <f t="shared" ca="1" si="129"/>
        <v>60+</v>
      </c>
      <c r="K2053">
        <v>101993.41</v>
      </c>
      <c r="L2053" t="str">
        <f>IF(Workforce[[#This Row],[Salary]]&lt;50000,"30k-49k",IF(Workforce[[#This Row],[Salary]]&lt;70000,"50k-69k",IF(Workforce[[#This Row],[Salary]]&lt;90000,"70k-89k","90k+")))</f>
        <v>90k+</v>
      </c>
      <c r="M2053" t="s">
        <v>14328</v>
      </c>
      <c r="N2053">
        <f t="shared" ca="1" si="130"/>
        <v>1</v>
      </c>
      <c r="O2053" t="str">
        <f t="shared" ca="1" si="131"/>
        <v>Beginner</v>
      </c>
    </row>
    <row r="2054" spans="1:15" x14ac:dyDescent="0.3">
      <c r="A2054" t="s">
        <v>14329</v>
      </c>
      <c r="B2054" t="s">
        <v>14330</v>
      </c>
      <c r="C2054" t="s">
        <v>275</v>
      </c>
      <c r="D2054" t="s">
        <v>14331</v>
      </c>
      <c r="E2054" t="s">
        <v>14332</v>
      </c>
      <c r="F2054" t="s">
        <v>6311</v>
      </c>
      <c r="G2054" t="s">
        <v>14333</v>
      </c>
      <c r="H2054" t="s">
        <v>14334</v>
      </c>
      <c r="I2054">
        <f t="shared" ca="1" si="128"/>
        <v>19</v>
      </c>
      <c r="J2054" t="str">
        <f t="shared" ca="1" si="129"/>
        <v>18-29</v>
      </c>
      <c r="K2054">
        <v>32169.01</v>
      </c>
      <c r="L2054" t="str">
        <f>IF(Workforce[[#This Row],[Salary]]&lt;50000,"30k-49k",IF(Workforce[[#This Row],[Salary]]&lt;70000,"50k-69k",IF(Workforce[[#This Row],[Salary]]&lt;90000,"70k-89k","90k+")))</f>
        <v>30k-49k</v>
      </c>
      <c r="M2054" t="s">
        <v>14335</v>
      </c>
      <c r="N2054">
        <f t="shared" ca="1" si="130"/>
        <v>5</v>
      </c>
      <c r="O2054" t="str">
        <f t="shared" ca="1" si="131"/>
        <v>Intermediate level</v>
      </c>
    </row>
    <row r="2055" spans="1:15" x14ac:dyDescent="0.3">
      <c r="A2055" t="s">
        <v>14336</v>
      </c>
      <c r="B2055" t="s">
        <v>14337</v>
      </c>
      <c r="C2055" t="s">
        <v>284</v>
      </c>
      <c r="D2055" t="s">
        <v>14338</v>
      </c>
      <c r="E2055" t="s">
        <v>14339</v>
      </c>
      <c r="F2055" t="s">
        <v>583</v>
      </c>
      <c r="G2055" t="s">
        <v>14340</v>
      </c>
      <c r="H2055" t="s">
        <v>14341</v>
      </c>
      <c r="I2055">
        <f t="shared" ca="1" si="128"/>
        <v>52</v>
      </c>
      <c r="J2055" t="str">
        <f t="shared" ca="1" si="129"/>
        <v>50-59</v>
      </c>
      <c r="K2055">
        <v>90987.68</v>
      </c>
      <c r="L2055" t="str">
        <f>IF(Workforce[[#This Row],[Salary]]&lt;50000,"30k-49k",IF(Workforce[[#This Row],[Salary]]&lt;70000,"50k-69k",IF(Workforce[[#This Row],[Salary]]&lt;90000,"70k-89k","90k+")))</f>
        <v>90k+</v>
      </c>
      <c r="M2055" t="s">
        <v>14342</v>
      </c>
      <c r="N2055">
        <f t="shared" ca="1" si="130"/>
        <v>10</v>
      </c>
      <c r="O2055" t="str">
        <f t="shared" ca="1" si="131"/>
        <v>Senior level</v>
      </c>
    </row>
    <row r="2056" spans="1:15" x14ac:dyDescent="0.3">
      <c r="A2056" t="s">
        <v>14343</v>
      </c>
      <c r="B2056" t="s">
        <v>14344</v>
      </c>
      <c r="C2056" t="s">
        <v>2086</v>
      </c>
      <c r="D2056" t="s">
        <v>14345</v>
      </c>
      <c r="E2056" t="s">
        <v>14346</v>
      </c>
      <c r="F2056" t="s">
        <v>2004</v>
      </c>
      <c r="G2056" t="s">
        <v>14347</v>
      </c>
      <c r="H2056" t="s">
        <v>14348</v>
      </c>
      <c r="I2056">
        <f t="shared" ca="1" si="128"/>
        <v>47</v>
      </c>
      <c r="J2056" t="str">
        <f t="shared" ca="1" si="129"/>
        <v>40-49</v>
      </c>
      <c r="K2056">
        <v>118075.35</v>
      </c>
      <c r="L2056" t="str">
        <f>IF(Workforce[[#This Row],[Salary]]&lt;50000,"30k-49k",IF(Workforce[[#This Row],[Salary]]&lt;70000,"50k-69k",IF(Workforce[[#This Row],[Salary]]&lt;90000,"70k-89k","90k+")))</f>
        <v>90k+</v>
      </c>
      <c r="M2056" t="s">
        <v>14349</v>
      </c>
      <c r="N2056">
        <f t="shared" ca="1" si="130"/>
        <v>5</v>
      </c>
      <c r="O2056" t="str">
        <f t="shared" ca="1" si="131"/>
        <v>Intermediate level</v>
      </c>
    </row>
    <row r="2057" spans="1:15" x14ac:dyDescent="0.3">
      <c r="A2057" t="s">
        <v>14350</v>
      </c>
      <c r="B2057" t="s">
        <v>14351</v>
      </c>
      <c r="C2057" t="s">
        <v>539</v>
      </c>
      <c r="D2057" t="s">
        <v>14352</v>
      </c>
      <c r="E2057" t="s">
        <v>14353</v>
      </c>
      <c r="F2057" t="s">
        <v>4654</v>
      </c>
      <c r="G2057" t="s">
        <v>14354</v>
      </c>
      <c r="H2057" t="s">
        <v>14355</v>
      </c>
      <c r="I2057">
        <f t="shared" ca="1" si="128"/>
        <v>57</v>
      </c>
      <c r="J2057" t="str">
        <f t="shared" ca="1" si="129"/>
        <v>50-59</v>
      </c>
      <c r="K2057">
        <v>52800.13</v>
      </c>
      <c r="L2057" t="str">
        <f>IF(Workforce[[#This Row],[Salary]]&lt;50000,"30k-49k",IF(Workforce[[#This Row],[Salary]]&lt;70000,"50k-69k",IF(Workforce[[#This Row],[Salary]]&lt;90000,"70k-89k","90k+")))</f>
        <v>50k-69k</v>
      </c>
      <c r="M2057" t="s">
        <v>14356</v>
      </c>
      <c r="N2057">
        <f t="shared" ca="1" si="130"/>
        <v>8</v>
      </c>
      <c r="O2057" t="str">
        <f t="shared" ca="1" si="131"/>
        <v>Senior level</v>
      </c>
    </row>
    <row r="2058" spans="1:15" x14ac:dyDescent="0.3">
      <c r="A2058" t="s">
        <v>14357</v>
      </c>
      <c r="B2058" t="s">
        <v>14358</v>
      </c>
      <c r="C2058" t="s">
        <v>351</v>
      </c>
      <c r="D2058" t="s">
        <v>14359</v>
      </c>
      <c r="E2058" t="s">
        <v>14360</v>
      </c>
      <c r="F2058" t="s">
        <v>6428</v>
      </c>
      <c r="G2058" t="s">
        <v>14361</v>
      </c>
      <c r="H2058" t="s">
        <v>14362</v>
      </c>
      <c r="I2058">
        <f t="shared" ca="1" si="128"/>
        <v>27</v>
      </c>
      <c r="J2058" t="str">
        <f t="shared" ca="1" si="129"/>
        <v>18-29</v>
      </c>
      <c r="K2058">
        <v>119813.24</v>
      </c>
      <c r="L2058" t="str">
        <f>IF(Workforce[[#This Row],[Salary]]&lt;50000,"30k-49k",IF(Workforce[[#This Row],[Salary]]&lt;70000,"50k-69k",IF(Workforce[[#This Row],[Salary]]&lt;90000,"70k-89k","90k+")))</f>
        <v>90k+</v>
      </c>
      <c r="M2058" t="s">
        <v>7606</v>
      </c>
      <c r="N2058">
        <f t="shared" ca="1" si="130"/>
        <v>8</v>
      </c>
      <c r="O2058" t="str">
        <f t="shared" ca="1" si="131"/>
        <v>Senior level</v>
      </c>
    </row>
    <row r="2059" spans="1:15" x14ac:dyDescent="0.3">
      <c r="A2059" t="s">
        <v>14363</v>
      </c>
      <c r="B2059" t="s">
        <v>14364</v>
      </c>
      <c r="C2059" t="s">
        <v>400</v>
      </c>
      <c r="D2059" t="s">
        <v>14365</v>
      </c>
      <c r="E2059" t="s">
        <v>14366</v>
      </c>
      <c r="F2059" t="s">
        <v>1281</v>
      </c>
      <c r="G2059" t="s">
        <v>14367</v>
      </c>
      <c r="H2059" t="s">
        <v>14368</v>
      </c>
      <c r="I2059">
        <f t="shared" ca="1" si="128"/>
        <v>51</v>
      </c>
      <c r="J2059" t="str">
        <f t="shared" ca="1" si="129"/>
        <v>50-59</v>
      </c>
      <c r="K2059">
        <v>80341.61</v>
      </c>
      <c r="L2059" t="str">
        <f>IF(Workforce[[#This Row],[Salary]]&lt;50000,"30k-49k",IF(Workforce[[#This Row],[Salary]]&lt;70000,"50k-69k",IF(Workforce[[#This Row],[Salary]]&lt;90000,"70k-89k","90k+")))</f>
        <v>70k-89k</v>
      </c>
      <c r="M2059" t="s">
        <v>14369</v>
      </c>
      <c r="N2059">
        <f t="shared" ca="1" si="130"/>
        <v>3</v>
      </c>
      <c r="O2059" t="str">
        <f t="shared" ca="1" si="131"/>
        <v>Intermediate level</v>
      </c>
    </row>
    <row r="2060" spans="1:15" x14ac:dyDescent="0.3">
      <c r="A2060" t="s">
        <v>14370</v>
      </c>
      <c r="B2060" t="s">
        <v>14371</v>
      </c>
      <c r="C2060" t="s">
        <v>757</v>
      </c>
      <c r="D2060" t="s">
        <v>14372</v>
      </c>
      <c r="E2060" t="s">
        <v>14373</v>
      </c>
      <c r="F2060" t="s">
        <v>4669</v>
      </c>
      <c r="G2060" t="s">
        <v>14374</v>
      </c>
      <c r="H2060" t="s">
        <v>14375</v>
      </c>
      <c r="I2060">
        <f t="shared" ca="1" si="128"/>
        <v>31</v>
      </c>
      <c r="J2060" t="str">
        <f t="shared" ca="1" si="129"/>
        <v>30-39</v>
      </c>
      <c r="K2060">
        <v>85637.89</v>
      </c>
      <c r="L2060" t="str">
        <f>IF(Workforce[[#This Row],[Salary]]&lt;50000,"30k-49k",IF(Workforce[[#This Row],[Salary]]&lt;70000,"50k-69k",IF(Workforce[[#This Row],[Salary]]&lt;90000,"70k-89k","90k+")))</f>
        <v>70k-89k</v>
      </c>
      <c r="M2060" t="s">
        <v>2039</v>
      </c>
      <c r="N2060">
        <f t="shared" ca="1" si="130"/>
        <v>5</v>
      </c>
      <c r="O2060" t="str">
        <f t="shared" ca="1" si="131"/>
        <v>Intermediate level</v>
      </c>
    </row>
    <row r="2061" spans="1:15" x14ac:dyDescent="0.3">
      <c r="A2061" t="s">
        <v>14376</v>
      </c>
      <c r="B2061" t="s">
        <v>14377</v>
      </c>
      <c r="C2061" t="s">
        <v>151</v>
      </c>
      <c r="D2061" t="s">
        <v>14378</v>
      </c>
      <c r="E2061" t="s">
        <v>14379</v>
      </c>
      <c r="F2061" t="s">
        <v>517</v>
      </c>
      <c r="G2061" t="s">
        <v>14380</v>
      </c>
      <c r="H2061" t="s">
        <v>9865</v>
      </c>
      <c r="I2061">
        <f t="shared" ca="1" si="128"/>
        <v>44</v>
      </c>
      <c r="J2061" t="str">
        <f t="shared" ca="1" si="129"/>
        <v>40-49</v>
      </c>
      <c r="K2061">
        <v>92465.06</v>
      </c>
      <c r="L2061" t="str">
        <f>IF(Workforce[[#This Row],[Salary]]&lt;50000,"30k-49k",IF(Workforce[[#This Row],[Salary]]&lt;70000,"50k-69k",IF(Workforce[[#This Row],[Salary]]&lt;90000,"70k-89k","90k+")))</f>
        <v>90k+</v>
      </c>
      <c r="M2061" t="s">
        <v>4397</v>
      </c>
      <c r="N2061">
        <f t="shared" ca="1" si="130"/>
        <v>2</v>
      </c>
      <c r="O2061" t="str">
        <f t="shared" ca="1" si="131"/>
        <v>Beginner</v>
      </c>
    </row>
    <row r="2062" spans="1:15" x14ac:dyDescent="0.3">
      <c r="A2062" t="s">
        <v>14381</v>
      </c>
      <c r="B2062" t="s">
        <v>14382</v>
      </c>
      <c r="C2062" t="s">
        <v>178</v>
      </c>
      <c r="D2062" t="s">
        <v>14383</v>
      </c>
      <c r="E2062" t="s">
        <v>14384</v>
      </c>
      <c r="F2062" t="s">
        <v>574</v>
      </c>
      <c r="G2062" t="s">
        <v>14385</v>
      </c>
      <c r="H2062" t="s">
        <v>14386</v>
      </c>
      <c r="I2062">
        <f t="shared" ca="1" si="128"/>
        <v>20</v>
      </c>
      <c r="J2062" t="str">
        <f t="shared" ca="1" si="129"/>
        <v>18-29</v>
      </c>
      <c r="K2062">
        <v>106551.77</v>
      </c>
      <c r="L2062" t="str">
        <f>IF(Workforce[[#This Row],[Salary]]&lt;50000,"30k-49k",IF(Workforce[[#This Row],[Salary]]&lt;70000,"50k-69k",IF(Workforce[[#This Row],[Salary]]&lt;90000,"70k-89k","90k+")))</f>
        <v>90k+</v>
      </c>
      <c r="M2062" t="s">
        <v>6416</v>
      </c>
      <c r="N2062">
        <f t="shared" ca="1" si="130"/>
        <v>8</v>
      </c>
      <c r="O2062" t="str">
        <f t="shared" ca="1" si="131"/>
        <v>Senior level</v>
      </c>
    </row>
    <row r="2063" spans="1:15" x14ac:dyDescent="0.3">
      <c r="A2063" t="s">
        <v>14387</v>
      </c>
      <c r="B2063" t="s">
        <v>14388</v>
      </c>
      <c r="C2063" t="s">
        <v>995</v>
      </c>
      <c r="D2063" t="s">
        <v>14389</v>
      </c>
      <c r="E2063" t="s">
        <v>14390</v>
      </c>
      <c r="F2063" t="s">
        <v>7356</v>
      </c>
      <c r="G2063" t="s">
        <v>14391</v>
      </c>
      <c r="H2063" t="s">
        <v>3880</v>
      </c>
      <c r="I2063">
        <f t="shared" ca="1" si="128"/>
        <v>40</v>
      </c>
      <c r="J2063" t="str">
        <f t="shared" ca="1" si="129"/>
        <v>40-49</v>
      </c>
      <c r="K2063">
        <v>105535.07</v>
      </c>
      <c r="L2063" t="str">
        <f>IF(Workforce[[#This Row],[Salary]]&lt;50000,"30k-49k",IF(Workforce[[#This Row],[Salary]]&lt;70000,"50k-69k",IF(Workforce[[#This Row],[Salary]]&lt;90000,"70k-89k","90k+")))</f>
        <v>90k+</v>
      </c>
      <c r="M2063" t="s">
        <v>5511</v>
      </c>
      <c r="N2063">
        <f t="shared" ca="1" si="130"/>
        <v>10</v>
      </c>
      <c r="O2063" t="str">
        <f t="shared" ca="1" si="131"/>
        <v>Senior level</v>
      </c>
    </row>
    <row r="2064" spans="1:15" x14ac:dyDescent="0.3">
      <c r="A2064" t="s">
        <v>14392</v>
      </c>
      <c r="B2064" t="s">
        <v>14393</v>
      </c>
      <c r="C2064" t="s">
        <v>115</v>
      </c>
      <c r="D2064" t="s">
        <v>14394</v>
      </c>
      <c r="E2064" t="s">
        <v>14395</v>
      </c>
      <c r="F2064" t="s">
        <v>1888</v>
      </c>
      <c r="G2064" t="s">
        <v>14396</v>
      </c>
      <c r="H2064" t="s">
        <v>14397</v>
      </c>
      <c r="I2064">
        <f t="shared" ca="1" si="128"/>
        <v>42</v>
      </c>
      <c r="J2064" t="str">
        <f t="shared" ca="1" si="129"/>
        <v>40-49</v>
      </c>
      <c r="K2064">
        <v>75840.2</v>
      </c>
      <c r="L2064" t="str">
        <f>IF(Workforce[[#This Row],[Salary]]&lt;50000,"30k-49k",IF(Workforce[[#This Row],[Salary]]&lt;70000,"50k-69k",IF(Workforce[[#This Row],[Salary]]&lt;90000,"70k-89k","90k+")))</f>
        <v>70k-89k</v>
      </c>
      <c r="M2064" t="s">
        <v>14398</v>
      </c>
      <c r="N2064">
        <f t="shared" ca="1" si="130"/>
        <v>3</v>
      </c>
      <c r="O2064" t="str">
        <f t="shared" ca="1" si="131"/>
        <v>Intermediate level</v>
      </c>
    </row>
    <row r="2065" spans="1:15" x14ac:dyDescent="0.3">
      <c r="A2065" t="s">
        <v>14399</v>
      </c>
      <c r="B2065" t="s">
        <v>14400</v>
      </c>
      <c r="C2065" t="s">
        <v>326</v>
      </c>
      <c r="D2065" t="s">
        <v>14401</v>
      </c>
      <c r="E2065" t="s">
        <v>14402</v>
      </c>
      <c r="F2065" t="s">
        <v>4858</v>
      </c>
      <c r="G2065" t="s">
        <v>14403</v>
      </c>
      <c r="H2065" t="s">
        <v>14404</v>
      </c>
      <c r="I2065">
        <f t="shared" ca="1" si="128"/>
        <v>53</v>
      </c>
      <c r="J2065" t="str">
        <f t="shared" ca="1" si="129"/>
        <v>50-59</v>
      </c>
      <c r="K2065">
        <v>86408.97</v>
      </c>
      <c r="L2065" t="str">
        <f>IF(Workforce[[#This Row],[Salary]]&lt;50000,"30k-49k",IF(Workforce[[#This Row],[Salary]]&lt;70000,"50k-69k",IF(Workforce[[#This Row],[Salary]]&lt;90000,"70k-89k","90k+")))</f>
        <v>70k-89k</v>
      </c>
      <c r="M2065" t="s">
        <v>8793</v>
      </c>
      <c r="N2065">
        <f t="shared" ca="1" si="130"/>
        <v>3</v>
      </c>
      <c r="O2065" t="str">
        <f t="shared" ca="1" si="131"/>
        <v>Intermediate level</v>
      </c>
    </row>
    <row r="2066" spans="1:15" x14ac:dyDescent="0.3">
      <c r="A2066" t="s">
        <v>14405</v>
      </c>
      <c r="B2066" t="s">
        <v>14406</v>
      </c>
      <c r="C2066" t="s">
        <v>351</v>
      </c>
      <c r="D2066" t="s">
        <v>14407</v>
      </c>
      <c r="E2066" t="s">
        <v>14408</v>
      </c>
      <c r="F2066" t="s">
        <v>14409</v>
      </c>
      <c r="G2066" t="s">
        <v>6215</v>
      </c>
      <c r="H2066" t="s">
        <v>14410</v>
      </c>
      <c r="I2066">
        <f t="shared" ca="1" si="128"/>
        <v>50</v>
      </c>
      <c r="J2066" t="str">
        <f t="shared" ca="1" si="129"/>
        <v>50-59</v>
      </c>
      <c r="K2066">
        <v>111020.12</v>
      </c>
      <c r="L2066" t="str">
        <f>IF(Workforce[[#This Row],[Salary]]&lt;50000,"30k-49k",IF(Workforce[[#This Row],[Salary]]&lt;70000,"50k-69k",IF(Workforce[[#This Row],[Salary]]&lt;90000,"70k-89k","90k+")))</f>
        <v>90k+</v>
      </c>
      <c r="M2066" t="s">
        <v>14411</v>
      </c>
      <c r="N2066">
        <f t="shared" ca="1" si="130"/>
        <v>8</v>
      </c>
      <c r="O2066" t="str">
        <f t="shared" ca="1" si="131"/>
        <v>Senior level</v>
      </c>
    </row>
    <row r="2067" spans="1:15" x14ac:dyDescent="0.3">
      <c r="A2067" t="s">
        <v>14412</v>
      </c>
      <c r="B2067" t="s">
        <v>14413</v>
      </c>
      <c r="C2067" t="s">
        <v>35</v>
      </c>
      <c r="D2067" t="s">
        <v>14414</v>
      </c>
      <c r="E2067" t="s">
        <v>14415</v>
      </c>
      <c r="F2067" t="s">
        <v>6748</v>
      </c>
      <c r="G2067" t="s">
        <v>14416</v>
      </c>
      <c r="H2067" t="s">
        <v>14417</v>
      </c>
      <c r="I2067">
        <f t="shared" ca="1" si="128"/>
        <v>58</v>
      </c>
      <c r="J2067" t="str">
        <f t="shared" ca="1" si="129"/>
        <v>50-59</v>
      </c>
      <c r="K2067">
        <v>31651.29</v>
      </c>
      <c r="L2067" t="str">
        <f>IF(Workforce[[#This Row],[Salary]]&lt;50000,"30k-49k",IF(Workforce[[#This Row],[Salary]]&lt;70000,"50k-69k",IF(Workforce[[#This Row],[Salary]]&lt;90000,"70k-89k","90k+")))</f>
        <v>30k-49k</v>
      </c>
      <c r="M2067" t="s">
        <v>9572</v>
      </c>
      <c r="N2067">
        <f t="shared" ca="1" si="130"/>
        <v>5</v>
      </c>
      <c r="O2067" t="str">
        <f t="shared" ca="1" si="131"/>
        <v>Intermediate level</v>
      </c>
    </row>
    <row r="2068" spans="1:15" x14ac:dyDescent="0.3">
      <c r="A2068" t="s">
        <v>14418</v>
      </c>
      <c r="B2068" t="s">
        <v>14419</v>
      </c>
      <c r="C2068" t="s">
        <v>482</v>
      </c>
      <c r="D2068" t="s">
        <v>14420</v>
      </c>
      <c r="E2068" t="s">
        <v>14421</v>
      </c>
      <c r="F2068" t="s">
        <v>2497</v>
      </c>
      <c r="G2068" t="s">
        <v>14422</v>
      </c>
      <c r="H2068" t="s">
        <v>5857</v>
      </c>
      <c r="I2068">
        <f t="shared" ca="1" si="128"/>
        <v>20</v>
      </c>
      <c r="J2068" t="str">
        <f t="shared" ca="1" si="129"/>
        <v>18-29</v>
      </c>
      <c r="K2068">
        <v>71814.86</v>
      </c>
      <c r="L2068" t="str">
        <f>IF(Workforce[[#This Row],[Salary]]&lt;50000,"30k-49k",IF(Workforce[[#This Row],[Salary]]&lt;70000,"50k-69k",IF(Workforce[[#This Row],[Salary]]&lt;90000,"70k-89k","90k+")))</f>
        <v>70k-89k</v>
      </c>
      <c r="M2068" t="s">
        <v>9964</v>
      </c>
      <c r="N2068">
        <f t="shared" ca="1" si="130"/>
        <v>10</v>
      </c>
      <c r="O2068" t="str">
        <f t="shared" ca="1" si="131"/>
        <v>Senior level</v>
      </c>
    </row>
    <row r="2069" spans="1:15" x14ac:dyDescent="0.3">
      <c r="A2069" t="s">
        <v>14423</v>
      </c>
      <c r="B2069" t="s">
        <v>14424</v>
      </c>
      <c r="C2069" t="s">
        <v>317</v>
      </c>
      <c r="D2069" t="s">
        <v>14425</v>
      </c>
      <c r="E2069" t="s">
        <v>14426</v>
      </c>
      <c r="F2069" t="s">
        <v>2282</v>
      </c>
      <c r="G2069" t="s">
        <v>14427</v>
      </c>
      <c r="H2069" t="s">
        <v>7461</v>
      </c>
      <c r="I2069">
        <f t="shared" ca="1" si="128"/>
        <v>65</v>
      </c>
      <c r="J2069" t="str">
        <f t="shared" ca="1" si="129"/>
        <v>60+</v>
      </c>
      <c r="K2069">
        <v>30803.7</v>
      </c>
      <c r="L2069" t="str">
        <f>IF(Workforce[[#This Row],[Salary]]&lt;50000,"30k-49k",IF(Workforce[[#This Row],[Salary]]&lt;70000,"50k-69k",IF(Workforce[[#This Row],[Salary]]&lt;90000,"70k-89k","90k+")))</f>
        <v>30k-49k</v>
      </c>
      <c r="M2069" t="s">
        <v>14428</v>
      </c>
      <c r="N2069">
        <f t="shared" ca="1" si="130"/>
        <v>10</v>
      </c>
      <c r="O2069" t="str">
        <f t="shared" ca="1" si="131"/>
        <v>Senior level</v>
      </c>
    </row>
    <row r="2070" spans="1:15" x14ac:dyDescent="0.3">
      <c r="A2070" t="s">
        <v>14429</v>
      </c>
      <c r="B2070" t="s">
        <v>14430</v>
      </c>
      <c r="C2070" t="s">
        <v>604</v>
      </c>
      <c r="D2070" t="s">
        <v>14431</v>
      </c>
      <c r="E2070" t="s">
        <v>14432</v>
      </c>
      <c r="F2070" t="s">
        <v>14433</v>
      </c>
      <c r="G2070" t="s">
        <v>14434</v>
      </c>
      <c r="H2070" t="s">
        <v>14435</v>
      </c>
      <c r="I2070">
        <f t="shared" ca="1" si="128"/>
        <v>66</v>
      </c>
      <c r="J2070" t="str">
        <f t="shared" ca="1" si="129"/>
        <v>60+</v>
      </c>
      <c r="K2070">
        <v>83416.789999999994</v>
      </c>
      <c r="L2070" t="str">
        <f>IF(Workforce[[#This Row],[Salary]]&lt;50000,"30k-49k",IF(Workforce[[#This Row],[Salary]]&lt;70000,"50k-69k",IF(Workforce[[#This Row],[Salary]]&lt;90000,"70k-89k","90k+")))</f>
        <v>70k-89k</v>
      </c>
      <c r="M2070" t="s">
        <v>14436</v>
      </c>
      <c r="N2070">
        <f t="shared" ca="1" si="130"/>
        <v>5</v>
      </c>
      <c r="O2070" t="str">
        <f t="shared" ca="1" si="131"/>
        <v>Intermediate level</v>
      </c>
    </row>
    <row r="2071" spans="1:15" x14ac:dyDescent="0.3">
      <c r="A2071" t="s">
        <v>14437</v>
      </c>
      <c r="B2071" t="s">
        <v>14438</v>
      </c>
      <c r="C2071" t="s">
        <v>26</v>
      </c>
      <c r="D2071" t="s">
        <v>14439</v>
      </c>
      <c r="E2071" t="s">
        <v>14440</v>
      </c>
      <c r="F2071" t="s">
        <v>4096</v>
      </c>
      <c r="G2071" t="s">
        <v>1336</v>
      </c>
      <c r="H2071" t="s">
        <v>14441</v>
      </c>
      <c r="I2071">
        <f t="shared" ca="1" si="128"/>
        <v>56</v>
      </c>
      <c r="J2071" t="str">
        <f t="shared" ca="1" si="129"/>
        <v>50-59</v>
      </c>
      <c r="K2071">
        <v>39685.949999999997</v>
      </c>
      <c r="L2071" t="str">
        <f>IF(Workforce[[#This Row],[Salary]]&lt;50000,"30k-49k",IF(Workforce[[#This Row],[Salary]]&lt;70000,"50k-69k",IF(Workforce[[#This Row],[Salary]]&lt;90000,"70k-89k","90k+")))</f>
        <v>30k-49k</v>
      </c>
      <c r="M2071" t="s">
        <v>14442</v>
      </c>
      <c r="N2071">
        <f t="shared" ca="1" si="130"/>
        <v>1</v>
      </c>
      <c r="O2071" t="str">
        <f t="shared" ca="1" si="131"/>
        <v>Beginner</v>
      </c>
    </row>
    <row r="2072" spans="1:15" x14ac:dyDescent="0.3">
      <c r="A2072" t="s">
        <v>14443</v>
      </c>
      <c r="B2072" t="s">
        <v>14444</v>
      </c>
      <c r="C2072" t="s">
        <v>844</v>
      </c>
      <c r="D2072" t="s">
        <v>14445</v>
      </c>
      <c r="E2072" t="s">
        <v>14446</v>
      </c>
      <c r="F2072" t="s">
        <v>1681</v>
      </c>
      <c r="G2072" t="s">
        <v>14447</v>
      </c>
      <c r="H2072" t="s">
        <v>14448</v>
      </c>
      <c r="I2072">
        <f t="shared" ca="1" si="128"/>
        <v>36</v>
      </c>
      <c r="J2072" t="str">
        <f t="shared" ca="1" si="129"/>
        <v>30-39</v>
      </c>
      <c r="K2072">
        <v>76106.09</v>
      </c>
      <c r="L2072" t="str">
        <f>IF(Workforce[[#This Row],[Salary]]&lt;50000,"30k-49k",IF(Workforce[[#This Row],[Salary]]&lt;70000,"50k-69k",IF(Workforce[[#This Row],[Salary]]&lt;90000,"70k-89k","90k+")))</f>
        <v>70k-89k</v>
      </c>
      <c r="M2072" t="s">
        <v>14449</v>
      </c>
      <c r="N2072">
        <f t="shared" ca="1" si="130"/>
        <v>8</v>
      </c>
      <c r="O2072" t="str">
        <f t="shared" ca="1" si="131"/>
        <v>Senior level</v>
      </c>
    </row>
    <row r="2073" spans="1:15" x14ac:dyDescent="0.3">
      <c r="A2073" t="s">
        <v>14450</v>
      </c>
      <c r="B2073" t="s">
        <v>14451</v>
      </c>
      <c r="C2073" t="s">
        <v>995</v>
      </c>
      <c r="D2073" t="s">
        <v>14452</v>
      </c>
      <c r="E2073" t="s">
        <v>14453</v>
      </c>
      <c r="F2073" t="s">
        <v>1549</v>
      </c>
      <c r="G2073" t="s">
        <v>14454</v>
      </c>
      <c r="H2073" t="s">
        <v>14455</v>
      </c>
      <c r="I2073">
        <f t="shared" ca="1" si="128"/>
        <v>51</v>
      </c>
      <c r="J2073" t="str">
        <f t="shared" ca="1" si="129"/>
        <v>50-59</v>
      </c>
      <c r="K2073">
        <v>89016.74</v>
      </c>
      <c r="L2073" t="str">
        <f>IF(Workforce[[#This Row],[Salary]]&lt;50000,"30k-49k",IF(Workforce[[#This Row],[Salary]]&lt;70000,"50k-69k",IF(Workforce[[#This Row],[Salary]]&lt;90000,"70k-89k","90k+")))</f>
        <v>70k-89k</v>
      </c>
      <c r="M2073" t="s">
        <v>14456</v>
      </c>
      <c r="N2073">
        <f t="shared" ca="1" si="130"/>
        <v>10</v>
      </c>
      <c r="O2073" t="str">
        <f t="shared" ca="1" si="131"/>
        <v>Senior level</v>
      </c>
    </row>
    <row r="2074" spans="1:15" x14ac:dyDescent="0.3">
      <c r="A2074" t="s">
        <v>14457</v>
      </c>
      <c r="B2074" t="s">
        <v>14458</v>
      </c>
      <c r="C2074" t="s">
        <v>231</v>
      </c>
      <c r="D2074" t="s">
        <v>14459</v>
      </c>
      <c r="E2074" t="s">
        <v>14460</v>
      </c>
      <c r="F2074" t="s">
        <v>1388</v>
      </c>
      <c r="G2074" t="s">
        <v>14461</v>
      </c>
      <c r="H2074" t="s">
        <v>6365</v>
      </c>
      <c r="I2074">
        <f t="shared" ca="1" si="128"/>
        <v>63</v>
      </c>
      <c r="J2074" t="str">
        <f t="shared" ca="1" si="129"/>
        <v>60+</v>
      </c>
      <c r="K2074">
        <v>79328.990000000005</v>
      </c>
      <c r="L2074" t="str">
        <f>IF(Workforce[[#This Row],[Salary]]&lt;50000,"30k-49k",IF(Workforce[[#This Row],[Salary]]&lt;70000,"50k-69k",IF(Workforce[[#This Row],[Salary]]&lt;90000,"70k-89k","90k+")))</f>
        <v>70k-89k</v>
      </c>
      <c r="M2074" t="s">
        <v>8148</v>
      </c>
      <c r="N2074">
        <f t="shared" ca="1" si="130"/>
        <v>7</v>
      </c>
      <c r="O2074" t="str">
        <f t="shared" ca="1" si="131"/>
        <v>Senior level</v>
      </c>
    </row>
    <row r="2075" spans="1:15" x14ac:dyDescent="0.3">
      <c r="A2075" t="s">
        <v>14462</v>
      </c>
      <c r="B2075" t="s">
        <v>14463</v>
      </c>
      <c r="C2075" t="s">
        <v>317</v>
      </c>
      <c r="D2075" t="s">
        <v>14464</v>
      </c>
      <c r="E2075" t="s">
        <v>14465</v>
      </c>
      <c r="F2075" t="s">
        <v>4278</v>
      </c>
      <c r="G2075" t="s">
        <v>14466</v>
      </c>
      <c r="H2075" t="s">
        <v>14467</v>
      </c>
      <c r="I2075">
        <f t="shared" ca="1" si="128"/>
        <v>41</v>
      </c>
      <c r="J2075" t="str">
        <f t="shared" ca="1" si="129"/>
        <v>40-49</v>
      </c>
      <c r="K2075">
        <v>97090.41</v>
      </c>
      <c r="L2075" t="str">
        <f>IF(Workforce[[#This Row],[Salary]]&lt;50000,"30k-49k",IF(Workforce[[#This Row],[Salary]]&lt;70000,"50k-69k",IF(Workforce[[#This Row],[Salary]]&lt;90000,"70k-89k","90k+")))</f>
        <v>90k+</v>
      </c>
      <c r="M2075" t="s">
        <v>2441</v>
      </c>
      <c r="N2075">
        <f t="shared" ca="1" si="130"/>
        <v>9</v>
      </c>
      <c r="O2075" t="str">
        <f t="shared" ca="1" si="131"/>
        <v>Senior level</v>
      </c>
    </row>
    <row r="2076" spans="1:15" x14ac:dyDescent="0.3">
      <c r="A2076" t="s">
        <v>14468</v>
      </c>
      <c r="B2076" t="s">
        <v>14469</v>
      </c>
      <c r="C2076" t="s">
        <v>580</v>
      </c>
      <c r="D2076" t="s">
        <v>14470</v>
      </c>
      <c r="E2076" t="s">
        <v>14471</v>
      </c>
      <c r="F2076" t="s">
        <v>1704</v>
      </c>
      <c r="G2076" t="s">
        <v>14472</v>
      </c>
      <c r="H2076" t="s">
        <v>14473</v>
      </c>
      <c r="I2076">
        <f t="shared" ca="1" si="128"/>
        <v>56</v>
      </c>
      <c r="J2076" t="str">
        <f t="shared" ca="1" si="129"/>
        <v>50-59</v>
      </c>
      <c r="K2076">
        <v>81727.399999999994</v>
      </c>
      <c r="L2076" t="str">
        <f>IF(Workforce[[#This Row],[Salary]]&lt;50000,"30k-49k",IF(Workforce[[#This Row],[Salary]]&lt;70000,"50k-69k",IF(Workforce[[#This Row],[Salary]]&lt;90000,"70k-89k","90k+")))</f>
        <v>70k-89k</v>
      </c>
      <c r="M2076" t="s">
        <v>14474</v>
      </c>
      <c r="N2076">
        <f t="shared" ca="1" si="130"/>
        <v>8</v>
      </c>
      <c r="O2076" t="str">
        <f t="shared" ca="1" si="131"/>
        <v>Senior level</v>
      </c>
    </row>
    <row r="2077" spans="1:15" x14ac:dyDescent="0.3">
      <c r="A2077" t="s">
        <v>14475</v>
      </c>
      <c r="B2077" t="s">
        <v>14476</v>
      </c>
      <c r="C2077" t="s">
        <v>61</v>
      </c>
      <c r="D2077" t="s">
        <v>14477</v>
      </c>
      <c r="E2077" t="s">
        <v>14478</v>
      </c>
      <c r="F2077" t="s">
        <v>751</v>
      </c>
      <c r="G2077" t="s">
        <v>14479</v>
      </c>
      <c r="H2077" t="s">
        <v>14480</v>
      </c>
      <c r="I2077">
        <f t="shared" ca="1" si="128"/>
        <v>35</v>
      </c>
      <c r="J2077" t="str">
        <f t="shared" ca="1" si="129"/>
        <v>30-39</v>
      </c>
      <c r="K2077">
        <v>87351.12</v>
      </c>
      <c r="L2077" t="str">
        <f>IF(Workforce[[#This Row],[Salary]]&lt;50000,"30k-49k",IF(Workforce[[#This Row],[Salary]]&lt;70000,"50k-69k",IF(Workforce[[#This Row],[Salary]]&lt;90000,"70k-89k","90k+")))</f>
        <v>70k-89k</v>
      </c>
      <c r="M2077" t="s">
        <v>14481</v>
      </c>
      <c r="N2077">
        <f t="shared" ca="1" si="130"/>
        <v>5</v>
      </c>
      <c r="O2077" t="str">
        <f t="shared" ca="1" si="131"/>
        <v>Intermediate level</v>
      </c>
    </row>
    <row r="2078" spans="1:15" x14ac:dyDescent="0.3">
      <c r="A2078" t="s">
        <v>14482</v>
      </c>
      <c r="B2078" t="s">
        <v>14483</v>
      </c>
      <c r="C2078" t="s">
        <v>240</v>
      </c>
      <c r="D2078" t="s">
        <v>14484</v>
      </c>
      <c r="E2078" t="s">
        <v>14485</v>
      </c>
      <c r="F2078" t="s">
        <v>3761</v>
      </c>
      <c r="G2078" t="s">
        <v>7967</v>
      </c>
      <c r="H2078" t="s">
        <v>14486</v>
      </c>
      <c r="I2078">
        <f t="shared" ca="1" si="128"/>
        <v>55</v>
      </c>
      <c r="J2078" t="str">
        <f t="shared" ca="1" si="129"/>
        <v>50-59</v>
      </c>
      <c r="K2078">
        <v>86585.26</v>
      </c>
      <c r="L2078" t="str">
        <f>IF(Workforce[[#This Row],[Salary]]&lt;50000,"30k-49k",IF(Workforce[[#This Row],[Salary]]&lt;70000,"50k-69k",IF(Workforce[[#This Row],[Salary]]&lt;90000,"70k-89k","90k+")))</f>
        <v>70k-89k</v>
      </c>
      <c r="M2078" t="s">
        <v>14487</v>
      </c>
      <c r="N2078">
        <f t="shared" ca="1" si="130"/>
        <v>8</v>
      </c>
      <c r="O2078" t="str">
        <f t="shared" ca="1" si="131"/>
        <v>Senior level</v>
      </c>
    </row>
    <row r="2079" spans="1:15" x14ac:dyDescent="0.3">
      <c r="A2079" t="s">
        <v>14488</v>
      </c>
      <c r="B2079" t="s">
        <v>14489</v>
      </c>
      <c r="C2079" t="s">
        <v>2086</v>
      </c>
      <c r="D2079" t="s">
        <v>14490</v>
      </c>
      <c r="E2079" t="s">
        <v>14491</v>
      </c>
      <c r="F2079" t="s">
        <v>8285</v>
      </c>
      <c r="G2079" t="s">
        <v>14492</v>
      </c>
      <c r="H2079" t="s">
        <v>14493</v>
      </c>
      <c r="I2079">
        <f t="shared" ca="1" si="128"/>
        <v>60</v>
      </c>
      <c r="J2079" t="str">
        <f t="shared" ca="1" si="129"/>
        <v>60+</v>
      </c>
      <c r="K2079">
        <v>113793.94</v>
      </c>
      <c r="L2079" t="str">
        <f>IF(Workforce[[#This Row],[Salary]]&lt;50000,"30k-49k",IF(Workforce[[#This Row],[Salary]]&lt;70000,"50k-69k",IF(Workforce[[#This Row],[Salary]]&lt;90000,"70k-89k","90k+")))</f>
        <v>90k+</v>
      </c>
      <c r="M2079" t="s">
        <v>14494</v>
      </c>
      <c r="N2079">
        <f t="shared" ca="1" si="130"/>
        <v>3</v>
      </c>
      <c r="O2079" t="str">
        <f t="shared" ca="1" si="131"/>
        <v>Intermediate level</v>
      </c>
    </row>
    <row r="2080" spans="1:15" x14ac:dyDescent="0.3">
      <c r="A2080" t="s">
        <v>14495</v>
      </c>
      <c r="B2080" t="s">
        <v>14496</v>
      </c>
      <c r="C2080" t="s">
        <v>284</v>
      </c>
      <c r="D2080" t="s">
        <v>14497</v>
      </c>
      <c r="E2080" t="s">
        <v>14498</v>
      </c>
      <c r="F2080" t="s">
        <v>1210</v>
      </c>
      <c r="G2080" t="s">
        <v>14499</v>
      </c>
      <c r="H2080" t="s">
        <v>14500</v>
      </c>
      <c r="I2080">
        <f t="shared" ca="1" si="128"/>
        <v>54</v>
      </c>
      <c r="J2080" t="str">
        <f t="shared" ca="1" si="129"/>
        <v>50-59</v>
      </c>
      <c r="K2080">
        <v>116054.57</v>
      </c>
      <c r="L2080" t="str">
        <f>IF(Workforce[[#This Row],[Salary]]&lt;50000,"30k-49k",IF(Workforce[[#This Row],[Salary]]&lt;70000,"50k-69k",IF(Workforce[[#This Row],[Salary]]&lt;90000,"70k-89k","90k+")))</f>
        <v>90k+</v>
      </c>
      <c r="M2080" t="s">
        <v>2411</v>
      </c>
      <c r="N2080">
        <f t="shared" ca="1" si="130"/>
        <v>2</v>
      </c>
      <c r="O2080" t="str">
        <f t="shared" ca="1" si="131"/>
        <v>Beginner</v>
      </c>
    </row>
    <row r="2081" spans="1:15" x14ac:dyDescent="0.3">
      <c r="A2081" t="s">
        <v>14501</v>
      </c>
      <c r="B2081" t="s">
        <v>14502</v>
      </c>
      <c r="C2081" t="s">
        <v>757</v>
      </c>
      <c r="D2081" t="s">
        <v>14503</v>
      </c>
      <c r="E2081" t="s">
        <v>14504</v>
      </c>
      <c r="F2081" t="s">
        <v>1418</v>
      </c>
      <c r="G2081" t="s">
        <v>3704</v>
      </c>
      <c r="H2081" t="s">
        <v>14505</v>
      </c>
      <c r="I2081">
        <f t="shared" ca="1" si="128"/>
        <v>35</v>
      </c>
      <c r="J2081" t="str">
        <f t="shared" ca="1" si="129"/>
        <v>30-39</v>
      </c>
      <c r="K2081">
        <v>41477.300000000003</v>
      </c>
      <c r="L2081" t="str">
        <f>IF(Workforce[[#This Row],[Salary]]&lt;50000,"30k-49k",IF(Workforce[[#This Row],[Salary]]&lt;70000,"50k-69k",IF(Workforce[[#This Row],[Salary]]&lt;90000,"70k-89k","90k+")))</f>
        <v>30k-49k</v>
      </c>
      <c r="M2081" t="s">
        <v>3966</v>
      </c>
      <c r="N2081">
        <f t="shared" ca="1" si="130"/>
        <v>10</v>
      </c>
      <c r="O2081" t="str">
        <f t="shared" ca="1" si="131"/>
        <v>Senior level</v>
      </c>
    </row>
    <row r="2082" spans="1:15" x14ac:dyDescent="0.3">
      <c r="A2082" t="s">
        <v>14506</v>
      </c>
      <c r="B2082" t="s">
        <v>14507</v>
      </c>
      <c r="C2082" t="s">
        <v>79</v>
      </c>
      <c r="D2082" t="s">
        <v>14508</v>
      </c>
      <c r="E2082" t="s">
        <v>14509</v>
      </c>
      <c r="F2082" t="s">
        <v>2358</v>
      </c>
      <c r="G2082" t="s">
        <v>14510</v>
      </c>
      <c r="H2082" t="s">
        <v>14511</v>
      </c>
      <c r="I2082">
        <f t="shared" ca="1" si="128"/>
        <v>21</v>
      </c>
      <c r="J2082" t="str">
        <f t="shared" ca="1" si="129"/>
        <v>18-29</v>
      </c>
      <c r="K2082">
        <v>79339.95</v>
      </c>
      <c r="L2082" t="str">
        <f>IF(Workforce[[#This Row],[Salary]]&lt;50000,"30k-49k",IF(Workforce[[#This Row],[Salary]]&lt;70000,"50k-69k",IF(Workforce[[#This Row],[Salary]]&lt;90000,"70k-89k","90k+")))</f>
        <v>70k-89k</v>
      </c>
      <c r="M2082" t="s">
        <v>14512</v>
      </c>
      <c r="N2082">
        <f t="shared" ca="1" si="130"/>
        <v>5</v>
      </c>
      <c r="O2082" t="str">
        <f t="shared" ca="1" si="131"/>
        <v>Intermediate level</v>
      </c>
    </row>
    <row r="2083" spans="1:15" x14ac:dyDescent="0.3">
      <c r="A2083" t="s">
        <v>14513</v>
      </c>
      <c r="B2083" t="s">
        <v>14514</v>
      </c>
      <c r="C2083" t="s">
        <v>284</v>
      </c>
      <c r="D2083" t="s">
        <v>14515</v>
      </c>
      <c r="E2083" t="s">
        <v>14516</v>
      </c>
      <c r="F2083" t="s">
        <v>2497</v>
      </c>
      <c r="G2083" t="s">
        <v>14517</v>
      </c>
      <c r="H2083" t="s">
        <v>14518</v>
      </c>
      <c r="I2083">
        <f t="shared" ca="1" si="128"/>
        <v>46</v>
      </c>
      <c r="J2083" t="str">
        <f t="shared" ca="1" si="129"/>
        <v>40-49</v>
      </c>
      <c r="K2083">
        <v>35637.53</v>
      </c>
      <c r="L2083" t="str">
        <f>IF(Workforce[[#This Row],[Salary]]&lt;50000,"30k-49k",IF(Workforce[[#This Row],[Salary]]&lt;70000,"50k-69k",IF(Workforce[[#This Row],[Salary]]&lt;90000,"70k-89k","90k+")))</f>
        <v>30k-49k</v>
      </c>
      <c r="M2083" t="s">
        <v>14519</v>
      </c>
      <c r="N2083">
        <f t="shared" ca="1" si="130"/>
        <v>7</v>
      </c>
      <c r="O2083" t="str">
        <f t="shared" ca="1" si="131"/>
        <v>Senior level</v>
      </c>
    </row>
    <row r="2084" spans="1:15" x14ac:dyDescent="0.3">
      <c r="A2084" t="s">
        <v>14520</v>
      </c>
      <c r="B2084" t="s">
        <v>14521</v>
      </c>
      <c r="C2084" t="s">
        <v>169</v>
      </c>
      <c r="D2084" t="s">
        <v>14522</v>
      </c>
      <c r="E2084" t="s">
        <v>14523</v>
      </c>
      <c r="F2084" t="s">
        <v>1488</v>
      </c>
      <c r="G2084" t="s">
        <v>14524</v>
      </c>
      <c r="H2084" t="s">
        <v>14525</v>
      </c>
      <c r="I2084">
        <f t="shared" ca="1" si="128"/>
        <v>53</v>
      </c>
      <c r="J2084" t="str">
        <f t="shared" ca="1" si="129"/>
        <v>50-59</v>
      </c>
      <c r="K2084">
        <v>48378.03</v>
      </c>
      <c r="L2084" t="str">
        <f>IF(Workforce[[#This Row],[Salary]]&lt;50000,"30k-49k",IF(Workforce[[#This Row],[Salary]]&lt;70000,"50k-69k",IF(Workforce[[#This Row],[Salary]]&lt;90000,"70k-89k","90k+")))</f>
        <v>30k-49k</v>
      </c>
      <c r="M2084" t="s">
        <v>14526</v>
      </c>
      <c r="N2084">
        <f t="shared" ca="1" si="130"/>
        <v>5</v>
      </c>
      <c r="O2084" t="str">
        <f t="shared" ca="1" si="131"/>
        <v>Intermediate level</v>
      </c>
    </row>
    <row r="2085" spans="1:15" x14ac:dyDescent="0.3">
      <c r="A2085" t="s">
        <v>14527</v>
      </c>
      <c r="B2085" t="s">
        <v>14528</v>
      </c>
      <c r="C2085" t="s">
        <v>257</v>
      </c>
      <c r="D2085" t="s">
        <v>14529</v>
      </c>
      <c r="E2085" t="s">
        <v>14530</v>
      </c>
      <c r="F2085" t="s">
        <v>243</v>
      </c>
      <c r="G2085" t="s">
        <v>14531</v>
      </c>
      <c r="H2085" t="s">
        <v>14532</v>
      </c>
      <c r="I2085">
        <f t="shared" ca="1" si="128"/>
        <v>43</v>
      </c>
      <c r="J2085" t="str">
        <f t="shared" ca="1" si="129"/>
        <v>40-49</v>
      </c>
      <c r="K2085">
        <v>68025.72</v>
      </c>
      <c r="L2085" t="str">
        <f>IF(Workforce[[#This Row],[Salary]]&lt;50000,"30k-49k",IF(Workforce[[#This Row],[Salary]]&lt;70000,"50k-69k",IF(Workforce[[#This Row],[Salary]]&lt;90000,"70k-89k","90k+")))</f>
        <v>50k-69k</v>
      </c>
      <c r="M2085" t="s">
        <v>14456</v>
      </c>
      <c r="N2085">
        <f t="shared" ca="1" si="130"/>
        <v>10</v>
      </c>
      <c r="O2085" t="str">
        <f t="shared" ca="1" si="131"/>
        <v>Senior level</v>
      </c>
    </row>
    <row r="2086" spans="1:15" x14ac:dyDescent="0.3">
      <c r="A2086" t="s">
        <v>14533</v>
      </c>
      <c r="B2086" t="s">
        <v>14534</v>
      </c>
      <c r="C2086" t="s">
        <v>115</v>
      </c>
      <c r="D2086" t="s">
        <v>14535</v>
      </c>
      <c r="E2086" t="s">
        <v>14536</v>
      </c>
      <c r="F2086" t="s">
        <v>1226</v>
      </c>
      <c r="G2086" t="s">
        <v>14537</v>
      </c>
      <c r="H2086" t="s">
        <v>14538</v>
      </c>
      <c r="I2086">
        <f t="shared" ca="1" si="128"/>
        <v>22</v>
      </c>
      <c r="J2086" t="str">
        <f t="shared" ca="1" si="129"/>
        <v>18-29</v>
      </c>
      <c r="K2086">
        <v>77782.16</v>
      </c>
      <c r="L2086" t="str">
        <f>IF(Workforce[[#This Row],[Salary]]&lt;50000,"30k-49k",IF(Workforce[[#This Row],[Salary]]&lt;70000,"50k-69k",IF(Workforce[[#This Row],[Salary]]&lt;90000,"70k-89k","90k+")))</f>
        <v>70k-89k</v>
      </c>
      <c r="M2086" t="s">
        <v>14539</v>
      </c>
      <c r="N2086">
        <f t="shared" ca="1" si="130"/>
        <v>4</v>
      </c>
      <c r="O2086" t="str">
        <f t="shared" ca="1" si="131"/>
        <v>Intermediate level</v>
      </c>
    </row>
    <row r="2087" spans="1:15" x14ac:dyDescent="0.3">
      <c r="A2087" t="s">
        <v>14540</v>
      </c>
      <c r="B2087" t="s">
        <v>14541</v>
      </c>
      <c r="C2087" t="s">
        <v>317</v>
      </c>
      <c r="D2087" t="s">
        <v>14542</v>
      </c>
      <c r="E2087" t="s">
        <v>14543</v>
      </c>
      <c r="F2087" t="s">
        <v>2446</v>
      </c>
      <c r="G2087" t="s">
        <v>14544</v>
      </c>
      <c r="H2087" t="s">
        <v>14545</v>
      </c>
      <c r="I2087">
        <f t="shared" ca="1" si="128"/>
        <v>20</v>
      </c>
      <c r="J2087" t="str">
        <f t="shared" ca="1" si="129"/>
        <v>18-29</v>
      </c>
      <c r="K2087">
        <v>96765.56</v>
      </c>
      <c r="L2087" t="str">
        <f>IF(Workforce[[#This Row],[Salary]]&lt;50000,"30k-49k",IF(Workforce[[#This Row],[Salary]]&lt;70000,"50k-69k",IF(Workforce[[#This Row],[Salary]]&lt;90000,"70k-89k","90k+")))</f>
        <v>90k+</v>
      </c>
      <c r="M2087" t="s">
        <v>2778</v>
      </c>
      <c r="N2087">
        <f t="shared" ca="1" si="130"/>
        <v>7</v>
      </c>
      <c r="O2087" t="str">
        <f t="shared" ca="1" si="131"/>
        <v>Senior level</v>
      </c>
    </row>
    <row r="2088" spans="1:15" x14ac:dyDescent="0.3">
      <c r="A2088" t="s">
        <v>14546</v>
      </c>
      <c r="B2088" t="s">
        <v>14547</v>
      </c>
      <c r="C2088" t="s">
        <v>35</v>
      </c>
      <c r="D2088" t="s">
        <v>14548</v>
      </c>
      <c r="E2088" t="s">
        <v>14549</v>
      </c>
      <c r="F2088" t="s">
        <v>14550</v>
      </c>
      <c r="G2088" t="s">
        <v>14551</v>
      </c>
      <c r="H2088" t="s">
        <v>14552</v>
      </c>
      <c r="I2088">
        <f t="shared" ca="1" si="128"/>
        <v>27</v>
      </c>
      <c r="J2088" t="str">
        <f t="shared" ca="1" si="129"/>
        <v>18-29</v>
      </c>
      <c r="K2088">
        <v>69620.740000000005</v>
      </c>
      <c r="L2088" t="str">
        <f>IF(Workforce[[#This Row],[Salary]]&lt;50000,"30k-49k",IF(Workforce[[#This Row],[Salary]]&lt;70000,"50k-69k",IF(Workforce[[#This Row],[Salary]]&lt;90000,"70k-89k","90k+")))</f>
        <v>50k-69k</v>
      </c>
      <c r="M2088" t="s">
        <v>650</v>
      </c>
      <c r="N2088">
        <f t="shared" ca="1" si="130"/>
        <v>1</v>
      </c>
      <c r="O2088" t="str">
        <f t="shared" ca="1" si="131"/>
        <v>Beginner</v>
      </c>
    </row>
    <row r="2089" spans="1:15" x14ac:dyDescent="0.3">
      <c r="A2089" t="s">
        <v>14553</v>
      </c>
      <c r="B2089" t="s">
        <v>14554</v>
      </c>
      <c r="C2089" t="s">
        <v>351</v>
      </c>
      <c r="D2089" t="s">
        <v>14555</v>
      </c>
      <c r="E2089" t="s">
        <v>14556</v>
      </c>
      <c r="F2089" t="s">
        <v>1973</v>
      </c>
      <c r="G2089" t="s">
        <v>14557</v>
      </c>
      <c r="H2089" t="s">
        <v>14558</v>
      </c>
      <c r="I2089">
        <f t="shared" ca="1" si="128"/>
        <v>50</v>
      </c>
      <c r="J2089" t="str">
        <f t="shared" ca="1" si="129"/>
        <v>50-59</v>
      </c>
      <c r="K2089">
        <v>68380.45</v>
      </c>
      <c r="L2089" t="str">
        <f>IF(Workforce[[#This Row],[Salary]]&lt;50000,"30k-49k",IF(Workforce[[#This Row],[Salary]]&lt;70000,"50k-69k",IF(Workforce[[#This Row],[Salary]]&lt;90000,"70k-89k","90k+")))</f>
        <v>50k-69k</v>
      </c>
      <c r="M2089" t="s">
        <v>14559</v>
      </c>
      <c r="N2089">
        <f t="shared" ca="1" si="130"/>
        <v>7</v>
      </c>
      <c r="O2089" t="str">
        <f t="shared" ca="1" si="131"/>
        <v>Senior level</v>
      </c>
    </row>
    <row r="2090" spans="1:15" x14ac:dyDescent="0.3">
      <c r="A2090" t="s">
        <v>14560</v>
      </c>
      <c r="B2090" t="s">
        <v>14561</v>
      </c>
      <c r="C2090" t="s">
        <v>213</v>
      </c>
      <c r="D2090" t="s">
        <v>14562</v>
      </c>
      <c r="E2090" t="s">
        <v>14563</v>
      </c>
      <c r="F2090" t="s">
        <v>2313</v>
      </c>
      <c r="G2090" t="s">
        <v>14564</v>
      </c>
      <c r="H2090" t="s">
        <v>3937</v>
      </c>
      <c r="I2090">
        <f t="shared" ca="1" si="128"/>
        <v>25</v>
      </c>
      <c r="J2090" t="str">
        <f t="shared" ca="1" si="129"/>
        <v>18-29</v>
      </c>
      <c r="K2090">
        <v>71970.039999999994</v>
      </c>
      <c r="L2090" t="str">
        <f>IF(Workforce[[#This Row],[Salary]]&lt;50000,"30k-49k",IF(Workforce[[#This Row],[Salary]]&lt;70000,"50k-69k",IF(Workforce[[#This Row],[Salary]]&lt;90000,"70k-89k","90k+")))</f>
        <v>70k-89k</v>
      </c>
      <c r="M2090" t="s">
        <v>14565</v>
      </c>
      <c r="N2090">
        <f t="shared" ca="1" si="130"/>
        <v>5</v>
      </c>
      <c r="O2090" t="str">
        <f t="shared" ca="1" si="131"/>
        <v>Intermediate level</v>
      </c>
    </row>
    <row r="2091" spans="1:15" x14ac:dyDescent="0.3">
      <c r="A2091" t="s">
        <v>14566</v>
      </c>
      <c r="B2091" t="s">
        <v>14567</v>
      </c>
      <c r="C2091" t="s">
        <v>1043</v>
      </c>
      <c r="D2091" t="s">
        <v>14568</v>
      </c>
      <c r="E2091" t="s">
        <v>14569</v>
      </c>
      <c r="F2091" t="s">
        <v>2416</v>
      </c>
      <c r="G2091" t="s">
        <v>14570</v>
      </c>
      <c r="H2091" t="s">
        <v>3120</v>
      </c>
      <c r="I2091">
        <f t="shared" ca="1" si="128"/>
        <v>52</v>
      </c>
      <c r="J2091" t="str">
        <f t="shared" ca="1" si="129"/>
        <v>50-59</v>
      </c>
      <c r="K2091">
        <v>89803.72</v>
      </c>
      <c r="L2091" t="str">
        <f>IF(Workforce[[#This Row],[Salary]]&lt;50000,"30k-49k",IF(Workforce[[#This Row],[Salary]]&lt;70000,"50k-69k",IF(Workforce[[#This Row],[Salary]]&lt;90000,"70k-89k","90k+")))</f>
        <v>70k-89k</v>
      </c>
      <c r="M2091" t="s">
        <v>14571</v>
      </c>
      <c r="N2091">
        <f t="shared" ca="1" si="130"/>
        <v>5</v>
      </c>
      <c r="O2091" t="str">
        <f t="shared" ca="1" si="131"/>
        <v>Intermediate level</v>
      </c>
    </row>
    <row r="2092" spans="1:15" x14ac:dyDescent="0.3">
      <c r="A2092" t="s">
        <v>14572</v>
      </c>
      <c r="B2092" t="s">
        <v>14573</v>
      </c>
      <c r="C2092" t="s">
        <v>482</v>
      </c>
      <c r="D2092" t="s">
        <v>14574</v>
      </c>
      <c r="E2092" t="s">
        <v>14575</v>
      </c>
      <c r="F2092" t="s">
        <v>792</v>
      </c>
      <c r="G2092" t="s">
        <v>14576</v>
      </c>
      <c r="H2092" t="s">
        <v>14577</v>
      </c>
      <c r="I2092">
        <f t="shared" ca="1" si="128"/>
        <v>20</v>
      </c>
      <c r="J2092" t="str">
        <f t="shared" ca="1" si="129"/>
        <v>18-29</v>
      </c>
      <c r="K2092">
        <v>57824.01</v>
      </c>
      <c r="L2092" t="str">
        <f>IF(Workforce[[#This Row],[Salary]]&lt;50000,"30k-49k",IF(Workforce[[#This Row],[Salary]]&lt;70000,"50k-69k",IF(Workforce[[#This Row],[Salary]]&lt;90000,"70k-89k","90k+")))</f>
        <v>50k-69k</v>
      </c>
      <c r="M2092" t="s">
        <v>9368</v>
      </c>
      <c r="N2092">
        <f t="shared" ca="1" si="130"/>
        <v>4</v>
      </c>
      <c r="O2092" t="str">
        <f t="shared" ca="1" si="131"/>
        <v>Intermediate level</v>
      </c>
    </row>
    <row r="2093" spans="1:15" x14ac:dyDescent="0.3">
      <c r="A2093" t="s">
        <v>14578</v>
      </c>
      <c r="B2093" t="s">
        <v>14579</v>
      </c>
      <c r="C2093" t="s">
        <v>213</v>
      </c>
      <c r="D2093" t="s">
        <v>14580</v>
      </c>
      <c r="E2093" t="s">
        <v>14581</v>
      </c>
      <c r="F2093" t="s">
        <v>6676</v>
      </c>
      <c r="G2093" t="s">
        <v>14582</v>
      </c>
      <c r="H2093" t="s">
        <v>14583</v>
      </c>
      <c r="I2093">
        <f t="shared" ca="1" si="128"/>
        <v>55</v>
      </c>
      <c r="J2093" t="str">
        <f t="shared" ca="1" si="129"/>
        <v>50-59</v>
      </c>
      <c r="K2093">
        <v>118812.97</v>
      </c>
      <c r="L2093" t="str">
        <f>IF(Workforce[[#This Row],[Salary]]&lt;50000,"30k-49k",IF(Workforce[[#This Row],[Salary]]&lt;70000,"50k-69k",IF(Workforce[[#This Row],[Salary]]&lt;90000,"70k-89k","90k+")))</f>
        <v>90k+</v>
      </c>
      <c r="M2093" t="s">
        <v>14584</v>
      </c>
      <c r="N2093">
        <f t="shared" ca="1" si="130"/>
        <v>10</v>
      </c>
      <c r="O2093" t="str">
        <f t="shared" ca="1" si="131"/>
        <v>Senior level</v>
      </c>
    </row>
    <row r="2094" spans="1:15" x14ac:dyDescent="0.3">
      <c r="A2094" t="s">
        <v>14585</v>
      </c>
      <c r="B2094" t="s">
        <v>14586</v>
      </c>
      <c r="C2094" t="s">
        <v>240</v>
      </c>
      <c r="D2094" t="s">
        <v>14587</v>
      </c>
      <c r="E2094" t="s">
        <v>14588</v>
      </c>
      <c r="F2094" t="s">
        <v>5053</v>
      </c>
      <c r="G2094" t="s">
        <v>14589</v>
      </c>
      <c r="H2094" t="s">
        <v>14590</v>
      </c>
      <c r="I2094">
        <f t="shared" ca="1" si="128"/>
        <v>45</v>
      </c>
      <c r="J2094" t="str">
        <f t="shared" ca="1" si="129"/>
        <v>40-49</v>
      </c>
      <c r="K2094">
        <v>109232.29</v>
      </c>
      <c r="L2094" t="str">
        <f>IF(Workforce[[#This Row],[Salary]]&lt;50000,"30k-49k",IF(Workforce[[#This Row],[Salary]]&lt;70000,"50k-69k",IF(Workforce[[#This Row],[Salary]]&lt;90000,"70k-89k","90k+")))</f>
        <v>90k+</v>
      </c>
      <c r="M2094" t="s">
        <v>5568</v>
      </c>
      <c r="N2094">
        <f t="shared" ca="1" si="130"/>
        <v>8</v>
      </c>
      <c r="O2094" t="str">
        <f t="shared" ca="1" si="131"/>
        <v>Senior level</v>
      </c>
    </row>
    <row r="2095" spans="1:15" x14ac:dyDescent="0.3">
      <c r="A2095" t="s">
        <v>14591</v>
      </c>
      <c r="B2095" t="s">
        <v>14592</v>
      </c>
      <c r="C2095" t="s">
        <v>97</v>
      </c>
      <c r="D2095" t="s">
        <v>14593</v>
      </c>
      <c r="E2095" t="s">
        <v>14594</v>
      </c>
      <c r="F2095" t="s">
        <v>3804</v>
      </c>
      <c r="G2095" t="s">
        <v>14595</v>
      </c>
      <c r="H2095" t="s">
        <v>14596</v>
      </c>
      <c r="I2095">
        <f t="shared" ca="1" si="128"/>
        <v>51</v>
      </c>
      <c r="J2095" t="str">
        <f t="shared" ca="1" si="129"/>
        <v>50-59</v>
      </c>
      <c r="K2095">
        <v>99476.12</v>
      </c>
      <c r="L2095" t="str">
        <f>IF(Workforce[[#This Row],[Salary]]&lt;50000,"30k-49k",IF(Workforce[[#This Row],[Salary]]&lt;70000,"50k-69k",IF(Workforce[[#This Row],[Salary]]&lt;90000,"70k-89k","90k+")))</f>
        <v>90k+</v>
      </c>
      <c r="M2095" t="s">
        <v>9450</v>
      </c>
      <c r="N2095">
        <f t="shared" ca="1" si="130"/>
        <v>1</v>
      </c>
      <c r="O2095" t="str">
        <f t="shared" ca="1" si="131"/>
        <v>Beginner</v>
      </c>
    </row>
    <row r="2096" spans="1:15" x14ac:dyDescent="0.3">
      <c r="A2096" t="s">
        <v>14597</v>
      </c>
      <c r="B2096" t="s">
        <v>14598</v>
      </c>
      <c r="C2096" t="s">
        <v>35</v>
      </c>
      <c r="D2096" t="s">
        <v>14599</v>
      </c>
      <c r="E2096" t="s">
        <v>14600</v>
      </c>
      <c r="F2096" t="s">
        <v>4502</v>
      </c>
      <c r="G2096" t="s">
        <v>14601</v>
      </c>
      <c r="H2096" t="s">
        <v>14602</v>
      </c>
      <c r="I2096">
        <f t="shared" ca="1" si="128"/>
        <v>19</v>
      </c>
      <c r="J2096" t="str">
        <f t="shared" ca="1" si="129"/>
        <v>18-29</v>
      </c>
      <c r="K2096">
        <v>115773.81</v>
      </c>
      <c r="L2096" t="str">
        <f>IF(Workforce[[#This Row],[Salary]]&lt;50000,"30k-49k",IF(Workforce[[#This Row],[Salary]]&lt;70000,"50k-69k",IF(Workforce[[#This Row],[Salary]]&lt;90000,"70k-89k","90k+")))</f>
        <v>90k+</v>
      </c>
      <c r="M2096" t="s">
        <v>14603</v>
      </c>
      <c r="N2096">
        <f t="shared" ca="1" si="130"/>
        <v>2</v>
      </c>
      <c r="O2096" t="str">
        <f t="shared" ca="1" si="131"/>
        <v>Beginner</v>
      </c>
    </row>
    <row r="2097" spans="1:15" x14ac:dyDescent="0.3">
      <c r="A2097" t="s">
        <v>14604</v>
      </c>
      <c r="B2097" t="s">
        <v>14605</v>
      </c>
      <c r="C2097" t="s">
        <v>653</v>
      </c>
      <c r="D2097" t="s">
        <v>14606</v>
      </c>
      <c r="E2097" t="s">
        <v>14607</v>
      </c>
      <c r="F2097" t="s">
        <v>14608</v>
      </c>
      <c r="G2097" t="s">
        <v>14609</v>
      </c>
      <c r="H2097" t="s">
        <v>14610</v>
      </c>
      <c r="I2097">
        <f t="shared" ca="1" si="128"/>
        <v>38</v>
      </c>
      <c r="J2097" t="str">
        <f t="shared" ca="1" si="129"/>
        <v>30-39</v>
      </c>
      <c r="K2097">
        <v>45150.65</v>
      </c>
      <c r="L2097" t="str">
        <f>IF(Workforce[[#This Row],[Salary]]&lt;50000,"30k-49k",IF(Workforce[[#This Row],[Salary]]&lt;70000,"50k-69k",IF(Workforce[[#This Row],[Salary]]&lt;90000,"70k-89k","90k+")))</f>
        <v>30k-49k</v>
      </c>
      <c r="M2097" t="s">
        <v>14611</v>
      </c>
      <c r="N2097">
        <f t="shared" ca="1" si="130"/>
        <v>1</v>
      </c>
      <c r="O2097" t="str">
        <f t="shared" ca="1" si="131"/>
        <v>Beginner</v>
      </c>
    </row>
    <row r="2098" spans="1:15" x14ac:dyDescent="0.3">
      <c r="A2098" t="s">
        <v>14612</v>
      </c>
      <c r="B2098" t="s">
        <v>14613</v>
      </c>
      <c r="C2098" t="s">
        <v>1159</v>
      </c>
      <c r="D2098" t="s">
        <v>14614</v>
      </c>
      <c r="E2098" t="s">
        <v>14615</v>
      </c>
      <c r="F2098" t="s">
        <v>4262</v>
      </c>
      <c r="G2098" t="s">
        <v>14616</v>
      </c>
      <c r="H2098" t="s">
        <v>14617</v>
      </c>
      <c r="I2098">
        <f t="shared" ca="1" si="128"/>
        <v>57</v>
      </c>
      <c r="J2098" t="str">
        <f t="shared" ca="1" si="129"/>
        <v>50-59</v>
      </c>
      <c r="K2098">
        <v>105385.16</v>
      </c>
      <c r="L2098" t="str">
        <f>IF(Workforce[[#This Row],[Salary]]&lt;50000,"30k-49k",IF(Workforce[[#This Row],[Salary]]&lt;70000,"50k-69k",IF(Workforce[[#This Row],[Salary]]&lt;90000,"70k-89k","90k+")))</f>
        <v>90k+</v>
      </c>
      <c r="M2098" t="s">
        <v>11038</v>
      </c>
      <c r="N2098">
        <f t="shared" ca="1" si="130"/>
        <v>7</v>
      </c>
      <c r="O2098" t="str">
        <f t="shared" ca="1" si="131"/>
        <v>Senior level</v>
      </c>
    </row>
    <row r="2099" spans="1:15" x14ac:dyDescent="0.3">
      <c r="A2099" t="s">
        <v>14618</v>
      </c>
      <c r="B2099" t="s">
        <v>14619</v>
      </c>
      <c r="C2099" t="s">
        <v>580</v>
      </c>
      <c r="D2099" t="s">
        <v>14620</v>
      </c>
      <c r="E2099" t="s">
        <v>14621</v>
      </c>
      <c r="F2099" t="s">
        <v>1788</v>
      </c>
      <c r="G2099" t="s">
        <v>14622</v>
      </c>
      <c r="H2099" t="s">
        <v>14623</v>
      </c>
      <c r="I2099">
        <f t="shared" ca="1" si="128"/>
        <v>63</v>
      </c>
      <c r="J2099" t="str">
        <f t="shared" ca="1" si="129"/>
        <v>60+</v>
      </c>
      <c r="K2099">
        <v>62432.68</v>
      </c>
      <c r="L2099" t="str">
        <f>IF(Workforce[[#This Row],[Salary]]&lt;50000,"30k-49k",IF(Workforce[[#This Row],[Salary]]&lt;70000,"50k-69k",IF(Workforce[[#This Row],[Salary]]&lt;90000,"70k-89k","90k+")))</f>
        <v>50k-69k</v>
      </c>
      <c r="M2099" t="s">
        <v>3444</v>
      </c>
      <c r="N2099">
        <f t="shared" ca="1" si="130"/>
        <v>1</v>
      </c>
      <c r="O2099" t="str">
        <f t="shared" ca="1" si="131"/>
        <v>Beginner</v>
      </c>
    </row>
    <row r="2100" spans="1:15" x14ac:dyDescent="0.3">
      <c r="A2100" t="s">
        <v>14624</v>
      </c>
      <c r="B2100" t="s">
        <v>14625</v>
      </c>
      <c r="C2100" t="s">
        <v>196</v>
      </c>
      <c r="D2100" t="s">
        <v>14626</v>
      </c>
      <c r="E2100" t="s">
        <v>14627</v>
      </c>
      <c r="F2100" t="s">
        <v>9318</v>
      </c>
      <c r="G2100" t="s">
        <v>14628</v>
      </c>
      <c r="H2100" t="s">
        <v>14629</v>
      </c>
      <c r="I2100">
        <f t="shared" ca="1" si="128"/>
        <v>35</v>
      </c>
      <c r="J2100" t="str">
        <f t="shared" ca="1" si="129"/>
        <v>30-39</v>
      </c>
      <c r="K2100">
        <v>109004.16</v>
      </c>
      <c r="L2100" t="str">
        <f>IF(Workforce[[#This Row],[Salary]]&lt;50000,"30k-49k",IF(Workforce[[#This Row],[Salary]]&lt;70000,"50k-69k",IF(Workforce[[#This Row],[Salary]]&lt;90000,"70k-89k","90k+")))</f>
        <v>90k+</v>
      </c>
      <c r="M2100" t="s">
        <v>7691</v>
      </c>
      <c r="N2100">
        <f t="shared" ca="1" si="130"/>
        <v>4</v>
      </c>
      <c r="O2100" t="str">
        <f t="shared" ca="1" si="131"/>
        <v>Intermediate level</v>
      </c>
    </row>
    <row r="2101" spans="1:15" x14ac:dyDescent="0.3">
      <c r="A2101" t="s">
        <v>14630</v>
      </c>
      <c r="B2101" t="s">
        <v>14631</v>
      </c>
      <c r="C2101" t="s">
        <v>151</v>
      </c>
      <c r="D2101" t="s">
        <v>14632</v>
      </c>
      <c r="E2101" t="s">
        <v>14633</v>
      </c>
      <c r="F2101" t="s">
        <v>702</v>
      </c>
      <c r="G2101" t="s">
        <v>14634</v>
      </c>
      <c r="H2101" t="s">
        <v>14635</v>
      </c>
      <c r="I2101">
        <f t="shared" ca="1" si="128"/>
        <v>40</v>
      </c>
      <c r="J2101" t="str">
        <f t="shared" ca="1" si="129"/>
        <v>40-49</v>
      </c>
      <c r="K2101">
        <v>116226.07</v>
      </c>
      <c r="L2101" t="str">
        <f>IF(Workforce[[#This Row],[Salary]]&lt;50000,"30k-49k",IF(Workforce[[#This Row],[Salary]]&lt;70000,"50k-69k",IF(Workforce[[#This Row],[Salary]]&lt;90000,"70k-89k","90k+")))</f>
        <v>90k+</v>
      </c>
      <c r="M2101" t="s">
        <v>6170</v>
      </c>
      <c r="N2101">
        <f t="shared" ca="1" si="130"/>
        <v>2</v>
      </c>
      <c r="O2101" t="str">
        <f t="shared" ca="1" si="131"/>
        <v>Beginner</v>
      </c>
    </row>
    <row r="2102" spans="1:15" x14ac:dyDescent="0.3">
      <c r="A2102" t="s">
        <v>14636</v>
      </c>
      <c r="B2102" t="s">
        <v>14637</v>
      </c>
      <c r="C2102" t="s">
        <v>440</v>
      </c>
      <c r="D2102" t="s">
        <v>14638</v>
      </c>
      <c r="E2102" t="s">
        <v>14639</v>
      </c>
      <c r="F2102" t="s">
        <v>13590</v>
      </c>
      <c r="G2102" t="s">
        <v>14640</v>
      </c>
      <c r="H2102" t="s">
        <v>14641</v>
      </c>
      <c r="I2102">
        <f t="shared" ca="1" si="128"/>
        <v>56</v>
      </c>
      <c r="J2102" t="str">
        <f t="shared" ca="1" si="129"/>
        <v>50-59</v>
      </c>
      <c r="K2102">
        <v>34997.519999999997</v>
      </c>
      <c r="L2102" t="str">
        <f>IF(Workforce[[#This Row],[Salary]]&lt;50000,"30k-49k",IF(Workforce[[#This Row],[Salary]]&lt;70000,"50k-69k",IF(Workforce[[#This Row],[Salary]]&lt;90000,"70k-89k","90k+")))</f>
        <v>30k-49k</v>
      </c>
      <c r="M2102" t="s">
        <v>14642</v>
      </c>
      <c r="N2102">
        <f t="shared" ca="1" si="130"/>
        <v>8</v>
      </c>
      <c r="O2102" t="str">
        <f t="shared" ca="1" si="131"/>
        <v>Senior level</v>
      </c>
    </row>
    <row r="2103" spans="1:15" x14ac:dyDescent="0.3">
      <c r="A2103" t="s">
        <v>14643</v>
      </c>
      <c r="B2103" t="s">
        <v>14644</v>
      </c>
      <c r="C2103" t="s">
        <v>35</v>
      </c>
      <c r="D2103" t="s">
        <v>14645</v>
      </c>
      <c r="E2103" t="s">
        <v>14646</v>
      </c>
      <c r="F2103" t="s">
        <v>1811</v>
      </c>
      <c r="G2103" t="s">
        <v>14647</v>
      </c>
      <c r="H2103" t="s">
        <v>14648</v>
      </c>
      <c r="I2103">
        <f t="shared" ca="1" si="128"/>
        <v>63</v>
      </c>
      <c r="J2103" t="str">
        <f t="shared" ca="1" si="129"/>
        <v>60+</v>
      </c>
      <c r="K2103">
        <v>75091.25</v>
      </c>
      <c r="L2103" t="str">
        <f>IF(Workforce[[#This Row],[Salary]]&lt;50000,"30k-49k",IF(Workforce[[#This Row],[Salary]]&lt;70000,"50k-69k",IF(Workforce[[#This Row],[Salary]]&lt;90000,"70k-89k","90k+")))</f>
        <v>70k-89k</v>
      </c>
      <c r="M2103" t="s">
        <v>14649</v>
      </c>
      <c r="N2103">
        <f t="shared" ca="1" si="130"/>
        <v>9</v>
      </c>
      <c r="O2103" t="str">
        <f t="shared" ca="1" si="131"/>
        <v>Senior level</v>
      </c>
    </row>
    <row r="2104" spans="1:15" x14ac:dyDescent="0.3">
      <c r="A2104" t="s">
        <v>14650</v>
      </c>
      <c r="B2104" t="s">
        <v>14651</v>
      </c>
      <c r="C2104" t="s">
        <v>774</v>
      </c>
      <c r="D2104" t="s">
        <v>14652</v>
      </c>
      <c r="E2104" t="s">
        <v>14653</v>
      </c>
      <c r="F2104" t="s">
        <v>6175</v>
      </c>
      <c r="G2104" t="s">
        <v>14654</v>
      </c>
      <c r="H2104" t="s">
        <v>6141</v>
      </c>
      <c r="I2104">
        <f t="shared" ca="1" si="128"/>
        <v>64</v>
      </c>
      <c r="J2104" t="str">
        <f t="shared" ca="1" si="129"/>
        <v>60+</v>
      </c>
      <c r="K2104">
        <v>108945.75</v>
      </c>
      <c r="L2104" t="str">
        <f>IF(Workforce[[#This Row],[Salary]]&lt;50000,"30k-49k",IF(Workforce[[#This Row],[Salary]]&lt;70000,"50k-69k",IF(Workforce[[#This Row],[Salary]]&lt;90000,"70k-89k","90k+")))</f>
        <v>90k+</v>
      </c>
      <c r="M2104" t="s">
        <v>1181</v>
      </c>
      <c r="N2104">
        <f t="shared" ca="1" si="130"/>
        <v>2</v>
      </c>
      <c r="O2104" t="str">
        <f t="shared" ca="1" si="131"/>
        <v>Beginner</v>
      </c>
    </row>
    <row r="2105" spans="1:15" x14ac:dyDescent="0.3">
      <c r="A2105" t="s">
        <v>14655</v>
      </c>
      <c r="B2105" t="s">
        <v>14656</v>
      </c>
      <c r="C2105" t="s">
        <v>539</v>
      </c>
      <c r="D2105" t="s">
        <v>14657</v>
      </c>
      <c r="E2105" t="s">
        <v>14658</v>
      </c>
      <c r="F2105" t="s">
        <v>14659</v>
      </c>
      <c r="G2105" t="s">
        <v>14660</v>
      </c>
      <c r="H2105" t="s">
        <v>14661</v>
      </c>
      <c r="I2105">
        <f t="shared" ca="1" si="128"/>
        <v>65</v>
      </c>
      <c r="J2105" t="str">
        <f t="shared" ca="1" si="129"/>
        <v>60+</v>
      </c>
      <c r="K2105">
        <v>72248.479999999996</v>
      </c>
      <c r="L2105" t="str">
        <f>IF(Workforce[[#This Row],[Salary]]&lt;50000,"30k-49k",IF(Workforce[[#This Row],[Salary]]&lt;70000,"50k-69k",IF(Workforce[[#This Row],[Salary]]&lt;90000,"70k-89k","90k+")))</f>
        <v>70k-89k</v>
      </c>
      <c r="M2105" t="s">
        <v>14539</v>
      </c>
      <c r="N2105">
        <f t="shared" ca="1" si="130"/>
        <v>4</v>
      </c>
      <c r="O2105" t="str">
        <f t="shared" ca="1" si="131"/>
        <v>Intermediate level</v>
      </c>
    </row>
    <row r="2106" spans="1:15" x14ac:dyDescent="0.3">
      <c r="A2106" t="s">
        <v>14662</v>
      </c>
      <c r="B2106" t="s">
        <v>14663</v>
      </c>
      <c r="C2106" t="s">
        <v>539</v>
      </c>
      <c r="D2106" t="s">
        <v>14664</v>
      </c>
      <c r="E2106" t="s">
        <v>14665</v>
      </c>
      <c r="F2106" t="s">
        <v>1450</v>
      </c>
      <c r="G2106" t="s">
        <v>14666</v>
      </c>
      <c r="H2106" t="s">
        <v>14667</v>
      </c>
      <c r="I2106">
        <f t="shared" ca="1" si="128"/>
        <v>52</v>
      </c>
      <c r="J2106" t="str">
        <f t="shared" ca="1" si="129"/>
        <v>50-59</v>
      </c>
      <c r="K2106">
        <v>108370.62</v>
      </c>
      <c r="L2106" t="str">
        <f>IF(Workforce[[#This Row],[Salary]]&lt;50000,"30k-49k",IF(Workforce[[#This Row],[Salary]]&lt;70000,"50k-69k",IF(Workforce[[#This Row],[Salary]]&lt;90000,"70k-89k","90k+")))</f>
        <v>90k+</v>
      </c>
      <c r="M2106" t="s">
        <v>14668</v>
      </c>
      <c r="N2106">
        <f t="shared" ca="1" si="130"/>
        <v>8</v>
      </c>
      <c r="O2106" t="str">
        <f t="shared" ca="1" si="131"/>
        <v>Senior level</v>
      </c>
    </row>
    <row r="2107" spans="1:15" x14ac:dyDescent="0.3">
      <c r="A2107" t="s">
        <v>14669</v>
      </c>
      <c r="B2107" t="s">
        <v>14670</v>
      </c>
      <c r="C2107" t="s">
        <v>326</v>
      </c>
      <c r="D2107" t="s">
        <v>14671</v>
      </c>
      <c r="E2107" t="s">
        <v>14672</v>
      </c>
      <c r="F2107" t="s">
        <v>251</v>
      </c>
      <c r="G2107" t="s">
        <v>14673</v>
      </c>
      <c r="H2107" t="s">
        <v>14674</v>
      </c>
      <c r="I2107">
        <f t="shared" ca="1" si="128"/>
        <v>42</v>
      </c>
      <c r="J2107" t="str">
        <f t="shared" ca="1" si="129"/>
        <v>40-49</v>
      </c>
      <c r="K2107">
        <v>119042.43</v>
      </c>
      <c r="L2107" t="str">
        <f>IF(Workforce[[#This Row],[Salary]]&lt;50000,"30k-49k",IF(Workforce[[#This Row],[Salary]]&lt;70000,"50k-69k",IF(Workforce[[#This Row],[Salary]]&lt;90000,"70k-89k","90k+")))</f>
        <v>90k+</v>
      </c>
      <c r="M2107" t="s">
        <v>3340</v>
      </c>
      <c r="N2107">
        <f t="shared" ca="1" si="130"/>
        <v>7</v>
      </c>
      <c r="O2107" t="str">
        <f t="shared" ca="1" si="131"/>
        <v>Senior level</v>
      </c>
    </row>
    <row r="2108" spans="1:15" x14ac:dyDescent="0.3">
      <c r="A2108" t="s">
        <v>14675</v>
      </c>
      <c r="B2108" t="s">
        <v>14676</v>
      </c>
      <c r="C2108" t="s">
        <v>748</v>
      </c>
      <c r="D2108" t="s">
        <v>14677</v>
      </c>
      <c r="E2108" t="s">
        <v>14678</v>
      </c>
      <c r="F2108" t="s">
        <v>1503</v>
      </c>
      <c r="G2108" t="s">
        <v>14679</v>
      </c>
      <c r="H2108" t="s">
        <v>5827</v>
      </c>
      <c r="I2108">
        <f t="shared" ca="1" si="128"/>
        <v>62</v>
      </c>
      <c r="J2108" t="str">
        <f t="shared" ca="1" si="129"/>
        <v>60+</v>
      </c>
      <c r="K2108">
        <v>110226.91</v>
      </c>
      <c r="L2108" t="str">
        <f>IF(Workforce[[#This Row],[Salary]]&lt;50000,"30k-49k",IF(Workforce[[#This Row],[Salary]]&lt;70000,"50k-69k",IF(Workforce[[#This Row],[Salary]]&lt;90000,"70k-89k","90k+")))</f>
        <v>90k+</v>
      </c>
      <c r="M2108" t="s">
        <v>14680</v>
      </c>
      <c r="N2108">
        <f t="shared" ca="1" si="130"/>
        <v>7</v>
      </c>
      <c r="O2108" t="str">
        <f t="shared" ca="1" si="131"/>
        <v>Senior level</v>
      </c>
    </row>
    <row r="2109" spans="1:15" x14ac:dyDescent="0.3">
      <c r="A2109" t="s">
        <v>14681</v>
      </c>
      <c r="B2109" t="s">
        <v>14682</v>
      </c>
      <c r="C2109" t="s">
        <v>35</v>
      </c>
      <c r="D2109" t="s">
        <v>14683</v>
      </c>
      <c r="E2109" t="s">
        <v>14684</v>
      </c>
      <c r="F2109" t="s">
        <v>1145</v>
      </c>
      <c r="G2109" t="s">
        <v>14685</v>
      </c>
      <c r="H2109" t="s">
        <v>9127</v>
      </c>
      <c r="I2109">
        <f t="shared" ca="1" si="128"/>
        <v>49</v>
      </c>
      <c r="J2109" t="str">
        <f t="shared" ca="1" si="129"/>
        <v>40-49</v>
      </c>
      <c r="K2109">
        <v>57942.559999999998</v>
      </c>
      <c r="L2109" t="str">
        <f>IF(Workforce[[#This Row],[Salary]]&lt;50000,"30k-49k",IF(Workforce[[#This Row],[Salary]]&lt;70000,"50k-69k",IF(Workforce[[#This Row],[Salary]]&lt;90000,"70k-89k","90k+")))</f>
        <v>50k-69k</v>
      </c>
      <c r="M2109" t="s">
        <v>9841</v>
      </c>
      <c r="N2109">
        <f t="shared" ca="1" si="130"/>
        <v>1</v>
      </c>
      <c r="O2109" t="str">
        <f t="shared" ca="1" si="131"/>
        <v>Beginner</v>
      </c>
    </row>
    <row r="2110" spans="1:15" x14ac:dyDescent="0.3">
      <c r="A2110" t="s">
        <v>14686</v>
      </c>
      <c r="B2110" t="s">
        <v>14687</v>
      </c>
      <c r="C2110" t="s">
        <v>284</v>
      </c>
      <c r="D2110" t="s">
        <v>14688</v>
      </c>
      <c r="E2110" t="s">
        <v>14689</v>
      </c>
      <c r="F2110" t="s">
        <v>287</v>
      </c>
      <c r="G2110" t="s">
        <v>14690</v>
      </c>
      <c r="H2110" t="s">
        <v>14691</v>
      </c>
      <c r="I2110">
        <f t="shared" ca="1" si="128"/>
        <v>27</v>
      </c>
      <c r="J2110" t="str">
        <f t="shared" ca="1" si="129"/>
        <v>18-29</v>
      </c>
      <c r="K2110">
        <v>41025.1</v>
      </c>
      <c r="L2110" t="str">
        <f>IF(Workforce[[#This Row],[Salary]]&lt;50000,"30k-49k",IF(Workforce[[#This Row],[Salary]]&lt;70000,"50k-69k",IF(Workforce[[#This Row],[Salary]]&lt;90000,"70k-89k","90k+")))</f>
        <v>30k-49k</v>
      </c>
      <c r="M2110" t="s">
        <v>3252</v>
      </c>
      <c r="N2110">
        <f t="shared" ca="1" si="130"/>
        <v>9</v>
      </c>
      <c r="O2110" t="str">
        <f t="shared" ca="1" si="131"/>
        <v>Senior level</v>
      </c>
    </row>
    <row r="2111" spans="1:15" x14ac:dyDescent="0.3">
      <c r="A2111" t="s">
        <v>14692</v>
      </c>
      <c r="B2111" t="s">
        <v>14693</v>
      </c>
      <c r="C2111" t="s">
        <v>757</v>
      </c>
      <c r="D2111" t="s">
        <v>14694</v>
      </c>
      <c r="E2111" t="s">
        <v>14695</v>
      </c>
      <c r="F2111" t="s">
        <v>1626</v>
      </c>
      <c r="G2111" t="s">
        <v>14696</v>
      </c>
      <c r="H2111" t="s">
        <v>14697</v>
      </c>
      <c r="I2111">
        <f t="shared" ca="1" si="128"/>
        <v>26</v>
      </c>
      <c r="J2111" t="str">
        <f t="shared" ca="1" si="129"/>
        <v>18-29</v>
      </c>
      <c r="K2111">
        <v>68335.69</v>
      </c>
      <c r="L2111" t="str">
        <f>IF(Workforce[[#This Row],[Salary]]&lt;50000,"30k-49k",IF(Workforce[[#This Row],[Salary]]&lt;70000,"50k-69k",IF(Workforce[[#This Row],[Salary]]&lt;90000,"70k-89k","90k+")))</f>
        <v>50k-69k</v>
      </c>
      <c r="M2111" t="s">
        <v>13212</v>
      </c>
      <c r="N2111">
        <f t="shared" ca="1" si="130"/>
        <v>6</v>
      </c>
      <c r="O2111" t="str">
        <f t="shared" ca="1" si="131"/>
        <v>Intermediate level</v>
      </c>
    </row>
    <row r="2112" spans="1:15" x14ac:dyDescent="0.3">
      <c r="A2112" t="s">
        <v>14698</v>
      </c>
      <c r="B2112" t="s">
        <v>14699</v>
      </c>
      <c r="C2112" t="s">
        <v>1004</v>
      </c>
      <c r="D2112" t="s">
        <v>14700</v>
      </c>
      <c r="E2112" t="s">
        <v>14701</v>
      </c>
      <c r="F2112" t="s">
        <v>7234</v>
      </c>
      <c r="G2112" t="s">
        <v>14702</v>
      </c>
      <c r="H2112" t="s">
        <v>14703</v>
      </c>
      <c r="I2112">
        <f t="shared" ca="1" si="128"/>
        <v>20</v>
      </c>
      <c r="J2112" t="str">
        <f t="shared" ca="1" si="129"/>
        <v>18-29</v>
      </c>
      <c r="K2112">
        <v>61803.79</v>
      </c>
      <c r="L2112" t="str">
        <f>IF(Workforce[[#This Row],[Salary]]&lt;50000,"30k-49k",IF(Workforce[[#This Row],[Salary]]&lt;70000,"50k-69k",IF(Workforce[[#This Row],[Salary]]&lt;90000,"70k-89k","90k+")))</f>
        <v>50k-69k</v>
      </c>
      <c r="M2112" t="s">
        <v>13653</v>
      </c>
      <c r="N2112">
        <f t="shared" ca="1" si="130"/>
        <v>6</v>
      </c>
      <c r="O2112" t="str">
        <f t="shared" ca="1" si="131"/>
        <v>Intermediate level</v>
      </c>
    </row>
    <row r="2113" spans="1:15" x14ac:dyDescent="0.3">
      <c r="A2113" t="s">
        <v>14704</v>
      </c>
      <c r="B2113" t="s">
        <v>14705</v>
      </c>
      <c r="C2113" t="s">
        <v>222</v>
      </c>
      <c r="D2113" t="s">
        <v>14706</v>
      </c>
      <c r="E2113" t="s">
        <v>14707</v>
      </c>
      <c r="F2113" t="s">
        <v>3404</v>
      </c>
      <c r="G2113" t="s">
        <v>14708</v>
      </c>
      <c r="H2113" t="s">
        <v>14709</v>
      </c>
      <c r="I2113">
        <f t="shared" ca="1" si="128"/>
        <v>65</v>
      </c>
      <c r="J2113" t="str">
        <f t="shared" ca="1" si="129"/>
        <v>60+</v>
      </c>
      <c r="K2113">
        <v>36738.910000000003</v>
      </c>
      <c r="L2113" t="str">
        <f>IF(Workforce[[#This Row],[Salary]]&lt;50000,"30k-49k",IF(Workforce[[#This Row],[Salary]]&lt;70000,"50k-69k",IF(Workforce[[#This Row],[Salary]]&lt;90000,"70k-89k","90k+")))</f>
        <v>30k-49k</v>
      </c>
      <c r="M2113" t="s">
        <v>14710</v>
      </c>
      <c r="N2113">
        <f t="shared" ca="1" si="130"/>
        <v>7</v>
      </c>
      <c r="O2113" t="str">
        <f t="shared" ca="1" si="131"/>
        <v>Senior level</v>
      </c>
    </row>
    <row r="2114" spans="1:15" x14ac:dyDescent="0.3">
      <c r="A2114" t="s">
        <v>14711</v>
      </c>
      <c r="B2114" t="s">
        <v>14712</v>
      </c>
      <c r="C2114" t="s">
        <v>213</v>
      </c>
      <c r="D2114" t="s">
        <v>14713</v>
      </c>
      <c r="E2114" t="s">
        <v>14714</v>
      </c>
      <c r="F2114" t="s">
        <v>1022</v>
      </c>
      <c r="G2114" t="s">
        <v>14715</v>
      </c>
      <c r="H2114" t="s">
        <v>12386</v>
      </c>
      <c r="I2114">
        <f t="shared" ref="I2114:I2177" ca="1" si="132">DATEDIF(H2114,TODAY(),"y")</f>
        <v>22</v>
      </c>
      <c r="J2114" t="str">
        <f t="shared" ref="J2114:J2177" ca="1" si="133">IF(I2114&lt;30,"18-29",IF(I2114&lt;40,"30-39",IF(I2114&lt;50,"40-49",IF(I2114&lt;60,"50-59","60+"))))</f>
        <v>18-29</v>
      </c>
      <c r="K2114">
        <v>118636.5</v>
      </c>
      <c r="L2114" t="str">
        <f>IF(Workforce[[#This Row],[Salary]]&lt;50000,"30k-49k",IF(Workforce[[#This Row],[Salary]]&lt;70000,"50k-69k",IF(Workforce[[#This Row],[Salary]]&lt;90000,"70k-89k","90k+")))</f>
        <v>90k+</v>
      </c>
      <c r="M2114" t="s">
        <v>2492</v>
      </c>
      <c r="N2114">
        <f t="shared" ref="N2114:N2177" ca="1" si="134">DATEDIF(M2114,TODAY(),"y")</f>
        <v>1</v>
      </c>
      <c r="O2114" t="str">
        <f t="shared" ref="O2114:O2177" ca="1" si="135">IF(N2114&lt;=2,"Beginner",IF(N2114&lt;=6,"Intermediate level","Senior level"))</f>
        <v>Beginner</v>
      </c>
    </row>
    <row r="2115" spans="1:15" x14ac:dyDescent="0.3">
      <c r="A2115" t="s">
        <v>14716</v>
      </c>
      <c r="B2115" t="s">
        <v>14717</v>
      </c>
      <c r="C2115" t="s">
        <v>1004</v>
      </c>
      <c r="D2115" t="s">
        <v>14718</v>
      </c>
      <c r="E2115" t="s">
        <v>14719</v>
      </c>
      <c r="F2115" t="s">
        <v>2012</v>
      </c>
      <c r="G2115" t="s">
        <v>14720</v>
      </c>
      <c r="H2115" t="s">
        <v>14721</v>
      </c>
      <c r="I2115">
        <f t="shared" ca="1" si="132"/>
        <v>58</v>
      </c>
      <c r="J2115" t="str">
        <f t="shared" ca="1" si="133"/>
        <v>50-59</v>
      </c>
      <c r="K2115">
        <v>95865.82</v>
      </c>
      <c r="L2115" t="str">
        <f>IF(Workforce[[#This Row],[Salary]]&lt;50000,"30k-49k",IF(Workforce[[#This Row],[Salary]]&lt;70000,"50k-69k",IF(Workforce[[#This Row],[Salary]]&lt;90000,"70k-89k","90k+")))</f>
        <v>90k+</v>
      </c>
      <c r="M2115" t="s">
        <v>9073</v>
      </c>
      <c r="N2115">
        <f t="shared" ca="1" si="134"/>
        <v>1</v>
      </c>
      <c r="O2115" t="str">
        <f t="shared" ca="1" si="135"/>
        <v>Beginner</v>
      </c>
    </row>
    <row r="2116" spans="1:15" x14ac:dyDescent="0.3">
      <c r="A2116" t="s">
        <v>14722</v>
      </c>
      <c r="B2116" t="s">
        <v>14723</v>
      </c>
      <c r="C2116" t="s">
        <v>844</v>
      </c>
      <c r="D2116" t="s">
        <v>14724</v>
      </c>
      <c r="E2116" t="s">
        <v>14725</v>
      </c>
      <c r="F2116" t="s">
        <v>8319</v>
      </c>
      <c r="G2116" t="s">
        <v>14726</v>
      </c>
      <c r="H2116" t="s">
        <v>14727</v>
      </c>
      <c r="I2116">
        <f t="shared" ca="1" si="132"/>
        <v>65</v>
      </c>
      <c r="J2116" t="str">
        <f t="shared" ca="1" si="133"/>
        <v>60+</v>
      </c>
      <c r="K2116">
        <v>70946.78</v>
      </c>
      <c r="L2116" t="str">
        <f>IF(Workforce[[#This Row],[Salary]]&lt;50000,"30k-49k",IF(Workforce[[#This Row],[Salary]]&lt;70000,"50k-69k",IF(Workforce[[#This Row],[Salary]]&lt;90000,"70k-89k","90k+")))</f>
        <v>70k-89k</v>
      </c>
      <c r="M2116" t="s">
        <v>14728</v>
      </c>
      <c r="N2116">
        <f t="shared" ca="1" si="134"/>
        <v>2</v>
      </c>
      <c r="O2116" t="str">
        <f t="shared" ca="1" si="135"/>
        <v>Beginner</v>
      </c>
    </row>
    <row r="2117" spans="1:15" x14ac:dyDescent="0.3">
      <c r="A2117" t="s">
        <v>14729</v>
      </c>
      <c r="B2117" t="s">
        <v>14730</v>
      </c>
      <c r="C2117" t="s">
        <v>231</v>
      </c>
      <c r="D2117" t="s">
        <v>14731</v>
      </c>
      <c r="E2117" t="s">
        <v>14732</v>
      </c>
      <c r="F2117" t="s">
        <v>5053</v>
      </c>
      <c r="G2117" t="s">
        <v>14733</v>
      </c>
      <c r="H2117" t="s">
        <v>14734</v>
      </c>
      <c r="I2117">
        <f t="shared" ca="1" si="132"/>
        <v>34</v>
      </c>
      <c r="J2117" t="str">
        <f t="shared" ca="1" si="133"/>
        <v>30-39</v>
      </c>
      <c r="K2117">
        <v>84251.37</v>
      </c>
      <c r="L2117" t="str">
        <f>IF(Workforce[[#This Row],[Salary]]&lt;50000,"30k-49k",IF(Workforce[[#This Row],[Salary]]&lt;70000,"50k-69k",IF(Workforce[[#This Row],[Salary]]&lt;90000,"70k-89k","90k+")))</f>
        <v>70k-89k</v>
      </c>
      <c r="M2117" t="s">
        <v>5225</v>
      </c>
      <c r="N2117">
        <f t="shared" ca="1" si="134"/>
        <v>1</v>
      </c>
      <c r="O2117" t="str">
        <f t="shared" ca="1" si="135"/>
        <v>Beginner</v>
      </c>
    </row>
    <row r="2118" spans="1:15" x14ac:dyDescent="0.3">
      <c r="A2118" t="s">
        <v>14735</v>
      </c>
      <c r="B2118" t="s">
        <v>14736</v>
      </c>
      <c r="C2118" t="s">
        <v>351</v>
      </c>
      <c r="D2118" t="s">
        <v>14737</v>
      </c>
      <c r="E2118" t="s">
        <v>14738</v>
      </c>
      <c r="F2118" t="s">
        <v>269</v>
      </c>
      <c r="G2118" t="s">
        <v>14739</v>
      </c>
      <c r="H2118" t="s">
        <v>14740</v>
      </c>
      <c r="I2118">
        <f t="shared" ca="1" si="132"/>
        <v>43</v>
      </c>
      <c r="J2118" t="str">
        <f t="shared" ca="1" si="133"/>
        <v>40-49</v>
      </c>
      <c r="K2118">
        <v>36783.07</v>
      </c>
      <c r="L2118" t="str">
        <f>IF(Workforce[[#This Row],[Salary]]&lt;50000,"30k-49k",IF(Workforce[[#This Row],[Salary]]&lt;70000,"50k-69k",IF(Workforce[[#This Row],[Salary]]&lt;90000,"70k-89k","90k+")))</f>
        <v>30k-49k</v>
      </c>
      <c r="M2118" t="s">
        <v>8209</v>
      </c>
      <c r="N2118">
        <f t="shared" ca="1" si="134"/>
        <v>9</v>
      </c>
      <c r="O2118" t="str">
        <f t="shared" ca="1" si="135"/>
        <v>Senior level</v>
      </c>
    </row>
    <row r="2119" spans="1:15" x14ac:dyDescent="0.3">
      <c r="A2119" t="s">
        <v>13690</v>
      </c>
      <c r="B2119" t="s">
        <v>14741</v>
      </c>
      <c r="C2119" t="s">
        <v>257</v>
      </c>
      <c r="D2119" t="s">
        <v>14742</v>
      </c>
      <c r="E2119" t="s">
        <v>14743</v>
      </c>
      <c r="F2119" t="s">
        <v>3308</v>
      </c>
      <c r="G2119" t="s">
        <v>14744</v>
      </c>
      <c r="H2119" t="s">
        <v>14745</v>
      </c>
      <c r="I2119">
        <f t="shared" ca="1" si="132"/>
        <v>39</v>
      </c>
      <c r="J2119" t="str">
        <f t="shared" ca="1" si="133"/>
        <v>30-39</v>
      </c>
      <c r="K2119">
        <v>108176.93</v>
      </c>
      <c r="L2119" t="str">
        <f>IF(Workforce[[#This Row],[Salary]]&lt;50000,"30k-49k",IF(Workforce[[#This Row],[Salary]]&lt;70000,"50k-69k",IF(Workforce[[#This Row],[Salary]]&lt;90000,"70k-89k","90k+")))</f>
        <v>90k+</v>
      </c>
      <c r="M2119" t="s">
        <v>5231</v>
      </c>
      <c r="N2119">
        <f t="shared" ca="1" si="134"/>
        <v>4</v>
      </c>
      <c r="O2119" t="str">
        <f t="shared" ca="1" si="135"/>
        <v>Intermediate level</v>
      </c>
    </row>
    <row r="2120" spans="1:15" x14ac:dyDescent="0.3">
      <c r="A2120" t="s">
        <v>14746</v>
      </c>
      <c r="B2120" t="s">
        <v>14747</v>
      </c>
      <c r="C2120" t="s">
        <v>275</v>
      </c>
      <c r="D2120" t="s">
        <v>14748</v>
      </c>
      <c r="E2120" t="s">
        <v>14749</v>
      </c>
      <c r="F2120" t="s">
        <v>145</v>
      </c>
      <c r="G2120" t="s">
        <v>14750</v>
      </c>
      <c r="H2120" t="s">
        <v>14751</v>
      </c>
      <c r="I2120">
        <f t="shared" ca="1" si="132"/>
        <v>31</v>
      </c>
      <c r="J2120" t="str">
        <f t="shared" ca="1" si="133"/>
        <v>30-39</v>
      </c>
      <c r="K2120">
        <v>83719.91</v>
      </c>
      <c r="L2120" t="str">
        <f>IF(Workforce[[#This Row],[Salary]]&lt;50000,"30k-49k",IF(Workforce[[#This Row],[Salary]]&lt;70000,"50k-69k",IF(Workforce[[#This Row],[Salary]]&lt;90000,"70k-89k","90k+")))</f>
        <v>70k-89k</v>
      </c>
      <c r="M2120" t="s">
        <v>14752</v>
      </c>
      <c r="N2120">
        <f t="shared" ca="1" si="134"/>
        <v>2</v>
      </c>
      <c r="O2120" t="str">
        <f t="shared" ca="1" si="135"/>
        <v>Beginner</v>
      </c>
    </row>
    <row r="2121" spans="1:15" x14ac:dyDescent="0.3">
      <c r="A2121" t="s">
        <v>14753</v>
      </c>
      <c r="B2121" t="s">
        <v>14754</v>
      </c>
      <c r="C2121" t="s">
        <v>1043</v>
      </c>
      <c r="D2121" t="s">
        <v>14755</v>
      </c>
      <c r="E2121" t="s">
        <v>14756</v>
      </c>
      <c r="F2121" t="s">
        <v>1549</v>
      </c>
      <c r="G2121" t="s">
        <v>14757</v>
      </c>
      <c r="H2121" t="s">
        <v>14758</v>
      </c>
      <c r="I2121">
        <f t="shared" ca="1" si="132"/>
        <v>59</v>
      </c>
      <c r="J2121" t="str">
        <f t="shared" ca="1" si="133"/>
        <v>50-59</v>
      </c>
      <c r="K2121">
        <v>80699.11</v>
      </c>
      <c r="L2121" t="str">
        <f>IF(Workforce[[#This Row],[Salary]]&lt;50000,"30k-49k",IF(Workforce[[#This Row],[Salary]]&lt;70000,"50k-69k",IF(Workforce[[#This Row],[Salary]]&lt;90000,"70k-89k","90k+")))</f>
        <v>70k-89k</v>
      </c>
      <c r="M2121" t="s">
        <v>14014</v>
      </c>
      <c r="N2121">
        <f t="shared" ca="1" si="134"/>
        <v>1</v>
      </c>
      <c r="O2121" t="str">
        <f t="shared" ca="1" si="135"/>
        <v>Beginner</v>
      </c>
    </row>
    <row r="2122" spans="1:15" x14ac:dyDescent="0.3">
      <c r="A2122" t="s">
        <v>14759</v>
      </c>
      <c r="B2122" t="s">
        <v>14760</v>
      </c>
      <c r="C2122" t="s">
        <v>604</v>
      </c>
      <c r="D2122" t="s">
        <v>14761</v>
      </c>
      <c r="E2122" t="s">
        <v>14762</v>
      </c>
      <c r="F2122" t="s">
        <v>1084</v>
      </c>
      <c r="G2122" t="s">
        <v>14763</v>
      </c>
      <c r="H2122" t="s">
        <v>14764</v>
      </c>
      <c r="I2122">
        <f t="shared" ca="1" si="132"/>
        <v>54</v>
      </c>
      <c r="J2122" t="str">
        <f t="shared" ca="1" si="133"/>
        <v>50-59</v>
      </c>
      <c r="K2122">
        <v>111770.75</v>
      </c>
      <c r="L2122" t="str">
        <f>IF(Workforce[[#This Row],[Salary]]&lt;50000,"30k-49k",IF(Workforce[[#This Row],[Salary]]&lt;70000,"50k-69k",IF(Workforce[[#This Row],[Salary]]&lt;90000,"70k-89k","90k+")))</f>
        <v>90k+</v>
      </c>
      <c r="M2122" t="s">
        <v>14765</v>
      </c>
      <c r="N2122">
        <f t="shared" ca="1" si="134"/>
        <v>1</v>
      </c>
      <c r="O2122" t="str">
        <f t="shared" ca="1" si="135"/>
        <v>Beginner</v>
      </c>
    </row>
    <row r="2123" spans="1:15" x14ac:dyDescent="0.3">
      <c r="A2123" t="s">
        <v>14766</v>
      </c>
      <c r="B2123" t="s">
        <v>14767</v>
      </c>
      <c r="C2123" t="s">
        <v>44</v>
      </c>
      <c r="D2123" t="s">
        <v>14768</v>
      </c>
      <c r="E2123" t="s">
        <v>14769</v>
      </c>
      <c r="F2123" t="s">
        <v>5010</v>
      </c>
      <c r="G2123" t="s">
        <v>14770</v>
      </c>
      <c r="H2123" t="s">
        <v>14771</v>
      </c>
      <c r="I2123">
        <f t="shared" ca="1" si="132"/>
        <v>54</v>
      </c>
      <c r="J2123" t="str">
        <f t="shared" ca="1" si="133"/>
        <v>50-59</v>
      </c>
      <c r="K2123">
        <v>95864.05</v>
      </c>
      <c r="L2123" t="str">
        <f>IF(Workforce[[#This Row],[Salary]]&lt;50000,"30k-49k",IF(Workforce[[#This Row],[Salary]]&lt;70000,"50k-69k",IF(Workforce[[#This Row],[Salary]]&lt;90000,"70k-89k","90k+")))</f>
        <v>90k+</v>
      </c>
      <c r="M2123" t="s">
        <v>14772</v>
      </c>
      <c r="N2123">
        <f t="shared" ca="1" si="134"/>
        <v>7</v>
      </c>
      <c r="O2123" t="str">
        <f t="shared" ca="1" si="135"/>
        <v>Senior level</v>
      </c>
    </row>
    <row r="2124" spans="1:15" x14ac:dyDescent="0.3">
      <c r="A2124" t="s">
        <v>14773</v>
      </c>
      <c r="B2124" t="s">
        <v>14774</v>
      </c>
      <c r="C2124" t="s">
        <v>35</v>
      </c>
      <c r="D2124" t="s">
        <v>14775</v>
      </c>
      <c r="E2124" t="s">
        <v>14776</v>
      </c>
      <c r="F2124" t="s">
        <v>5031</v>
      </c>
      <c r="G2124" t="s">
        <v>14777</v>
      </c>
      <c r="H2124" t="s">
        <v>14778</v>
      </c>
      <c r="I2124">
        <f t="shared" ca="1" si="132"/>
        <v>31</v>
      </c>
      <c r="J2124" t="str">
        <f t="shared" ca="1" si="133"/>
        <v>30-39</v>
      </c>
      <c r="K2124">
        <v>58360.88</v>
      </c>
      <c r="L2124" t="str">
        <f>IF(Workforce[[#This Row],[Salary]]&lt;50000,"30k-49k",IF(Workforce[[#This Row],[Salary]]&lt;70000,"50k-69k",IF(Workforce[[#This Row],[Salary]]&lt;90000,"70k-89k","90k+")))</f>
        <v>50k-69k</v>
      </c>
      <c r="M2124" t="s">
        <v>8229</v>
      </c>
      <c r="N2124">
        <f t="shared" ca="1" si="134"/>
        <v>1</v>
      </c>
      <c r="O2124" t="str">
        <f t="shared" ca="1" si="135"/>
        <v>Beginner</v>
      </c>
    </row>
    <row r="2125" spans="1:15" x14ac:dyDescent="0.3">
      <c r="A2125" t="s">
        <v>14779</v>
      </c>
      <c r="B2125" t="s">
        <v>14780</v>
      </c>
      <c r="C2125" t="s">
        <v>169</v>
      </c>
      <c r="D2125" t="s">
        <v>14781</v>
      </c>
      <c r="E2125" t="s">
        <v>14782</v>
      </c>
      <c r="F2125" t="s">
        <v>7659</v>
      </c>
      <c r="G2125" t="s">
        <v>14783</v>
      </c>
      <c r="H2125" t="s">
        <v>14784</v>
      </c>
      <c r="I2125">
        <f t="shared" ca="1" si="132"/>
        <v>35</v>
      </c>
      <c r="J2125" t="str">
        <f t="shared" ca="1" si="133"/>
        <v>30-39</v>
      </c>
      <c r="K2125">
        <v>52692.17</v>
      </c>
      <c r="L2125" t="str">
        <f>IF(Workforce[[#This Row],[Salary]]&lt;50000,"30k-49k",IF(Workforce[[#This Row],[Salary]]&lt;70000,"50k-69k",IF(Workforce[[#This Row],[Salary]]&lt;90000,"70k-89k","90k+")))</f>
        <v>50k-69k</v>
      </c>
      <c r="M2125" t="s">
        <v>14785</v>
      </c>
      <c r="N2125">
        <f t="shared" ca="1" si="134"/>
        <v>4</v>
      </c>
      <c r="O2125" t="str">
        <f t="shared" ca="1" si="135"/>
        <v>Intermediate level</v>
      </c>
    </row>
    <row r="2126" spans="1:15" x14ac:dyDescent="0.3">
      <c r="A2126" t="s">
        <v>14786</v>
      </c>
      <c r="B2126" t="s">
        <v>14787</v>
      </c>
      <c r="C2126" t="s">
        <v>400</v>
      </c>
      <c r="D2126" t="s">
        <v>14788</v>
      </c>
      <c r="E2126" t="s">
        <v>14789</v>
      </c>
      <c r="F2126" t="s">
        <v>5729</v>
      </c>
      <c r="G2126" t="s">
        <v>14790</v>
      </c>
      <c r="H2126" t="s">
        <v>14791</v>
      </c>
      <c r="I2126">
        <f t="shared" ca="1" si="132"/>
        <v>64</v>
      </c>
      <c r="J2126" t="str">
        <f t="shared" ca="1" si="133"/>
        <v>60+</v>
      </c>
      <c r="K2126">
        <v>110386.16</v>
      </c>
      <c r="L2126" t="str">
        <f>IF(Workforce[[#This Row],[Salary]]&lt;50000,"30k-49k",IF(Workforce[[#This Row],[Salary]]&lt;70000,"50k-69k",IF(Workforce[[#This Row],[Salary]]&lt;90000,"70k-89k","90k+")))</f>
        <v>90k+</v>
      </c>
      <c r="M2126" t="s">
        <v>13723</v>
      </c>
      <c r="N2126">
        <f t="shared" ca="1" si="134"/>
        <v>6</v>
      </c>
      <c r="O2126" t="str">
        <f t="shared" ca="1" si="135"/>
        <v>Intermediate level</v>
      </c>
    </row>
    <row r="2127" spans="1:15" x14ac:dyDescent="0.3">
      <c r="A2127" t="s">
        <v>14792</v>
      </c>
      <c r="B2127" t="s">
        <v>14793</v>
      </c>
      <c r="C2127" t="s">
        <v>178</v>
      </c>
      <c r="D2127" t="s">
        <v>14794</v>
      </c>
      <c r="E2127" t="s">
        <v>14795</v>
      </c>
      <c r="F2127" t="s">
        <v>9543</v>
      </c>
      <c r="G2127" t="s">
        <v>14796</v>
      </c>
      <c r="H2127" t="s">
        <v>14797</v>
      </c>
      <c r="I2127">
        <f t="shared" ca="1" si="132"/>
        <v>31</v>
      </c>
      <c r="J2127" t="str">
        <f t="shared" ca="1" si="133"/>
        <v>30-39</v>
      </c>
      <c r="K2127">
        <v>103343.82</v>
      </c>
      <c r="L2127" t="str">
        <f>IF(Workforce[[#This Row],[Salary]]&lt;50000,"30k-49k",IF(Workforce[[#This Row],[Salary]]&lt;70000,"50k-69k",IF(Workforce[[#This Row],[Salary]]&lt;90000,"70k-89k","90k+")))</f>
        <v>90k+</v>
      </c>
      <c r="M2127" t="s">
        <v>1737</v>
      </c>
      <c r="N2127">
        <f t="shared" ca="1" si="134"/>
        <v>6</v>
      </c>
      <c r="O2127" t="str">
        <f t="shared" ca="1" si="135"/>
        <v>Intermediate level</v>
      </c>
    </row>
    <row r="2128" spans="1:15" x14ac:dyDescent="0.3">
      <c r="A2128" t="s">
        <v>14798</v>
      </c>
      <c r="B2128" t="s">
        <v>14799</v>
      </c>
      <c r="C2128" t="s">
        <v>275</v>
      </c>
      <c r="D2128" t="s">
        <v>14800</v>
      </c>
      <c r="E2128" t="s">
        <v>14801</v>
      </c>
      <c r="F2128" t="s">
        <v>4887</v>
      </c>
      <c r="G2128" t="s">
        <v>14802</v>
      </c>
      <c r="H2128" t="s">
        <v>14803</v>
      </c>
      <c r="I2128">
        <f t="shared" ca="1" si="132"/>
        <v>61</v>
      </c>
      <c r="J2128" t="str">
        <f t="shared" ca="1" si="133"/>
        <v>60+</v>
      </c>
      <c r="K2128">
        <v>61122.87</v>
      </c>
      <c r="L2128" t="str">
        <f>IF(Workforce[[#This Row],[Salary]]&lt;50000,"30k-49k",IF(Workforce[[#This Row],[Salary]]&lt;70000,"50k-69k",IF(Workforce[[#This Row],[Salary]]&lt;90000,"70k-89k","90k+")))</f>
        <v>50k-69k</v>
      </c>
      <c r="M2128" t="s">
        <v>10124</v>
      </c>
      <c r="N2128">
        <f t="shared" ca="1" si="134"/>
        <v>1</v>
      </c>
      <c r="O2128" t="str">
        <f t="shared" ca="1" si="135"/>
        <v>Beginner</v>
      </c>
    </row>
    <row r="2129" spans="1:15" x14ac:dyDescent="0.3">
      <c r="A2129" t="s">
        <v>14804</v>
      </c>
      <c r="B2129" t="s">
        <v>14805</v>
      </c>
      <c r="C2129" t="s">
        <v>35</v>
      </c>
      <c r="D2129" t="s">
        <v>14806</v>
      </c>
      <c r="E2129" t="s">
        <v>14807</v>
      </c>
      <c r="F2129" t="s">
        <v>14409</v>
      </c>
      <c r="G2129" t="s">
        <v>14808</v>
      </c>
      <c r="H2129" t="s">
        <v>14809</v>
      </c>
      <c r="I2129">
        <f t="shared" ca="1" si="132"/>
        <v>31</v>
      </c>
      <c r="J2129" t="str">
        <f t="shared" ca="1" si="133"/>
        <v>30-39</v>
      </c>
      <c r="K2129">
        <v>88414.33</v>
      </c>
      <c r="L2129" t="str">
        <f>IF(Workforce[[#This Row],[Salary]]&lt;50000,"30k-49k",IF(Workforce[[#This Row],[Salary]]&lt;70000,"50k-69k",IF(Workforce[[#This Row],[Salary]]&lt;90000,"70k-89k","90k+")))</f>
        <v>70k-89k</v>
      </c>
      <c r="M2129" t="s">
        <v>14810</v>
      </c>
      <c r="N2129">
        <f t="shared" ca="1" si="134"/>
        <v>10</v>
      </c>
      <c r="O2129" t="str">
        <f t="shared" ca="1" si="135"/>
        <v>Senior level</v>
      </c>
    </row>
    <row r="2130" spans="1:15" x14ac:dyDescent="0.3">
      <c r="A2130" t="s">
        <v>14811</v>
      </c>
      <c r="B2130" t="s">
        <v>14812</v>
      </c>
      <c r="C2130" t="s">
        <v>257</v>
      </c>
      <c r="D2130" t="s">
        <v>14813</v>
      </c>
      <c r="E2130" t="s">
        <v>14814</v>
      </c>
      <c r="F2130" t="s">
        <v>5293</v>
      </c>
      <c r="G2130" t="s">
        <v>14815</v>
      </c>
      <c r="H2130" t="s">
        <v>14816</v>
      </c>
      <c r="I2130">
        <f t="shared" ca="1" si="132"/>
        <v>50</v>
      </c>
      <c r="J2130" t="str">
        <f t="shared" ca="1" si="133"/>
        <v>50-59</v>
      </c>
      <c r="K2130">
        <v>73309.009999999995</v>
      </c>
      <c r="L2130" t="str">
        <f>IF(Workforce[[#This Row],[Salary]]&lt;50000,"30k-49k",IF(Workforce[[#This Row],[Salary]]&lt;70000,"50k-69k",IF(Workforce[[#This Row],[Salary]]&lt;90000,"70k-89k","90k+")))</f>
        <v>70k-89k</v>
      </c>
      <c r="M2130" t="s">
        <v>14817</v>
      </c>
      <c r="N2130">
        <f t="shared" ca="1" si="134"/>
        <v>2</v>
      </c>
      <c r="O2130" t="str">
        <f t="shared" ca="1" si="135"/>
        <v>Beginner</v>
      </c>
    </row>
    <row r="2131" spans="1:15" x14ac:dyDescent="0.3">
      <c r="A2131" t="s">
        <v>14818</v>
      </c>
      <c r="B2131" t="s">
        <v>14819</v>
      </c>
      <c r="C2131" t="s">
        <v>187</v>
      </c>
      <c r="D2131" t="s">
        <v>14820</v>
      </c>
      <c r="E2131" t="s">
        <v>14821</v>
      </c>
      <c r="F2131" t="s">
        <v>163</v>
      </c>
      <c r="G2131" t="s">
        <v>14822</v>
      </c>
      <c r="H2131" t="s">
        <v>14823</v>
      </c>
      <c r="I2131">
        <f t="shared" ca="1" si="132"/>
        <v>23</v>
      </c>
      <c r="J2131" t="str">
        <f t="shared" ca="1" si="133"/>
        <v>18-29</v>
      </c>
      <c r="K2131">
        <v>36219.230000000003</v>
      </c>
      <c r="L2131" t="str">
        <f>IF(Workforce[[#This Row],[Salary]]&lt;50000,"30k-49k",IF(Workforce[[#This Row],[Salary]]&lt;70000,"50k-69k",IF(Workforce[[#This Row],[Salary]]&lt;90000,"70k-89k","90k+")))</f>
        <v>30k-49k</v>
      </c>
      <c r="M2131" t="s">
        <v>14824</v>
      </c>
      <c r="N2131">
        <f t="shared" ca="1" si="134"/>
        <v>4</v>
      </c>
      <c r="O2131" t="str">
        <f t="shared" ca="1" si="135"/>
        <v>Intermediate level</v>
      </c>
    </row>
    <row r="2132" spans="1:15" x14ac:dyDescent="0.3">
      <c r="A2132" t="s">
        <v>14825</v>
      </c>
      <c r="B2132" t="s">
        <v>14826</v>
      </c>
      <c r="C2132" t="s">
        <v>17</v>
      </c>
      <c r="D2132" t="s">
        <v>14827</v>
      </c>
      <c r="E2132" t="s">
        <v>14828</v>
      </c>
      <c r="F2132" t="s">
        <v>7825</v>
      </c>
      <c r="G2132" t="s">
        <v>14829</v>
      </c>
      <c r="H2132" t="s">
        <v>14830</v>
      </c>
      <c r="I2132">
        <f t="shared" ca="1" si="132"/>
        <v>33</v>
      </c>
      <c r="J2132" t="str">
        <f t="shared" ca="1" si="133"/>
        <v>30-39</v>
      </c>
      <c r="K2132">
        <v>52269.42</v>
      </c>
      <c r="L2132" t="str">
        <f>IF(Workforce[[#This Row],[Salary]]&lt;50000,"30k-49k",IF(Workforce[[#This Row],[Salary]]&lt;70000,"50k-69k",IF(Workforce[[#This Row],[Salary]]&lt;90000,"70k-89k","90k+")))</f>
        <v>50k-69k</v>
      </c>
      <c r="M2132" t="s">
        <v>14831</v>
      </c>
      <c r="N2132">
        <f t="shared" ca="1" si="134"/>
        <v>4</v>
      </c>
      <c r="O2132" t="str">
        <f t="shared" ca="1" si="135"/>
        <v>Intermediate level</v>
      </c>
    </row>
    <row r="2133" spans="1:15" x14ac:dyDescent="0.3">
      <c r="A2133" t="s">
        <v>14832</v>
      </c>
      <c r="B2133" t="s">
        <v>14833</v>
      </c>
      <c r="C2133" t="s">
        <v>70</v>
      </c>
      <c r="D2133" t="s">
        <v>14834</v>
      </c>
      <c r="E2133" t="s">
        <v>14835</v>
      </c>
      <c r="F2133" t="s">
        <v>3986</v>
      </c>
      <c r="G2133" t="s">
        <v>14836</v>
      </c>
      <c r="H2133" t="s">
        <v>778</v>
      </c>
      <c r="I2133">
        <f t="shared" ca="1" si="132"/>
        <v>44</v>
      </c>
      <c r="J2133" t="str">
        <f t="shared" ca="1" si="133"/>
        <v>40-49</v>
      </c>
      <c r="K2133">
        <v>36686.14</v>
      </c>
      <c r="L2133" t="str">
        <f>IF(Workforce[[#This Row],[Salary]]&lt;50000,"30k-49k",IF(Workforce[[#This Row],[Salary]]&lt;70000,"50k-69k",IF(Workforce[[#This Row],[Salary]]&lt;90000,"70k-89k","90k+")))</f>
        <v>30k-49k</v>
      </c>
      <c r="M2133" t="s">
        <v>4426</v>
      </c>
      <c r="N2133">
        <f t="shared" ca="1" si="134"/>
        <v>9</v>
      </c>
      <c r="O2133" t="str">
        <f t="shared" ca="1" si="135"/>
        <v>Senior level</v>
      </c>
    </row>
    <row r="2134" spans="1:15" x14ac:dyDescent="0.3">
      <c r="A2134" t="s">
        <v>14837</v>
      </c>
      <c r="B2134" t="s">
        <v>14838</v>
      </c>
      <c r="C2134" t="s">
        <v>844</v>
      </c>
      <c r="D2134" t="s">
        <v>14839</v>
      </c>
      <c r="E2134" t="s">
        <v>14840</v>
      </c>
      <c r="F2134" t="s">
        <v>5902</v>
      </c>
      <c r="G2134" t="s">
        <v>14841</v>
      </c>
      <c r="H2134" t="s">
        <v>14842</v>
      </c>
      <c r="I2134">
        <f t="shared" ca="1" si="132"/>
        <v>40</v>
      </c>
      <c r="J2134" t="str">
        <f t="shared" ca="1" si="133"/>
        <v>40-49</v>
      </c>
      <c r="K2134">
        <v>84678.82</v>
      </c>
      <c r="L2134" t="str">
        <f>IF(Workforce[[#This Row],[Salary]]&lt;50000,"30k-49k",IF(Workforce[[#This Row],[Salary]]&lt;70000,"50k-69k",IF(Workforce[[#This Row],[Salary]]&lt;90000,"70k-89k","90k+")))</f>
        <v>70k-89k</v>
      </c>
      <c r="M2134" t="s">
        <v>14843</v>
      </c>
      <c r="N2134">
        <f t="shared" ca="1" si="134"/>
        <v>1</v>
      </c>
      <c r="O2134" t="str">
        <f t="shared" ca="1" si="135"/>
        <v>Beginner</v>
      </c>
    </row>
    <row r="2135" spans="1:15" x14ac:dyDescent="0.3">
      <c r="A2135" t="s">
        <v>14844</v>
      </c>
      <c r="B2135" t="s">
        <v>14845</v>
      </c>
      <c r="C2135" t="s">
        <v>106</v>
      </c>
      <c r="D2135" t="s">
        <v>14846</v>
      </c>
      <c r="E2135" t="s">
        <v>14847</v>
      </c>
      <c r="F2135" t="s">
        <v>13986</v>
      </c>
      <c r="G2135" t="s">
        <v>14848</v>
      </c>
      <c r="H2135" t="s">
        <v>14849</v>
      </c>
      <c r="I2135">
        <f t="shared" ca="1" si="132"/>
        <v>58</v>
      </c>
      <c r="J2135" t="str">
        <f t="shared" ca="1" si="133"/>
        <v>50-59</v>
      </c>
      <c r="K2135">
        <v>104500.06</v>
      </c>
      <c r="L2135" t="str">
        <f>IF(Workforce[[#This Row],[Salary]]&lt;50000,"30k-49k",IF(Workforce[[#This Row],[Salary]]&lt;70000,"50k-69k",IF(Workforce[[#This Row],[Salary]]&lt;90000,"70k-89k","90k+")))</f>
        <v>90k+</v>
      </c>
      <c r="M2135" t="s">
        <v>12759</v>
      </c>
      <c r="N2135">
        <f t="shared" ca="1" si="134"/>
        <v>1</v>
      </c>
      <c r="O2135" t="str">
        <f t="shared" ca="1" si="135"/>
        <v>Beginner</v>
      </c>
    </row>
    <row r="2136" spans="1:15" x14ac:dyDescent="0.3">
      <c r="A2136" t="s">
        <v>14850</v>
      </c>
      <c r="B2136" t="s">
        <v>14851</v>
      </c>
      <c r="C2136" t="s">
        <v>774</v>
      </c>
      <c r="D2136" t="s">
        <v>14852</v>
      </c>
      <c r="E2136" t="s">
        <v>14853</v>
      </c>
      <c r="F2136" t="s">
        <v>9543</v>
      </c>
      <c r="G2136" t="s">
        <v>14854</v>
      </c>
      <c r="H2136" t="s">
        <v>1736</v>
      </c>
      <c r="I2136">
        <f t="shared" ca="1" si="132"/>
        <v>65</v>
      </c>
      <c r="J2136" t="str">
        <f t="shared" ca="1" si="133"/>
        <v>60+</v>
      </c>
      <c r="K2136">
        <v>96425.81</v>
      </c>
      <c r="L2136" t="str">
        <f>IF(Workforce[[#This Row],[Salary]]&lt;50000,"30k-49k",IF(Workforce[[#This Row],[Salary]]&lt;70000,"50k-69k",IF(Workforce[[#This Row],[Salary]]&lt;90000,"70k-89k","90k+")))</f>
        <v>90k+</v>
      </c>
      <c r="M2136" t="s">
        <v>14855</v>
      </c>
      <c r="N2136">
        <f t="shared" ca="1" si="134"/>
        <v>1</v>
      </c>
      <c r="O2136" t="str">
        <f t="shared" ca="1" si="135"/>
        <v>Beginner</v>
      </c>
    </row>
    <row r="2137" spans="1:15" x14ac:dyDescent="0.3">
      <c r="A2137" t="s">
        <v>14856</v>
      </c>
      <c r="B2137" t="s">
        <v>14857</v>
      </c>
      <c r="C2137" t="s">
        <v>169</v>
      </c>
      <c r="D2137" t="s">
        <v>14858</v>
      </c>
      <c r="E2137" t="s">
        <v>14859</v>
      </c>
      <c r="F2137" t="s">
        <v>12864</v>
      </c>
      <c r="G2137" t="s">
        <v>14860</v>
      </c>
      <c r="H2137" t="s">
        <v>14861</v>
      </c>
      <c r="I2137">
        <f t="shared" ca="1" si="132"/>
        <v>26</v>
      </c>
      <c r="J2137" t="str">
        <f t="shared" ca="1" si="133"/>
        <v>18-29</v>
      </c>
      <c r="K2137">
        <v>43419.98</v>
      </c>
      <c r="L2137" t="str">
        <f>IF(Workforce[[#This Row],[Salary]]&lt;50000,"30k-49k",IF(Workforce[[#This Row],[Salary]]&lt;70000,"50k-69k",IF(Workforce[[#This Row],[Salary]]&lt;90000,"70k-89k","90k+")))</f>
        <v>30k-49k</v>
      </c>
      <c r="M2137" t="s">
        <v>14862</v>
      </c>
      <c r="N2137">
        <f t="shared" ca="1" si="134"/>
        <v>5</v>
      </c>
      <c r="O2137" t="str">
        <f t="shared" ca="1" si="135"/>
        <v>Intermediate level</v>
      </c>
    </row>
    <row r="2138" spans="1:15" x14ac:dyDescent="0.3">
      <c r="A2138" t="s">
        <v>14863</v>
      </c>
      <c r="B2138" t="s">
        <v>14864</v>
      </c>
      <c r="C2138" t="s">
        <v>284</v>
      </c>
      <c r="D2138" t="s">
        <v>14865</v>
      </c>
      <c r="E2138" t="s">
        <v>14866</v>
      </c>
      <c r="F2138" t="s">
        <v>9373</v>
      </c>
      <c r="G2138" t="s">
        <v>14867</v>
      </c>
      <c r="H2138" t="s">
        <v>14868</v>
      </c>
      <c r="I2138">
        <f t="shared" ca="1" si="132"/>
        <v>56</v>
      </c>
      <c r="J2138" t="str">
        <f t="shared" ca="1" si="133"/>
        <v>50-59</v>
      </c>
      <c r="K2138">
        <v>83336.789999999994</v>
      </c>
      <c r="L2138" t="str">
        <f>IF(Workforce[[#This Row],[Salary]]&lt;50000,"30k-49k",IF(Workforce[[#This Row],[Salary]]&lt;70000,"50k-69k",IF(Workforce[[#This Row],[Salary]]&lt;90000,"70k-89k","90k+")))</f>
        <v>70k-89k</v>
      </c>
      <c r="M2138" t="s">
        <v>14869</v>
      </c>
      <c r="N2138">
        <f t="shared" ca="1" si="134"/>
        <v>1</v>
      </c>
      <c r="O2138" t="str">
        <f t="shared" ca="1" si="135"/>
        <v>Beginner</v>
      </c>
    </row>
    <row r="2139" spans="1:15" x14ac:dyDescent="0.3">
      <c r="A2139" t="s">
        <v>14870</v>
      </c>
      <c r="B2139" t="s">
        <v>14871</v>
      </c>
      <c r="C2139" t="s">
        <v>317</v>
      </c>
      <c r="D2139" t="s">
        <v>14872</v>
      </c>
      <c r="E2139" t="s">
        <v>14873</v>
      </c>
      <c r="F2139" t="s">
        <v>1202</v>
      </c>
      <c r="G2139" t="s">
        <v>14874</v>
      </c>
      <c r="H2139" t="s">
        <v>14875</v>
      </c>
      <c r="I2139">
        <f t="shared" ca="1" si="132"/>
        <v>55</v>
      </c>
      <c r="J2139" t="str">
        <f t="shared" ca="1" si="133"/>
        <v>50-59</v>
      </c>
      <c r="K2139">
        <v>45396.7</v>
      </c>
      <c r="L2139" t="str">
        <f>IF(Workforce[[#This Row],[Salary]]&lt;50000,"30k-49k",IF(Workforce[[#This Row],[Salary]]&lt;70000,"50k-69k",IF(Workforce[[#This Row],[Salary]]&lt;90000,"70k-89k","90k+")))</f>
        <v>30k-49k</v>
      </c>
      <c r="M2139" t="s">
        <v>14876</v>
      </c>
      <c r="N2139">
        <f t="shared" ca="1" si="134"/>
        <v>10</v>
      </c>
      <c r="O2139" t="str">
        <f t="shared" ca="1" si="135"/>
        <v>Senior level</v>
      </c>
    </row>
    <row r="2140" spans="1:15" x14ac:dyDescent="0.3">
      <c r="A2140" t="s">
        <v>14877</v>
      </c>
      <c r="B2140" t="s">
        <v>14878</v>
      </c>
      <c r="C2140" t="s">
        <v>317</v>
      </c>
      <c r="D2140" t="s">
        <v>14879</v>
      </c>
      <c r="E2140" t="s">
        <v>14880</v>
      </c>
      <c r="F2140" t="s">
        <v>12864</v>
      </c>
      <c r="G2140" t="s">
        <v>14881</v>
      </c>
      <c r="H2140" t="s">
        <v>14882</v>
      </c>
      <c r="I2140">
        <f t="shared" ca="1" si="132"/>
        <v>22</v>
      </c>
      <c r="J2140" t="str">
        <f t="shared" ca="1" si="133"/>
        <v>18-29</v>
      </c>
      <c r="K2140">
        <v>110324.01</v>
      </c>
      <c r="L2140" t="str">
        <f>IF(Workforce[[#This Row],[Salary]]&lt;50000,"30k-49k",IF(Workforce[[#This Row],[Salary]]&lt;70000,"50k-69k",IF(Workforce[[#This Row],[Salary]]&lt;90000,"70k-89k","90k+")))</f>
        <v>90k+</v>
      </c>
      <c r="M2140" t="s">
        <v>14883</v>
      </c>
      <c r="N2140">
        <f t="shared" ca="1" si="134"/>
        <v>5</v>
      </c>
      <c r="O2140" t="str">
        <f t="shared" ca="1" si="135"/>
        <v>Intermediate level</v>
      </c>
    </row>
    <row r="2141" spans="1:15" x14ac:dyDescent="0.3">
      <c r="A2141" t="s">
        <v>14884</v>
      </c>
      <c r="B2141" t="s">
        <v>14885</v>
      </c>
      <c r="C2141" t="s">
        <v>1004</v>
      </c>
      <c r="D2141" t="s">
        <v>14886</v>
      </c>
      <c r="E2141" t="s">
        <v>14887</v>
      </c>
      <c r="F2141" t="s">
        <v>1973</v>
      </c>
      <c r="G2141" t="s">
        <v>14888</v>
      </c>
      <c r="H2141" t="s">
        <v>14889</v>
      </c>
      <c r="I2141">
        <f t="shared" ca="1" si="132"/>
        <v>56</v>
      </c>
      <c r="J2141" t="str">
        <f t="shared" ca="1" si="133"/>
        <v>50-59</v>
      </c>
      <c r="K2141">
        <v>108346.68</v>
      </c>
      <c r="L2141" t="str">
        <f>IF(Workforce[[#This Row],[Salary]]&lt;50000,"30k-49k",IF(Workforce[[#This Row],[Salary]]&lt;70000,"50k-69k",IF(Workforce[[#This Row],[Salary]]&lt;90000,"70k-89k","90k+")))</f>
        <v>90k+</v>
      </c>
      <c r="M2141" t="s">
        <v>14890</v>
      </c>
      <c r="N2141">
        <f t="shared" ca="1" si="134"/>
        <v>3</v>
      </c>
      <c r="O2141" t="str">
        <f t="shared" ca="1" si="135"/>
        <v>Intermediate level</v>
      </c>
    </row>
    <row r="2142" spans="1:15" x14ac:dyDescent="0.3">
      <c r="A2142" t="s">
        <v>14891</v>
      </c>
      <c r="B2142" t="s">
        <v>14892</v>
      </c>
      <c r="C2142" t="s">
        <v>351</v>
      </c>
      <c r="D2142" t="s">
        <v>14893</v>
      </c>
      <c r="E2142" t="s">
        <v>14894</v>
      </c>
      <c r="F2142" t="s">
        <v>2540</v>
      </c>
      <c r="G2142" t="s">
        <v>14895</v>
      </c>
      <c r="H2142" t="s">
        <v>14896</v>
      </c>
      <c r="I2142">
        <f t="shared" ca="1" si="132"/>
        <v>38</v>
      </c>
      <c r="J2142" t="str">
        <f t="shared" ca="1" si="133"/>
        <v>30-39</v>
      </c>
      <c r="K2142">
        <v>111519.64</v>
      </c>
      <c r="L2142" t="str">
        <f>IF(Workforce[[#This Row],[Salary]]&lt;50000,"30k-49k",IF(Workforce[[#This Row],[Salary]]&lt;70000,"50k-69k",IF(Workforce[[#This Row],[Salary]]&lt;90000,"70k-89k","90k+")))</f>
        <v>90k+</v>
      </c>
      <c r="M2142" t="s">
        <v>5077</v>
      </c>
      <c r="N2142">
        <f t="shared" ca="1" si="134"/>
        <v>10</v>
      </c>
      <c r="O2142" t="str">
        <f t="shared" ca="1" si="135"/>
        <v>Senior level</v>
      </c>
    </row>
    <row r="2143" spans="1:15" x14ac:dyDescent="0.3">
      <c r="A2143" t="s">
        <v>14897</v>
      </c>
      <c r="B2143" t="s">
        <v>14898</v>
      </c>
      <c r="C2143" t="s">
        <v>231</v>
      </c>
      <c r="D2143" t="s">
        <v>14899</v>
      </c>
      <c r="E2143" t="s">
        <v>14900</v>
      </c>
      <c r="F2143" t="s">
        <v>5559</v>
      </c>
      <c r="G2143" t="s">
        <v>8960</v>
      </c>
      <c r="H2143" t="s">
        <v>14901</v>
      </c>
      <c r="I2143">
        <f t="shared" ca="1" si="132"/>
        <v>34</v>
      </c>
      <c r="J2143" t="str">
        <f t="shared" ca="1" si="133"/>
        <v>30-39</v>
      </c>
      <c r="K2143">
        <v>97810.05</v>
      </c>
      <c r="L2143" t="str">
        <f>IF(Workforce[[#This Row],[Salary]]&lt;50000,"30k-49k",IF(Workforce[[#This Row],[Salary]]&lt;70000,"50k-69k",IF(Workforce[[#This Row],[Salary]]&lt;90000,"70k-89k","90k+")))</f>
        <v>90k+</v>
      </c>
      <c r="M2143" t="s">
        <v>389</v>
      </c>
      <c r="N2143">
        <f t="shared" ca="1" si="134"/>
        <v>9</v>
      </c>
      <c r="O2143" t="str">
        <f t="shared" ca="1" si="135"/>
        <v>Senior level</v>
      </c>
    </row>
    <row r="2144" spans="1:15" x14ac:dyDescent="0.3">
      <c r="A2144" t="s">
        <v>14902</v>
      </c>
      <c r="B2144" t="s">
        <v>14903</v>
      </c>
      <c r="C2144" t="s">
        <v>440</v>
      </c>
      <c r="D2144" t="s">
        <v>14904</v>
      </c>
      <c r="E2144" t="s">
        <v>14905</v>
      </c>
      <c r="F2144" t="s">
        <v>2526</v>
      </c>
      <c r="G2144" t="s">
        <v>14906</v>
      </c>
      <c r="H2144" t="s">
        <v>14907</v>
      </c>
      <c r="I2144">
        <f t="shared" ca="1" si="132"/>
        <v>25</v>
      </c>
      <c r="J2144" t="str">
        <f t="shared" ca="1" si="133"/>
        <v>18-29</v>
      </c>
      <c r="K2144">
        <v>86194.41</v>
      </c>
      <c r="L2144" t="str">
        <f>IF(Workforce[[#This Row],[Salary]]&lt;50000,"30k-49k",IF(Workforce[[#This Row],[Salary]]&lt;70000,"50k-69k",IF(Workforce[[#This Row],[Salary]]&lt;90000,"70k-89k","90k+")))</f>
        <v>70k-89k</v>
      </c>
      <c r="M2144" t="s">
        <v>14908</v>
      </c>
      <c r="N2144">
        <f t="shared" ca="1" si="134"/>
        <v>9</v>
      </c>
      <c r="O2144" t="str">
        <f t="shared" ca="1" si="135"/>
        <v>Senior level</v>
      </c>
    </row>
    <row r="2145" spans="1:15" x14ac:dyDescent="0.3">
      <c r="A2145" t="s">
        <v>14909</v>
      </c>
      <c r="B2145" t="s">
        <v>14910</v>
      </c>
      <c r="C2145" t="s">
        <v>44</v>
      </c>
      <c r="D2145" t="s">
        <v>14911</v>
      </c>
      <c r="E2145" t="s">
        <v>14912</v>
      </c>
      <c r="F2145" t="s">
        <v>4697</v>
      </c>
      <c r="G2145" t="s">
        <v>14913</v>
      </c>
      <c r="H2145" t="s">
        <v>14914</v>
      </c>
      <c r="I2145">
        <f t="shared" ca="1" si="132"/>
        <v>65</v>
      </c>
      <c r="J2145" t="str">
        <f t="shared" ca="1" si="133"/>
        <v>60+</v>
      </c>
      <c r="K2145">
        <v>71371.92</v>
      </c>
      <c r="L2145" t="str">
        <f>IF(Workforce[[#This Row],[Salary]]&lt;50000,"30k-49k",IF(Workforce[[#This Row],[Salary]]&lt;70000,"50k-69k",IF(Workforce[[#This Row],[Salary]]&lt;90000,"70k-89k","90k+")))</f>
        <v>70k-89k</v>
      </c>
      <c r="M2145" t="s">
        <v>9579</v>
      </c>
      <c r="N2145">
        <f t="shared" ca="1" si="134"/>
        <v>2</v>
      </c>
      <c r="O2145" t="str">
        <f t="shared" ca="1" si="135"/>
        <v>Beginner</v>
      </c>
    </row>
    <row r="2146" spans="1:15" x14ac:dyDescent="0.3">
      <c r="A2146" t="s">
        <v>14915</v>
      </c>
      <c r="B2146" t="s">
        <v>14916</v>
      </c>
      <c r="C2146" t="s">
        <v>133</v>
      </c>
      <c r="D2146" t="s">
        <v>14917</v>
      </c>
      <c r="E2146" t="s">
        <v>14918</v>
      </c>
      <c r="F2146" t="s">
        <v>2600</v>
      </c>
      <c r="G2146" t="s">
        <v>14919</v>
      </c>
      <c r="H2146" t="s">
        <v>11392</v>
      </c>
      <c r="I2146">
        <f t="shared" ca="1" si="132"/>
        <v>32</v>
      </c>
      <c r="J2146" t="str">
        <f t="shared" ca="1" si="133"/>
        <v>30-39</v>
      </c>
      <c r="K2146">
        <v>119269.45</v>
      </c>
      <c r="L2146" t="str">
        <f>IF(Workforce[[#This Row],[Salary]]&lt;50000,"30k-49k",IF(Workforce[[#This Row],[Salary]]&lt;70000,"50k-69k",IF(Workforce[[#This Row],[Salary]]&lt;90000,"70k-89k","90k+")))</f>
        <v>90k+</v>
      </c>
      <c r="M2146" t="s">
        <v>14920</v>
      </c>
      <c r="N2146">
        <f t="shared" ca="1" si="134"/>
        <v>5</v>
      </c>
      <c r="O2146" t="str">
        <f t="shared" ca="1" si="135"/>
        <v>Intermediate level</v>
      </c>
    </row>
    <row r="2147" spans="1:15" x14ac:dyDescent="0.3">
      <c r="A2147" t="s">
        <v>14921</v>
      </c>
      <c r="B2147" t="s">
        <v>14922</v>
      </c>
      <c r="C2147" t="s">
        <v>35</v>
      </c>
      <c r="D2147" t="s">
        <v>14923</v>
      </c>
      <c r="E2147" t="s">
        <v>14924</v>
      </c>
      <c r="F2147" t="s">
        <v>7079</v>
      </c>
      <c r="G2147" t="s">
        <v>14925</v>
      </c>
      <c r="H2147" t="s">
        <v>14926</v>
      </c>
      <c r="I2147">
        <f t="shared" ca="1" si="132"/>
        <v>29</v>
      </c>
      <c r="J2147" t="str">
        <f t="shared" ca="1" si="133"/>
        <v>18-29</v>
      </c>
      <c r="K2147">
        <v>33857.72</v>
      </c>
      <c r="L2147" t="str">
        <f>IF(Workforce[[#This Row],[Salary]]&lt;50000,"30k-49k",IF(Workforce[[#This Row],[Salary]]&lt;70000,"50k-69k",IF(Workforce[[#This Row],[Salary]]&lt;90000,"70k-89k","90k+")))</f>
        <v>30k-49k</v>
      </c>
      <c r="M2147" t="s">
        <v>889</v>
      </c>
      <c r="N2147">
        <f t="shared" ca="1" si="134"/>
        <v>9</v>
      </c>
      <c r="O2147" t="str">
        <f t="shared" ca="1" si="135"/>
        <v>Senior level</v>
      </c>
    </row>
    <row r="2148" spans="1:15" x14ac:dyDescent="0.3">
      <c r="A2148" t="s">
        <v>14927</v>
      </c>
      <c r="B2148" t="s">
        <v>14928</v>
      </c>
      <c r="C2148" t="s">
        <v>44</v>
      </c>
      <c r="D2148" t="s">
        <v>14929</v>
      </c>
      <c r="E2148" t="s">
        <v>14930</v>
      </c>
      <c r="F2148" t="s">
        <v>1265</v>
      </c>
      <c r="G2148" t="s">
        <v>14931</v>
      </c>
      <c r="H2148" t="s">
        <v>14932</v>
      </c>
      <c r="I2148">
        <f t="shared" ca="1" si="132"/>
        <v>52</v>
      </c>
      <c r="J2148" t="str">
        <f t="shared" ca="1" si="133"/>
        <v>50-59</v>
      </c>
      <c r="K2148">
        <v>52701.09</v>
      </c>
      <c r="L2148" t="str">
        <f>IF(Workforce[[#This Row],[Salary]]&lt;50000,"30k-49k",IF(Workforce[[#This Row],[Salary]]&lt;70000,"50k-69k",IF(Workforce[[#This Row],[Salary]]&lt;90000,"70k-89k","90k+")))</f>
        <v>50k-69k</v>
      </c>
      <c r="M2148" t="s">
        <v>219</v>
      </c>
      <c r="N2148">
        <f t="shared" ca="1" si="134"/>
        <v>9</v>
      </c>
      <c r="O2148" t="str">
        <f t="shared" ca="1" si="135"/>
        <v>Senior level</v>
      </c>
    </row>
    <row r="2149" spans="1:15" x14ac:dyDescent="0.3">
      <c r="A2149" t="s">
        <v>14933</v>
      </c>
      <c r="B2149" t="s">
        <v>14934</v>
      </c>
      <c r="C2149" t="s">
        <v>257</v>
      </c>
      <c r="D2149" t="s">
        <v>14935</v>
      </c>
      <c r="E2149" t="s">
        <v>14936</v>
      </c>
      <c r="F2149" t="s">
        <v>7446</v>
      </c>
      <c r="G2149" t="s">
        <v>14937</v>
      </c>
      <c r="H2149" t="s">
        <v>14938</v>
      </c>
      <c r="I2149">
        <f t="shared" ca="1" si="132"/>
        <v>50</v>
      </c>
      <c r="J2149" t="str">
        <f t="shared" ca="1" si="133"/>
        <v>50-59</v>
      </c>
      <c r="K2149">
        <v>114690.51</v>
      </c>
      <c r="L2149" t="str">
        <f>IF(Workforce[[#This Row],[Salary]]&lt;50000,"30k-49k",IF(Workforce[[#This Row],[Salary]]&lt;70000,"50k-69k",IF(Workforce[[#This Row],[Salary]]&lt;90000,"70k-89k","90k+")))</f>
        <v>90k+</v>
      </c>
      <c r="M2149" t="s">
        <v>14939</v>
      </c>
      <c r="N2149">
        <f t="shared" ca="1" si="134"/>
        <v>8</v>
      </c>
      <c r="O2149" t="str">
        <f t="shared" ca="1" si="135"/>
        <v>Senior level</v>
      </c>
    </row>
    <row r="2150" spans="1:15" x14ac:dyDescent="0.3">
      <c r="A2150" t="s">
        <v>14940</v>
      </c>
      <c r="B2150" t="s">
        <v>14941</v>
      </c>
      <c r="C2150" t="s">
        <v>457</v>
      </c>
      <c r="D2150" t="s">
        <v>14942</v>
      </c>
      <c r="E2150" t="s">
        <v>14943</v>
      </c>
      <c r="F2150" t="s">
        <v>10538</v>
      </c>
      <c r="G2150" t="s">
        <v>14944</v>
      </c>
      <c r="H2150" t="s">
        <v>14945</v>
      </c>
      <c r="I2150">
        <f t="shared" ca="1" si="132"/>
        <v>42</v>
      </c>
      <c r="J2150" t="str">
        <f t="shared" ca="1" si="133"/>
        <v>40-49</v>
      </c>
      <c r="K2150">
        <v>68226.62</v>
      </c>
      <c r="L2150" t="str">
        <f>IF(Workforce[[#This Row],[Salary]]&lt;50000,"30k-49k",IF(Workforce[[#This Row],[Salary]]&lt;70000,"50k-69k",IF(Workforce[[#This Row],[Salary]]&lt;90000,"70k-89k","90k+")))</f>
        <v>50k-69k</v>
      </c>
      <c r="M2150" t="s">
        <v>14946</v>
      </c>
      <c r="N2150">
        <f t="shared" ca="1" si="134"/>
        <v>6</v>
      </c>
      <c r="O2150" t="str">
        <f t="shared" ca="1" si="135"/>
        <v>Intermediate level</v>
      </c>
    </row>
    <row r="2151" spans="1:15" x14ac:dyDescent="0.3">
      <c r="A2151" t="s">
        <v>14947</v>
      </c>
      <c r="B2151" t="s">
        <v>14948</v>
      </c>
      <c r="C2151" t="s">
        <v>142</v>
      </c>
      <c r="D2151" t="s">
        <v>14949</v>
      </c>
      <c r="E2151" t="s">
        <v>14950</v>
      </c>
      <c r="F2151" t="s">
        <v>451</v>
      </c>
      <c r="G2151" t="s">
        <v>14951</v>
      </c>
      <c r="H2151" t="s">
        <v>14952</v>
      </c>
      <c r="I2151">
        <f t="shared" ca="1" si="132"/>
        <v>52</v>
      </c>
      <c r="J2151" t="str">
        <f t="shared" ca="1" si="133"/>
        <v>50-59</v>
      </c>
      <c r="K2151">
        <v>41929.339999999997</v>
      </c>
      <c r="L2151" t="str">
        <f>IF(Workforce[[#This Row],[Salary]]&lt;50000,"30k-49k",IF(Workforce[[#This Row],[Salary]]&lt;70000,"50k-69k",IF(Workforce[[#This Row],[Salary]]&lt;90000,"70k-89k","90k+")))</f>
        <v>30k-49k</v>
      </c>
      <c r="M2151" t="s">
        <v>9572</v>
      </c>
      <c r="N2151">
        <f t="shared" ca="1" si="134"/>
        <v>5</v>
      </c>
      <c r="O2151" t="str">
        <f t="shared" ca="1" si="135"/>
        <v>Intermediate level</v>
      </c>
    </row>
    <row r="2152" spans="1:15" x14ac:dyDescent="0.3">
      <c r="A2152" t="s">
        <v>14953</v>
      </c>
      <c r="B2152" t="s">
        <v>14954</v>
      </c>
      <c r="C2152" t="s">
        <v>748</v>
      </c>
      <c r="D2152" t="s">
        <v>14955</v>
      </c>
      <c r="E2152" t="s">
        <v>14956</v>
      </c>
      <c r="F2152" t="s">
        <v>583</v>
      </c>
      <c r="G2152" t="s">
        <v>14957</v>
      </c>
      <c r="H2152" t="s">
        <v>14958</v>
      </c>
      <c r="I2152">
        <f t="shared" ca="1" si="132"/>
        <v>39</v>
      </c>
      <c r="J2152" t="str">
        <f t="shared" ca="1" si="133"/>
        <v>30-39</v>
      </c>
      <c r="K2152">
        <v>67618.48</v>
      </c>
      <c r="L2152" t="str">
        <f>IF(Workforce[[#This Row],[Salary]]&lt;50000,"30k-49k",IF(Workforce[[#This Row],[Salary]]&lt;70000,"50k-69k",IF(Workforce[[#This Row],[Salary]]&lt;90000,"70k-89k","90k+")))</f>
        <v>50k-69k</v>
      </c>
      <c r="M2152" t="s">
        <v>14959</v>
      </c>
      <c r="N2152">
        <f t="shared" ca="1" si="134"/>
        <v>7</v>
      </c>
      <c r="O2152" t="str">
        <f t="shared" ca="1" si="135"/>
        <v>Senior level</v>
      </c>
    </row>
    <row r="2153" spans="1:15" x14ac:dyDescent="0.3">
      <c r="A2153" t="s">
        <v>14960</v>
      </c>
      <c r="B2153" t="s">
        <v>14961</v>
      </c>
      <c r="C2153" t="s">
        <v>70</v>
      </c>
      <c r="D2153" t="s">
        <v>14962</v>
      </c>
      <c r="E2153" t="s">
        <v>14963</v>
      </c>
      <c r="F2153" t="s">
        <v>784</v>
      </c>
      <c r="G2153" t="s">
        <v>14964</v>
      </c>
      <c r="H2153" t="s">
        <v>14965</v>
      </c>
      <c r="I2153">
        <f t="shared" ca="1" si="132"/>
        <v>61</v>
      </c>
      <c r="J2153" t="str">
        <f t="shared" ca="1" si="133"/>
        <v>60+</v>
      </c>
      <c r="K2153">
        <v>39372.480000000003</v>
      </c>
      <c r="L2153" t="str">
        <f>IF(Workforce[[#This Row],[Salary]]&lt;50000,"30k-49k",IF(Workforce[[#This Row],[Salary]]&lt;70000,"50k-69k",IF(Workforce[[#This Row],[Salary]]&lt;90000,"70k-89k","90k+")))</f>
        <v>30k-49k</v>
      </c>
      <c r="M2153" t="s">
        <v>14966</v>
      </c>
      <c r="N2153">
        <f t="shared" ca="1" si="134"/>
        <v>7</v>
      </c>
      <c r="O2153" t="str">
        <f t="shared" ca="1" si="135"/>
        <v>Senior level</v>
      </c>
    </row>
    <row r="2154" spans="1:15" x14ac:dyDescent="0.3">
      <c r="A2154" t="s">
        <v>14967</v>
      </c>
      <c r="B2154" t="s">
        <v>14968</v>
      </c>
      <c r="C2154" t="s">
        <v>160</v>
      </c>
      <c r="D2154" t="s">
        <v>14969</v>
      </c>
      <c r="E2154" t="s">
        <v>14970</v>
      </c>
      <c r="F2154" t="s">
        <v>3337</v>
      </c>
      <c r="G2154" t="s">
        <v>14971</v>
      </c>
      <c r="H2154" t="s">
        <v>14972</v>
      </c>
      <c r="I2154">
        <f t="shared" ca="1" si="132"/>
        <v>37</v>
      </c>
      <c r="J2154" t="str">
        <f t="shared" ca="1" si="133"/>
        <v>30-39</v>
      </c>
      <c r="K2154">
        <v>97608.89</v>
      </c>
      <c r="L2154" t="str">
        <f>IF(Workforce[[#This Row],[Salary]]&lt;50000,"30k-49k",IF(Workforce[[#This Row],[Salary]]&lt;70000,"50k-69k",IF(Workforce[[#This Row],[Salary]]&lt;90000,"70k-89k","90k+")))</f>
        <v>90k+</v>
      </c>
      <c r="M2154" t="s">
        <v>14973</v>
      </c>
      <c r="N2154">
        <f t="shared" ca="1" si="134"/>
        <v>3</v>
      </c>
      <c r="O2154" t="str">
        <f t="shared" ca="1" si="135"/>
        <v>Intermediate level</v>
      </c>
    </row>
    <row r="2155" spans="1:15" x14ac:dyDescent="0.3">
      <c r="A2155" t="s">
        <v>14974</v>
      </c>
      <c r="B2155" t="s">
        <v>14975</v>
      </c>
      <c r="C2155" t="s">
        <v>115</v>
      </c>
      <c r="D2155" t="s">
        <v>14976</v>
      </c>
      <c r="E2155" t="s">
        <v>14977</v>
      </c>
      <c r="F2155" t="s">
        <v>6275</v>
      </c>
      <c r="G2155" t="s">
        <v>2283</v>
      </c>
      <c r="H2155" t="s">
        <v>14978</v>
      </c>
      <c r="I2155">
        <f t="shared" ca="1" si="132"/>
        <v>63</v>
      </c>
      <c r="J2155" t="str">
        <f t="shared" ca="1" si="133"/>
        <v>60+</v>
      </c>
      <c r="K2155">
        <v>30904.27</v>
      </c>
      <c r="L2155" t="str">
        <f>IF(Workforce[[#This Row],[Salary]]&lt;50000,"30k-49k",IF(Workforce[[#This Row],[Salary]]&lt;70000,"50k-69k",IF(Workforce[[#This Row],[Salary]]&lt;90000,"70k-89k","90k+")))</f>
        <v>30k-49k</v>
      </c>
      <c r="M2155" t="s">
        <v>12765</v>
      </c>
      <c r="N2155">
        <f t="shared" ca="1" si="134"/>
        <v>1</v>
      </c>
      <c r="O2155" t="str">
        <f t="shared" ca="1" si="135"/>
        <v>Beginner</v>
      </c>
    </row>
    <row r="2156" spans="1:15" x14ac:dyDescent="0.3">
      <c r="A2156" t="s">
        <v>14979</v>
      </c>
      <c r="B2156" t="s">
        <v>14980</v>
      </c>
      <c r="C2156" t="s">
        <v>187</v>
      </c>
      <c r="D2156" t="s">
        <v>14981</v>
      </c>
      <c r="E2156" t="s">
        <v>14982</v>
      </c>
      <c r="F2156" t="s">
        <v>5833</v>
      </c>
      <c r="G2156" t="s">
        <v>14983</v>
      </c>
      <c r="H2156" t="s">
        <v>14984</v>
      </c>
      <c r="I2156">
        <f t="shared" ca="1" si="132"/>
        <v>33</v>
      </c>
      <c r="J2156" t="str">
        <f t="shared" ca="1" si="133"/>
        <v>30-39</v>
      </c>
      <c r="K2156">
        <v>79385.33</v>
      </c>
      <c r="L2156" t="str">
        <f>IF(Workforce[[#This Row],[Salary]]&lt;50000,"30k-49k",IF(Workforce[[#This Row],[Salary]]&lt;70000,"50k-69k",IF(Workforce[[#This Row],[Salary]]&lt;90000,"70k-89k","90k+")))</f>
        <v>70k-89k</v>
      </c>
      <c r="M2156" t="s">
        <v>14985</v>
      </c>
      <c r="N2156">
        <f t="shared" ca="1" si="134"/>
        <v>10</v>
      </c>
      <c r="O2156" t="str">
        <f t="shared" ca="1" si="135"/>
        <v>Senior level</v>
      </c>
    </row>
    <row r="2157" spans="1:15" x14ac:dyDescent="0.3">
      <c r="A2157" t="s">
        <v>14986</v>
      </c>
      <c r="B2157" t="s">
        <v>14987</v>
      </c>
      <c r="C2157" t="s">
        <v>2086</v>
      </c>
      <c r="D2157" t="s">
        <v>14988</v>
      </c>
      <c r="E2157" t="s">
        <v>14989</v>
      </c>
      <c r="F2157" t="s">
        <v>3820</v>
      </c>
      <c r="G2157" t="s">
        <v>14990</v>
      </c>
      <c r="H2157" t="s">
        <v>14991</v>
      </c>
      <c r="I2157">
        <f t="shared" ca="1" si="132"/>
        <v>66</v>
      </c>
      <c r="J2157" t="str">
        <f t="shared" ca="1" si="133"/>
        <v>60+</v>
      </c>
      <c r="K2157">
        <v>42467.5</v>
      </c>
      <c r="L2157" t="str">
        <f>IF(Workforce[[#This Row],[Salary]]&lt;50000,"30k-49k",IF(Workforce[[#This Row],[Salary]]&lt;70000,"50k-69k",IF(Workforce[[#This Row],[Salary]]&lt;90000,"70k-89k","90k+")))</f>
        <v>30k-49k</v>
      </c>
      <c r="M2157" t="s">
        <v>889</v>
      </c>
      <c r="N2157">
        <f t="shared" ca="1" si="134"/>
        <v>9</v>
      </c>
      <c r="O2157" t="str">
        <f t="shared" ca="1" si="135"/>
        <v>Senior level</v>
      </c>
    </row>
    <row r="2158" spans="1:15" x14ac:dyDescent="0.3">
      <c r="A2158" t="s">
        <v>14992</v>
      </c>
      <c r="B2158" t="s">
        <v>14993</v>
      </c>
      <c r="C2158" t="s">
        <v>995</v>
      </c>
      <c r="D2158" t="s">
        <v>14994</v>
      </c>
      <c r="E2158" t="s">
        <v>14995</v>
      </c>
      <c r="F2158" t="s">
        <v>154</v>
      </c>
      <c r="G2158" t="s">
        <v>14996</v>
      </c>
      <c r="H2158" t="s">
        <v>14997</v>
      </c>
      <c r="I2158">
        <f t="shared" ca="1" si="132"/>
        <v>54</v>
      </c>
      <c r="J2158" t="str">
        <f t="shared" ca="1" si="133"/>
        <v>50-59</v>
      </c>
      <c r="K2158">
        <v>75482.97</v>
      </c>
      <c r="L2158" t="str">
        <f>IF(Workforce[[#This Row],[Salary]]&lt;50000,"30k-49k",IF(Workforce[[#This Row],[Salary]]&lt;70000,"50k-69k",IF(Workforce[[#This Row],[Salary]]&lt;90000,"70k-89k","90k+")))</f>
        <v>70k-89k</v>
      </c>
      <c r="M2158" t="s">
        <v>9094</v>
      </c>
      <c r="N2158">
        <f t="shared" ca="1" si="134"/>
        <v>3</v>
      </c>
      <c r="O2158" t="str">
        <f t="shared" ca="1" si="135"/>
        <v>Intermediate level</v>
      </c>
    </row>
    <row r="2159" spans="1:15" x14ac:dyDescent="0.3">
      <c r="A2159" t="s">
        <v>14998</v>
      </c>
      <c r="B2159" t="s">
        <v>14999</v>
      </c>
      <c r="C2159" t="s">
        <v>995</v>
      </c>
      <c r="D2159" t="s">
        <v>15000</v>
      </c>
      <c r="E2159" t="s">
        <v>15001</v>
      </c>
      <c r="F2159" t="s">
        <v>3389</v>
      </c>
      <c r="G2159" t="s">
        <v>15002</v>
      </c>
      <c r="H2159" t="s">
        <v>7908</v>
      </c>
      <c r="I2159">
        <f t="shared" ca="1" si="132"/>
        <v>25</v>
      </c>
      <c r="J2159" t="str">
        <f t="shared" ca="1" si="133"/>
        <v>18-29</v>
      </c>
      <c r="K2159">
        <v>63655.96</v>
      </c>
      <c r="L2159" t="str">
        <f>IF(Workforce[[#This Row],[Salary]]&lt;50000,"30k-49k",IF(Workforce[[#This Row],[Salary]]&lt;70000,"50k-69k",IF(Workforce[[#This Row],[Salary]]&lt;90000,"70k-89k","90k+")))</f>
        <v>50k-69k</v>
      </c>
      <c r="M2159" t="s">
        <v>1506</v>
      </c>
      <c r="N2159">
        <f t="shared" ca="1" si="134"/>
        <v>3</v>
      </c>
      <c r="O2159" t="str">
        <f t="shared" ca="1" si="135"/>
        <v>Intermediate level</v>
      </c>
    </row>
    <row r="2160" spans="1:15" x14ac:dyDescent="0.3">
      <c r="A2160" t="s">
        <v>15003</v>
      </c>
      <c r="B2160" t="s">
        <v>15004</v>
      </c>
      <c r="C2160" t="s">
        <v>44</v>
      </c>
      <c r="D2160" t="s">
        <v>15005</v>
      </c>
      <c r="E2160" t="s">
        <v>15006</v>
      </c>
      <c r="F2160" t="s">
        <v>2178</v>
      </c>
      <c r="G2160" t="s">
        <v>15007</v>
      </c>
      <c r="H2160" t="s">
        <v>15008</v>
      </c>
      <c r="I2160">
        <f t="shared" ca="1" si="132"/>
        <v>30</v>
      </c>
      <c r="J2160" t="str">
        <f t="shared" ca="1" si="133"/>
        <v>30-39</v>
      </c>
      <c r="K2160">
        <v>118496.13</v>
      </c>
      <c r="L2160" t="str">
        <f>IF(Workforce[[#This Row],[Salary]]&lt;50000,"30k-49k",IF(Workforce[[#This Row],[Salary]]&lt;70000,"50k-69k",IF(Workforce[[#This Row],[Salary]]&lt;90000,"70k-89k","90k+")))</f>
        <v>90k+</v>
      </c>
      <c r="M2160" t="s">
        <v>15009</v>
      </c>
      <c r="N2160">
        <f t="shared" ca="1" si="134"/>
        <v>8</v>
      </c>
      <c r="O2160" t="str">
        <f t="shared" ca="1" si="135"/>
        <v>Senior level</v>
      </c>
    </row>
    <row r="2161" spans="1:15" x14ac:dyDescent="0.3">
      <c r="A2161" t="s">
        <v>15010</v>
      </c>
      <c r="B2161" t="s">
        <v>15011</v>
      </c>
      <c r="C2161" t="s">
        <v>151</v>
      </c>
      <c r="D2161" t="s">
        <v>15012</v>
      </c>
      <c r="E2161" t="s">
        <v>15013</v>
      </c>
      <c r="F2161" t="s">
        <v>3441</v>
      </c>
      <c r="G2161" t="s">
        <v>15014</v>
      </c>
      <c r="H2161" t="s">
        <v>12399</v>
      </c>
      <c r="I2161">
        <f t="shared" ca="1" si="132"/>
        <v>30</v>
      </c>
      <c r="J2161" t="str">
        <f t="shared" ca="1" si="133"/>
        <v>30-39</v>
      </c>
      <c r="K2161">
        <v>57665.08</v>
      </c>
      <c r="L2161" t="str">
        <f>IF(Workforce[[#This Row],[Salary]]&lt;50000,"30k-49k",IF(Workforce[[#This Row],[Salary]]&lt;70000,"50k-69k",IF(Workforce[[#This Row],[Salary]]&lt;90000,"70k-89k","90k+")))</f>
        <v>50k-69k</v>
      </c>
      <c r="M2161" t="s">
        <v>8470</v>
      </c>
      <c r="N2161">
        <f t="shared" ca="1" si="134"/>
        <v>2</v>
      </c>
      <c r="O2161" t="str">
        <f t="shared" ca="1" si="135"/>
        <v>Beginner</v>
      </c>
    </row>
    <row r="2162" spans="1:15" x14ac:dyDescent="0.3">
      <c r="A2162" t="s">
        <v>15015</v>
      </c>
      <c r="B2162" t="s">
        <v>15016</v>
      </c>
      <c r="C2162" t="s">
        <v>222</v>
      </c>
      <c r="D2162" t="s">
        <v>15017</v>
      </c>
      <c r="E2162" t="s">
        <v>15018</v>
      </c>
      <c r="F2162" t="s">
        <v>9070</v>
      </c>
      <c r="G2162" t="s">
        <v>15019</v>
      </c>
      <c r="H2162" t="s">
        <v>15020</v>
      </c>
      <c r="I2162">
        <f t="shared" ca="1" si="132"/>
        <v>28</v>
      </c>
      <c r="J2162" t="str">
        <f t="shared" ca="1" si="133"/>
        <v>18-29</v>
      </c>
      <c r="K2162">
        <v>77607.88</v>
      </c>
      <c r="L2162" t="str">
        <f>IF(Workforce[[#This Row],[Salary]]&lt;50000,"30k-49k",IF(Workforce[[#This Row],[Salary]]&lt;70000,"50k-69k",IF(Workforce[[#This Row],[Salary]]&lt;90000,"70k-89k","90k+")))</f>
        <v>70k-89k</v>
      </c>
      <c r="M2162" t="s">
        <v>15021</v>
      </c>
      <c r="N2162">
        <f t="shared" ca="1" si="134"/>
        <v>3</v>
      </c>
      <c r="O2162" t="str">
        <f t="shared" ca="1" si="135"/>
        <v>Intermediate level</v>
      </c>
    </row>
    <row r="2163" spans="1:15" x14ac:dyDescent="0.3">
      <c r="A2163" t="s">
        <v>15022</v>
      </c>
      <c r="B2163" t="s">
        <v>15023</v>
      </c>
      <c r="C2163" t="s">
        <v>774</v>
      </c>
      <c r="D2163" t="s">
        <v>15024</v>
      </c>
      <c r="E2163" t="s">
        <v>15025</v>
      </c>
      <c r="F2163" t="s">
        <v>14608</v>
      </c>
      <c r="G2163" t="s">
        <v>15026</v>
      </c>
      <c r="H2163" t="s">
        <v>15027</v>
      </c>
      <c r="I2163">
        <f t="shared" ca="1" si="132"/>
        <v>44</v>
      </c>
      <c r="J2163" t="str">
        <f t="shared" ca="1" si="133"/>
        <v>40-49</v>
      </c>
      <c r="K2163">
        <v>91316.34</v>
      </c>
      <c r="L2163" t="str">
        <f>IF(Workforce[[#This Row],[Salary]]&lt;50000,"30k-49k",IF(Workforce[[#This Row],[Salary]]&lt;70000,"50k-69k",IF(Workforce[[#This Row],[Salary]]&lt;90000,"70k-89k","90k+")))</f>
        <v>90k+</v>
      </c>
      <c r="M2163" t="s">
        <v>15028</v>
      </c>
      <c r="N2163">
        <f t="shared" ca="1" si="134"/>
        <v>2</v>
      </c>
      <c r="O2163" t="str">
        <f t="shared" ca="1" si="135"/>
        <v>Beginner</v>
      </c>
    </row>
    <row r="2164" spans="1:15" x14ac:dyDescent="0.3">
      <c r="A2164" t="s">
        <v>15029</v>
      </c>
      <c r="B2164" t="s">
        <v>15030</v>
      </c>
      <c r="C2164" t="s">
        <v>757</v>
      </c>
      <c r="D2164" t="s">
        <v>15031</v>
      </c>
      <c r="E2164" t="s">
        <v>15032</v>
      </c>
      <c r="F2164" t="s">
        <v>15033</v>
      </c>
      <c r="G2164" t="s">
        <v>15034</v>
      </c>
      <c r="H2164" t="s">
        <v>15035</v>
      </c>
      <c r="I2164">
        <f t="shared" ca="1" si="132"/>
        <v>42</v>
      </c>
      <c r="J2164" t="str">
        <f t="shared" ca="1" si="133"/>
        <v>40-49</v>
      </c>
      <c r="K2164">
        <v>56920.76</v>
      </c>
      <c r="L2164" t="str">
        <f>IF(Workforce[[#This Row],[Salary]]&lt;50000,"30k-49k",IF(Workforce[[#This Row],[Salary]]&lt;70000,"50k-69k",IF(Workforce[[#This Row],[Salary]]&lt;90000,"70k-89k","90k+")))</f>
        <v>50k-69k</v>
      </c>
      <c r="M2164" t="s">
        <v>15036</v>
      </c>
      <c r="N2164">
        <f t="shared" ca="1" si="134"/>
        <v>5</v>
      </c>
      <c r="O2164" t="str">
        <f t="shared" ca="1" si="135"/>
        <v>Intermediate level</v>
      </c>
    </row>
    <row r="2165" spans="1:15" x14ac:dyDescent="0.3">
      <c r="A2165" t="s">
        <v>15037</v>
      </c>
      <c r="B2165" t="s">
        <v>15038</v>
      </c>
      <c r="C2165" t="s">
        <v>539</v>
      </c>
      <c r="D2165" t="s">
        <v>15039</v>
      </c>
      <c r="E2165" t="s">
        <v>15040</v>
      </c>
      <c r="F2165" t="s">
        <v>8764</v>
      </c>
      <c r="G2165" t="s">
        <v>15041</v>
      </c>
      <c r="H2165" t="s">
        <v>15042</v>
      </c>
      <c r="I2165">
        <f t="shared" ca="1" si="132"/>
        <v>54</v>
      </c>
      <c r="J2165" t="str">
        <f t="shared" ca="1" si="133"/>
        <v>50-59</v>
      </c>
      <c r="K2165">
        <v>117625.84</v>
      </c>
      <c r="L2165" t="str">
        <f>IF(Workforce[[#This Row],[Salary]]&lt;50000,"30k-49k",IF(Workforce[[#This Row],[Salary]]&lt;70000,"50k-69k",IF(Workforce[[#This Row],[Salary]]&lt;90000,"70k-89k","90k+")))</f>
        <v>90k+</v>
      </c>
      <c r="M2165" t="s">
        <v>15043</v>
      </c>
      <c r="N2165">
        <f t="shared" ca="1" si="134"/>
        <v>9</v>
      </c>
      <c r="O2165" t="str">
        <f t="shared" ca="1" si="135"/>
        <v>Senior level</v>
      </c>
    </row>
    <row r="2166" spans="1:15" x14ac:dyDescent="0.3">
      <c r="A2166" t="s">
        <v>15044</v>
      </c>
      <c r="B2166" t="s">
        <v>15045</v>
      </c>
      <c r="C2166" t="s">
        <v>457</v>
      </c>
      <c r="D2166" t="s">
        <v>15046</v>
      </c>
      <c r="E2166" t="s">
        <v>15047</v>
      </c>
      <c r="F2166" t="s">
        <v>3141</v>
      </c>
      <c r="G2166" t="s">
        <v>15048</v>
      </c>
      <c r="H2166" t="s">
        <v>15049</v>
      </c>
      <c r="I2166">
        <f t="shared" ca="1" si="132"/>
        <v>56</v>
      </c>
      <c r="J2166" t="str">
        <f t="shared" ca="1" si="133"/>
        <v>50-59</v>
      </c>
      <c r="K2166">
        <v>84342.99</v>
      </c>
      <c r="L2166" t="str">
        <f>IF(Workforce[[#This Row],[Salary]]&lt;50000,"30k-49k",IF(Workforce[[#This Row],[Salary]]&lt;70000,"50k-69k",IF(Workforce[[#This Row],[Salary]]&lt;90000,"70k-89k","90k+")))</f>
        <v>70k-89k</v>
      </c>
      <c r="M2166" t="s">
        <v>3628</v>
      </c>
      <c r="N2166">
        <f t="shared" ca="1" si="134"/>
        <v>7</v>
      </c>
      <c r="O2166" t="str">
        <f t="shared" ca="1" si="135"/>
        <v>Senior level</v>
      </c>
    </row>
    <row r="2167" spans="1:15" x14ac:dyDescent="0.3">
      <c r="A2167" t="s">
        <v>15050</v>
      </c>
      <c r="B2167" t="s">
        <v>15051</v>
      </c>
      <c r="C2167" t="s">
        <v>1159</v>
      </c>
      <c r="D2167" t="s">
        <v>15052</v>
      </c>
      <c r="E2167" t="s">
        <v>15053</v>
      </c>
      <c r="F2167" t="s">
        <v>2638</v>
      </c>
      <c r="G2167" t="s">
        <v>15054</v>
      </c>
      <c r="H2167" t="s">
        <v>15055</v>
      </c>
      <c r="I2167">
        <f t="shared" ca="1" si="132"/>
        <v>37</v>
      </c>
      <c r="J2167" t="str">
        <f t="shared" ca="1" si="133"/>
        <v>30-39</v>
      </c>
      <c r="K2167">
        <v>114990.42</v>
      </c>
      <c r="L2167" t="str">
        <f>IF(Workforce[[#This Row],[Salary]]&lt;50000,"30k-49k",IF(Workforce[[#This Row],[Salary]]&lt;70000,"50k-69k",IF(Workforce[[#This Row],[Salary]]&lt;90000,"70k-89k","90k+")))</f>
        <v>90k+</v>
      </c>
      <c r="M2167" t="s">
        <v>15056</v>
      </c>
      <c r="N2167">
        <f t="shared" ca="1" si="134"/>
        <v>10</v>
      </c>
      <c r="O2167" t="str">
        <f t="shared" ca="1" si="135"/>
        <v>Senior level</v>
      </c>
    </row>
    <row r="2168" spans="1:15" x14ac:dyDescent="0.3">
      <c r="A2168" t="s">
        <v>15057</v>
      </c>
      <c r="B2168" t="s">
        <v>15058</v>
      </c>
      <c r="C2168" t="s">
        <v>2086</v>
      </c>
      <c r="D2168" t="s">
        <v>15059</v>
      </c>
      <c r="E2168" t="s">
        <v>15060</v>
      </c>
      <c r="F2168" t="s">
        <v>598</v>
      </c>
      <c r="G2168" t="s">
        <v>15061</v>
      </c>
      <c r="H2168" t="s">
        <v>15062</v>
      </c>
      <c r="I2168">
        <f t="shared" ca="1" si="132"/>
        <v>37</v>
      </c>
      <c r="J2168" t="str">
        <f t="shared" ca="1" si="133"/>
        <v>30-39</v>
      </c>
      <c r="K2168">
        <v>35677.21</v>
      </c>
      <c r="L2168" t="str">
        <f>IF(Workforce[[#This Row],[Salary]]&lt;50000,"30k-49k",IF(Workforce[[#This Row],[Salary]]&lt;70000,"50k-69k",IF(Workforce[[#This Row],[Salary]]&lt;90000,"70k-89k","90k+")))</f>
        <v>30k-49k</v>
      </c>
      <c r="M2168" t="s">
        <v>15063</v>
      </c>
      <c r="N2168">
        <f t="shared" ca="1" si="134"/>
        <v>0</v>
      </c>
      <c r="O2168" t="str">
        <f t="shared" ca="1" si="135"/>
        <v>Beginner</v>
      </c>
    </row>
    <row r="2169" spans="1:15" x14ac:dyDescent="0.3">
      <c r="A2169" t="s">
        <v>15064</v>
      </c>
      <c r="B2169" t="s">
        <v>15065</v>
      </c>
      <c r="C2169" t="s">
        <v>748</v>
      </c>
      <c r="D2169" t="s">
        <v>15066</v>
      </c>
      <c r="E2169" t="s">
        <v>15067</v>
      </c>
      <c r="F2169" t="s">
        <v>7218</v>
      </c>
      <c r="G2169" t="s">
        <v>15068</v>
      </c>
      <c r="H2169" t="s">
        <v>15069</v>
      </c>
      <c r="I2169">
        <f t="shared" ca="1" si="132"/>
        <v>32</v>
      </c>
      <c r="J2169" t="str">
        <f t="shared" ca="1" si="133"/>
        <v>30-39</v>
      </c>
      <c r="K2169">
        <v>55421.08</v>
      </c>
      <c r="L2169" t="str">
        <f>IF(Workforce[[#This Row],[Salary]]&lt;50000,"30k-49k",IF(Workforce[[#This Row],[Salary]]&lt;70000,"50k-69k",IF(Workforce[[#This Row],[Salary]]&lt;90000,"70k-89k","90k+")))</f>
        <v>50k-69k</v>
      </c>
      <c r="M2169" t="s">
        <v>4998</v>
      </c>
      <c r="N2169">
        <f t="shared" ca="1" si="134"/>
        <v>1</v>
      </c>
      <c r="O2169" t="str">
        <f t="shared" ca="1" si="135"/>
        <v>Beginner</v>
      </c>
    </row>
    <row r="2170" spans="1:15" x14ac:dyDescent="0.3">
      <c r="A2170" t="s">
        <v>15070</v>
      </c>
      <c r="B2170" t="s">
        <v>15071</v>
      </c>
      <c r="C2170" t="s">
        <v>115</v>
      </c>
      <c r="D2170" t="s">
        <v>15072</v>
      </c>
      <c r="E2170" t="s">
        <v>15073</v>
      </c>
      <c r="F2170" t="s">
        <v>501</v>
      </c>
      <c r="G2170" t="s">
        <v>15074</v>
      </c>
      <c r="H2170" t="s">
        <v>1736</v>
      </c>
      <c r="I2170">
        <f t="shared" ca="1" si="132"/>
        <v>65</v>
      </c>
      <c r="J2170" t="str">
        <f t="shared" ca="1" si="133"/>
        <v>60+</v>
      </c>
      <c r="K2170">
        <v>90186.79</v>
      </c>
      <c r="L2170" t="str">
        <f>IF(Workforce[[#This Row],[Salary]]&lt;50000,"30k-49k",IF(Workforce[[#This Row],[Salary]]&lt;70000,"50k-69k",IF(Workforce[[#This Row],[Salary]]&lt;90000,"70k-89k","90k+")))</f>
        <v>90k+</v>
      </c>
      <c r="M2170" t="s">
        <v>15075</v>
      </c>
      <c r="N2170">
        <f t="shared" ca="1" si="134"/>
        <v>3</v>
      </c>
      <c r="O2170" t="str">
        <f t="shared" ca="1" si="135"/>
        <v>Intermediate level</v>
      </c>
    </row>
    <row r="2171" spans="1:15" x14ac:dyDescent="0.3">
      <c r="A2171" t="s">
        <v>7944</v>
      </c>
      <c r="B2171" t="s">
        <v>15076</v>
      </c>
      <c r="C2171" t="s">
        <v>106</v>
      </c>
      <c r="D2171" t="s">
        <v>15077</v>
      </c>
      <c r="E2171" t="s">
        <v>15078</v>
      </c>
      <c r="F2171" t="s">
        <v>7071</v>
      </c>
      <c r="G2171" t="s">
        <v>15079</v>
      </c>
      <c r="H2171" t="s">
        <v>15080</v>
      </c>
      <c r="I2171">
        <f t="shared" ca="1" si="132"/>
        <v>43</v>
      </c>
      <c r="J2171" t="str">
        <f t="shared" ca="1" si="133"/>
        <v>40-49</v>
      </c>
      <c r="K2171">
        <v>79843.210000000006</v>
      </c>
      <c r="L2171" t="str">
        <f>IF(Workforce[[#This Row],[Salary]]&lt;50000,"30k-49k",IF(Workforce[[#This Row],[Salary]]&lt;70000,"50k-69k",IF(Workforce[[#This Row],[Salary]]&lt;90000,"70k-89k","90k+")))</f>
        <v>70k-89k</v>
      </c>
      <c r="M2171" t="s">
        <v>15081</v>
      </c>
      <c r="N2171">
        <f t="shared" ca="1" si="134"/>
        <v>8</v>
      </c>
      <c r="O2171" t="str">
        <f t="shared" ca="1" si="135"/>
        <v>Senior level</v>
      </c>
    </row>
    <row r="2172" spans="1:15" x14ac:dyDescent="0.3">
      <c r="A2172" t="s">
        <v>15082</v>
      </c>
      <c r="B2172" t="s">
        <v>15083</v>
      </c>
      <c r="C2172" t="s">
        <v>1159</v>
      </c>
      <c r="D2172" t="s">
        <v>15084</v>
      </c>
      <c r="E2172" t="s">
        <v>15085</v>
      </c>
      <c r="F2172" t="s">
        <v>9298</v>
      </c>
      <c r="G2172" t="s">
        <v>15086</v>
      </c>
      <c r="H2172" t="s">
        <v>15087</v>
      </c>
      <c r="I2172">
        <f t="shared" ca="1" si="132"/>
        <v>48</v>
      </c>
      <c r="J2172" t="str">
        <f t="shared" ca="1" si="133"/>
        <v>40-49</v>
      </c>
      <c r="K2172">
        <v>54423.33</v>
      </c>
      <c r="L2172" t="str">
        <f>IF(Workforce[[#This Row],[Salary]]&lt;50000,"30k-49k",IF(Workforce[[#This Row],[Salary]]&lt;70000,"50k-69k",IF(Workforce[[#This Row],[Salary]]&lt;90000,"70k-89k","90k+")))</f>
        <v>50k-69k</v>
      </c>
      <c r="M2172" t="s">
        <v>8451</v>
      </c>
      <c r="N2172">
        <f t="shared" ca="1" si="134"/>
        <v>8</v>
      </c>
      <c r="O2172" t="str">
        <f t="shared" ca="1" si="135"/>
        <v>Senior level</v>
      </c>
    </row>
    <row r="2173" spans="1:15" x14ac:dyDescent="0.3">
      <c r="A2173" t="s">
        <v>15088</v>
      </c>
      <c r="B2173" t="s">
        <v>15089</v>
      </c>
      <c r="C2173" t="s">
        <v>231</v>
      </c>
      <c r="D2173" t="s">
        <v>15090</v>
      </c>
      <c r="E2173" t="s">
        <v>15091</v>
      </c>
      <c r="F2173" t="s">
        <v>550</v>
      </c>
      <c r="G2173" t="s">
        <v>15092</v>
      </c>
      <c r="H2173" t="s">
        <v>15093</v>
      </c>
      <c r="I2173">
        <f t="shared" ca="1" si="132"/>
        <v>60</v>
      </c>
      <c r="J2173" t="str">
        <f t="shared" ca="1" si="133"/>
        <v>60+</v>
      </c>
      <c r="K2173">
        <v>45558.26</v>
      </c>
      <c r="L2173" t="str">
        <f>IF(Workforce[[#This Row],[Salary]]&lt;50000,"30k-49k",IF(Workforce[[#This Row],[Salary]]&lt;70000,"50k-69k",IF(Workforce[[#This Row],[Salary]]&lt;90000,"70k-89k","90k+")))</f>
        <v>30k-49k</v>
      </c>
      <c r="M2173" t="s">
        <v>15094</v>
      </c>
      <c r="N2173">
        <f t="shared" ca="1" si="134"/>
        <v>2</v>
      </c>
      <c r="O2173" t="str">
        <f t="shared" ca="1" si="135"/>
        <v>Beginner</v>
      </c>
    </row>
    <row r="2174" spans="1:15" x14ac:dyDescent="0.3">
      <c r="A2174" t="s">
        <v>15095</v>
      </c>
      <c r="B2174" t="s">
        <v>15096</v>
      </c>
      <c r="C2174" t="s">
        <v>351</v>
      </c>
      <c r="D2174" t="s">
        <v>15097</v>
      </c>
      <c r="E2174" t="s">
        <v>15098</v>
      </c>
      <c r="F2174" t="s">
        <v>2239</v>
      </c>
      <c r="G2174" t="s">
        <v>15099</v>
      </c>
      <c r="H2174" t="s">
        <v>15100</v>
      </c>
      <c r="I2174">
        <f t="shared" ca="1" si="132"/>
        <v>53</v>
      </c>
      <c r="J2174" t="str">
        <f t="shared" ca="1" si="133"/>
        <v>50-59</v>
      </c>
      <c r="K2174">
        <v>93489.12</v>
      </c>
      <c r="L2174" t="str">
        <f>IF(Workforce[[#This Row],[Salary]]&lt;50000,"30k-49k",IF(Workforce[[#This Row],[Salary]]&lt;70000,"50k-69k",IF(Workforce[[#This Row],[Salary]]&lt;90000,"70k-89k","90k+")))</f>
        <v>90k+</v>
      </c>
      <c r="M2174" t="s">
        <v>13232</v>
      </c>
      <c r="N2174">
        <f t="shared" ca="1" si="134"/>
        <v>1</v>
      </c>
      <c r="O2174" t="str">
        <f t="shared" ca="1" si="135"/>
        <v>Beginner</v>
      </c>
    </row>
    <row r="2175" spans="1:15" x14ac:dyDescent="0.3">
      <c r="A2175" t="s">
        <v>15101</v>
      </c>
      <c r="B2175" t="s">
        <v>15102</v>
      </c>
      <c r="C2175" t="s">
        <v>240</v>
      </c>
      <c r="D2175" t="s">
        <v>15103</v>
      </c>
      <c r="E2175" t="s">
        <v>15104</v>
      </c>
      <c r="F2175" t="s">
        <v>8637</v>
      </c>
      <c r="G2175" t="s">
        <v>15105</v>
      </c>
      <c r="H2175" t="s">
        <v>15106</v>
      </c>
      <c r="I2175">
        <f t="shared" ca="1" si="132"/>
        <v>53</v>
      </c>
      <c r="J2175" t="str">
        <f t="shared" ca="1" si="133"/>
        <v>50-59</v>
      </c>
      <c r="K2175">
        <v>63759.81</v>
      </c>
      <c r="L2175" t="str">
        <f>IF(Workforce[[#This Row],[Salary]]&lt;50000,"30k-49k",IF(Workforce[[#This Row],[Salary]]&lt;70000,"50k-69k",IF(Workforce[[#This Row],[Salary]]&lt;90000,"70k-89k","90k+")))</f>
        <v>50k-69k</v>
      </c>
      <c r="M2175" t="s">
        <v>13386</v>
      </c>
      <c r="N2175">
        <f t="shared" ca="1" si="134"/>
        <v>6</v>
      </c>
      <c r="O2175" t="str">
        <f t="shared" ca="1" si="135"/>
        <v>Intermediate level</v>
      </c>
    </row>
    <row r="2176" spans="1:15" x14ac:dyDescent="0.3">
      <c r="A2176" t="s">
        <v>15107</v>
      </c>
      <c r="B2176" t="s">
        <v>15108</v>
      </c>
      <c r="C2176" t="s">
        <v>79</v>
      </c>
      <c r="D2176" t="s">
        <v>15109</v>
      </c>
      <c r="E2176" t="s">
        <v>15110</v>
      </c>
      <c r="F2176" t="s">
        <v>303</v>
      </c>
      <c r="G2176" t="s">
        <v>15111</v>
      </c>
      <c r="H2176" t="s">
        <v>15112</v>
      </c>
      <c r="I2176">
        <f t="shared" ca="1" si="132"/>
        <v>53</v>
      </c>
      <c r="J2176" t="str">
        <f t="shared" ca="1" si="133"/>
        <v>50-59</v>
      </c>
      <c r="K2176">
        <v>101560.15</v>
      </c>
      <c r="L2176" t="str">
        <f>IF(Workforce[[#This Row],[Salary]]&lt;50000,"30k-49k",IF(Workforce[[#This Row],[Salary]]&lt;70000,"50k-69k",IF(Workforce[[#This Row],[Salary]]&lt;90000,"70k-89k","90k+")))</f>
        <v>90k+</v>
      </c>
      <c r="M2176" t="s">
        <v>6525</v>
      </c>
      <c r="N2176">
        <f t="shared" ca="1" si="134"/>
        <v>8</v>
      </c>
      <c r="O2176" t="str">
        <f t="shared" ca="1" si="135"/>
        <v>Senior level</v>
      </c>
    </row>
    <row r="2177" spans="1:15" x14ac:dyDescent="0.3">
      <c r="A2177" t="s">
        <v>15113</v>
      </c>
      <c r="B2177" t="s">
        <v>15114</v>
      </c>
      <c r="C2177" t="s">
        <v>196</v>
      </c>
      <c r="D2177" t="s">
        <v>15115</v>
      </c>
      <c r="E2177" t="s">
        <v>15116</v>
      </c>
      <c r="F2177" t="s">
        <v>3850</v>
      </c>
      <c r="G2177" t="s">
        <v>15117</v>
      </c>
      <c r="H2177" t="s">
        <v>15118</v>
      </c>
      <c r="I2177">
        <f t="shared" ca="1" si="132"/>
        <v>46</v>
      </c>
      <c r="J2177" t="str">
        <f t="shared" ca="1" si="133"/>
        <v>40-49</v>
      </c>
      <c r="K2177">
        <v>114693</v>
      </c>
      <c r="L2177" t="str">
        <f>IF(Workforce[[#This Row],[Salary]]&lt;50000,"30k-49k",IF(Workforce[[#This Row],[Salary]]&lt;70000,"50k-69k",IF(Workforce[[#This Row],[Salary]]&lt;90000,"70k-89k","90k+")))</f>
        <v>90k+</v>
      </c>
      <c r="M2177" t="s">
        <v>1197</v>
      </c>
      <c r="N2177">
        <f t="shared" ca="1" si="134"/>
        <v>1</v>
      </c>
      <c r="O2177" t="str">
        <f t="shared" ca="1" si="135"/>
        <v>Beginner</v>
      </c>
    </row>
    <row r="2178" spans="1:15" x14ac:dyDescent="0.3">
      <c r="A2178" t="s">
        <v>15119</v>
      </c>
      <c r="B2178" t="s">
        <v>15120</v>
      </c>
      <c r="C2178" t="s">
        <v>213</v>
      </c>
      <c r="D2178" t="s">
        <v>15121</v>
      </c>
      <c r="E2178" t="s">
        <v>15122</v>
      </c>
      <c r="F2178" t="s">
        <v>3486</v>
      </c>
      <c r="G2178" t="s">
        <v>3382</v>
      </c>
      <c r="H2178" t="s">
        <v>15123</v>
      </c>
      <c r="I2178">
        <f t="shared" ref="I2178:I2241" ca="1" si="136">DATEDIF(H2178,TODAY(),"y")</f>
        <v>41</v>
      </c>
      <c r="J2178" t="str">
        <f t="shared" ref="J2178:J2241" ca="1" si="137">IF(I2178&lt;30,"18-29",IF(I2178&lt;40,"30-39",IF(I2178&lt;50,"40-49",IF(I2178&lt;60,"50-59","60+"))))</f>
        <v>40-49</v>
      </c>
      <c r="K2178">
        <v>114177.73</v>
      </c>
      <c r="L2178" t="str">
        <f>IF(Workforce[[#This Row],[Salary]]&lt;50000,"30k-49k",IF(Workforce[[#This Row],[Salary]]&lt;70000,"50k-69k",IF(Workforce[[#This Row],[Salary]]&lt;90000,"70k-89k","90k+")))</f>
        <v>90k+</v>
      </c>
      <c r="M2178" t="s">
        <v>15124</v>
      </c>
      <c r="N2178">
        <f t="shared" ref="N2178:N2241" ca="1" si="138">DATEDIF(M2178,TODAY(),"y")</f>
        <v>1</v>
      </c>
      <c r="O2178" t="str">
        <f t="shared" ref="O2178:O2241" ca="1" si="139">IF(N2178&lt;=2,"Beginner",IF(N2178&lt;=6,"Intermediate level","Senior level"))</f>
        <v>Beginner</v>
      </c>
    </row>
    <row r="2179" spans="1:15" x14ac:dyDescent="0.3">
      <c r="A2179" t="s">
        <v>15125</v>
      </c>
      <c r="B2179" t="s">
        <v>15126</v>
      </c>
      <c r="C2179" t="s">
        <v>539</v>
      </c>
      <c r="D2179" t="s">
        <v>15127</v>
      </c>
      <c r="E2179" t="s">
        <v>15128</v>
      </c>
      <c r="F2179" t="s">
        <v>493</v>
      </c>
      <c r="G2179" t="s">
        <v>15129</v>
      </c>
      <c r="H2179" t="s">
        <v>15130</v>
      </c>
      <c r="I2179">
        <f t="shared" ca="1" si="136"/>
        <v>33</v>
      </c>
      <c r="J2179" t="str">
        <f t="shared" ca="1" si="137"/>
        <v>30-39</v>
      </c>
      <c r="K2179">
        <v>46578.42</v>
      </c>
      <c r="L2179" t="str">
        <f>IF(Workforce[[#This Row],[Salary]]&lt;50000,"30k-49k",IF(Workforce[[#This Row],[Salary]]&lt;70000,"50k-69k",IF(Workforce[[#This Row],[Salary]]&lt;90000,"70k-89k","90k+")))</f>
        <v>30k-49k</v>
      </c>
      <c r="M2179" t="s">
        <v>15131</v>
      </c>
      <c r="N2179">
        <f t="shared" ca="1" si="138"/>
        <v>4</v>
      </c>
      <c r="O2179" t="str">
        <f t="shared" ca="1" si="139"/>
        <v>Intermediate level</v>
      </c>
    </row>
    <row r="2180" spans="1:15" x14ac:dyDescent="0.3">
      <c r="A2180" t="s">
        <v>15132</v>
      </c>
      <c r="B2180" t="s">
        <v>15133</v>
      </c>
      <c r="C2180" t="s">
        <v>97</v>
      </c>
      <c r="D2180" t="s">
        <v>15134</v>
      </c>
      <c r="E2180" t="s">
        <v>15135</v>
      </c>
      <c r="F2180" t="s">
        <v>607</v>
      </c>
      <c r="G2180" t="s">
        <v>15136</v>
      </c>
      <c r="H2180" t="s">
        <v>15137</v>
      </c>
      <c r="I2180">
        <f t="shared" ca="1" si="136"/>
        <v>23</v>
      </c>
      <c r="J2180" t="str">
        <f t="shared" ca="1" si="137"/>
        <v>18-29</v>
      </c>
      <c r="K2180">
        <v>109241.48</v>
      </c>
      <c r="L2180" t="str">
        <f>IF(Workforce[[#This Row],[Salary]]&lt;50000,"30k-49k",IF(Workforce[[#This Row],[Salary]]&lt;70000,"50k-69k",IF(Workforce[[#This Row],[Salary]]&lt;90000,"70k-89k","90k+")))</f>
        <v>90k+</v>
      </c>
      <c r="M2180" t="s">
        <v>5179</v>
      </c>
      <c r="N2180">
        <f t="shared" ca="1" si="138"/>
        <v>9</v>
      </c>
      <c r="O2180" t="str">
        <f t="shared" ca="1" si="139"/>
        <v>Senior level</v>
      </c>
    </row>
    <row r="2181" spans="1:15" x14ac:dyDescent="0.3">
      <c r="A2181" t="s">
        <v>15138</v>
      </c>
      <c r="B2181" t="s">
        <v>15139</v>
      </c>
      <c r="C2181" t="s">
        <v>539</v>
      </c>
      <c r="D2181" t="s">
        <v>15140</v>
      </c>
      <c r="E2181" t="s">
        <v>15141</v>
      </c>
      <c r="F2181" t="s">
        <v>8926</v>
      </c>
      <c r="G2181" t="s">
        <v>15142</v>
      </c>
      <c r="H2181" t="s">
        <v>15143</v>
      </c>
      <c r="I2181">
        <f t="shared" ca="1" si="136"/>
        <v>20</v>
      </c>
      <c r="J2181" t="str">
        <f t="shared" ca="1" si="137"/>
        <v>18-29</v>
      </c>
      <c r="K2181">
        <v>59880.53</v>
      </c>
      <c r="L2181" t="str">
        <f>IF(Workforce[[#This Row],[Salary]]&lt;50000,"30k-49k",IF(Workforce[[#This Row],[Salary]]&lt;70000,"50k-69k",IF(Workforce[[#This Row],[Salary]]&lt;90000,"70k-89k","90k+")))</f>
        <v>50k-69k</v>
      </c>
      <c r="M2181" t="s">
        <v>1025</v>
      </c>
      <c r="N2181">
        <f t="shared" ca="1" si="138"/>
        <v>3</v>
      </c>
      <c r="O2181" t="str">
        <f t="shared" ca="1" si="139"/>
        <v>Intermediate level</v>
      </c>
    </row>
    <row r="2182" spans="1:15" x14ac:dyDescent="0.3">
      <c r="A2182" t="s">
        <v>15144</v>
      </c>
      <c r="B2182" t="s">
        <v>15145</v>
      </c>
      <c r="C2182" t="s">
        <v>1004</v>
      </c>
      <c r="D2182" t="s">
        <v>15146</v>
      </c>
      <c r="E2182" t="s">
        <v>15147</v>
      </c>
      <c r="F2182" t="s">
        <v>2170</v>
      </c>
      <c r="G2182" t="s">
        <v>15148</v>
      </c>
      <c r="H2182" t="s">
        <v>15149</v>
      </c>
      <c r="I2182">
        <f t="shared" ca="1" si="136"/>
        <v>30</v>
      </c>
      <c r="J2182" t="str">
        <f t="shared" ca="1" si="137"/>
        <v>30-39</v>
      </c>
      <c r="K2182">
        <v>34781.360000000001</v>
      </c>
      <c r="L2182" t="str">
        <f>IF(Workforce[[#This Row],[Salary]]&lt;50000,"30k-49k",IF(Workforce[[#This Row],[Salary]]&lt;70000,"50k-69k",IF(Workforce[[#This Row],[Salary]]&lt;90000,"70k-89k","90k+")))</f>
        <v>30k-49k</v>
      </c>
      <c r="M2182" t="s">
        <v>15150</v>
      </c>
      <c r="N2182">
        <f t="shared" ca="1" si="138"/>
        <v>5</v>
      </c>
      <c r="O2182" t="str">
        <f t="shared" ca="1" si="139"/>
        <v>Intermediate level</v>
      </c>
    </row>
    <row r="2183" spans="1:15" x14ac:dyDescent="0.3">
      <c r="A2183" t="s">
        <v>15151</v>
      </c>
      <c r="B2183" t="s">
        <v>15152</v>
      </c>
      <c r="C2183" t="s">
        <v>187</v>
      </c>
      <c r="D2183" t="s">
        <v>15153</v>
      </c>
      <c r="E2183" t="s">
        <v>15154</v>
      </c>
      <c r="F2183" t="s">
        <v>5701</v>
      </c>
      <c r="G2183" t="s">
        <v>15155</v>
      </c>
      <c r="H2183" t="s">
        <v>8403</v>
      </c>
      <c r="I2183">
        <f t="shared" ca="1" si="136"/>
        <v>20</v>
      </c>
      <c r="J2183" t="str">
        <f t="shared" ca="1" si="137"/>
        <v>18-29</v>
      </c>
      <c r="K2183">
        <v>115703.75</v>
      </c>
      <c r="L2183" t="str">
        <f>IF(Workforce[[#This Row],[Salary]]&lt;50000,"30k-49k",IF(Workforce[[#This Row],[Salary]]&lt;70000,"50k-69k",IF(Workforce[[#This Row],[Salary]]&lt;90000,"70k-89k","90k+")))</f>
        <v>90k+</v>
      </c>
      <c r="M2183" t="s">
        <v>15156</v>
      </c>
      <c r="N2183">
        <f t="shared" ca="1" si="138"/>
        <v>3</v>
      </c>
      <c r="O2183" t="str">
        <f t="shared" ca="1" si="139"/>
        <v>Intermediate level</v>
      </c>
    </row>
    <row r="2184" spans="1:15" x14ac:dyDescent="0.3">
      <c r="A2184" t="s">
        <v>15157</v>
      </c>
      <c r="B2184" t="s">
        <v>15158</v>
      </c>
      <c r="C2184" t="s">
        <v>231</v>
      </c>
      <c r="D2184" t="s">
        <v>15159</v>
      </c>
      <c r="E2184" t="s">
        <v>15160</v>
      </c>
      <c r="F2184" t="s">
        <v>1673</v>
      </c>
      <c r="G2184" t="s">
        <v>15161</v>
      </c>
      <c r="H2184" t="s">
        <v>15162</v>
      </c>
      <c r="I2184">
        <f t="shared" ca="1" si="136"/>
        <v>44</v>
      </c>
      <c r="J2184" t="str">
        <f t="shared" ca="1" si="137"/>
        <v>40-49</v>
      </c>
      <c r="K2184">
        <v>49217.14</v>
      </c>
      <c r="L2184" t="str">
        <f>IF(Workforce[[#This Row],[Salary]]&lt;50000,"30k-49k",IF(Workforce[[#This Row],[Salary]]&lt;70000,"50k-69k",IF(Workforce[[#This Row],[Salary]]&lt;90000,"70k-89k","90k+")))</f>
        <v>30k-49k</v>
      </c>
      <c r="M2184" t="s">
        <v>15163</v>
      </c>
      <c r="N2184">
        <f t="shared" ca="1" si="138"/>
        <v>5</v>
      </c>
      <c r="O2184" t="str">
        <f t="shared" ca="1" si="139"/>
        <v>Intermediate level</v>
      </c>
    </row>
    <row r="2185" spans="1:15" x14ac:dyDescent="0.3">
      <c r="A2185" t="s">
        <v>15164</v>
      </c>
      <c r="B2185" t="s">
        <v>15165</v>
      </c>
      <c r="C2185" t="s">
        <v>457</v>
      </c>
      <c r="D2185" t="s">
        <v>15166</v>
      </c>
      <c r="E2185" t="s">
        <v>15167</v>
      </c>
      <c r="F2185" t="s">
        <v>7234</v>
      </c>
      <c r="G2185" t="s">
        <v>15168</v>
      </c>
      <c r="H2185" t="s">
        <v>15169</v>
      </c>
      <c r="I2185">
        <f t="shared" ca="1" si="136"/>
        <v>44</v>
      </c>
      <c r="J2185" t="str">
        <f t="shared" ca="1" si="137"/>
        <v>40-49</v>
      </c>
      <c r="K2185">
        <v>57826.879999999997</v>
      </c>
      <c r="L2185" t="str">
        <f>IF(Workforce[[#This Row],[Salary]]&lt;50000,"30k-49k",IF(Workforce[[#This Row],[Salary]]&lt;70000,"50k-69k",IF(Workforce[[#This Row],[Salary]]&lt;90000,"70k-89k","90k+")))</f>
        <v>50k-69k</v>
      </c>
      <c r="M2185" t="s">
        <v>1968</v>
      </c>
      <c r="N2185">
        <f t="shared" ca="1" si="138"/>
        <v>2</v>
      </c>
      <c r="O2185" t="str">
        <f t="shared" ca="1" si="139"/>
        <v>Beginner</v>
      </c>
    </row>
    <row r="2186" spans="1:15" x14ac:dyDescent="0.3">
      <c r="A2186" t="s">
        <v>15170</v>
      </c>
      <c r="B2186" t="s">
        <v>15171</v>
      </c>
      <c r="C2186" t="s">
        <v>1043</v>
      </c>
      <c r="D2186" t="s">
        <v>15172</v>
      </c>
      <c r="E2186" t="s">
        <v>15173</v>
      </c>
      <c r="F2186" t="s">
        <v>751</v>
      </c>
      <c r="G2186" t="s">
        <v>15174</v>
      </c>
      <c r="H2186" t="s">
        <v>15175</v>
      </c>
      <c r="I2186">
        <f t="shared" ca="1" si="136"/>
        <v>50</v>
      </c>
      <c r="J2186" t="str">
        <f t="shared" ca="1" si="137"/>
        <v>50-59</v>
      </c>
      <c r="K2186">
        <v>51966.83</v>
      </c>
      <c r="L2186" t="str">
        <f>IF(Workforce[[#This Row],[Salary]]&lt;50000,"30k-49k",IF(Workforce[[#This Row],[Salary]]&lt;70000,"50k-69k",IF(Workforce[[#This Row],[Salary]]&lt;90000,"70k-89k","90k+")))</f>
        <v>50k-69k</v>
      </c>
      <c r="M2186" t="s">
        <v>6857</v>
      </c>
      <c r="N2186">
        <f t="shared" ca="1" si="138"/>
        <v>9</v>
      </c>
      <c r="O2186" t="str">
        <f t="shared" ca="1" si="139"/>
        <v>Senior level</v>
      </c>
    </row>
    <row r="2187" spans="1:15" x14ac:dyDescent="0.3">
      <c r="A2187" t="s">
        <v>15176</v>
      </c>
      <c r="B2187" t="s">
        <v>15177</v>
      </c>
      <c r="C2187" t="s">
        <v>124</v>
      </c>
      <c r="D2187" t="s">
        <v>15178</v>
      </c>
      <c r="E2187" t="s">
        <v>15179</v>
      </c>
      <c r="F2187" t="s">
        <v>4305</v>
      </c>
      <c r="G2187" t="s">
        <v>15180</v>
      </c>
      <c r="H2187" t="s">
        <v>15181</v>
      </c>
      <c r="I2187">
        <f t="shared" ca="1" si="136"/>
        <v>29</v>
      </c>
      <c r="J2187" t="str">
        <f t="shared" ca="1" si="137"/>
        <v>18-29</v>
      </c>
      <c r="K2187">
        <v>53199.15</v>
      </c>
      <c r="L2187" t="str">
        <f>IF(Workforce[[#This Row],[Salary]]&lt;50000,"30k-49k",IF(Workforce[[#This Row],[Salary]]&lt;70000,"50k-69k",IF(Workforce[[#This Row],[Salary]]&lt;90000,"70k-89k","90k+")))</f>
        <v>50k-69k</v>
      </c>
      <c r="M2187" t="s">
        <v>6551</v>
      </c>
      <c r="N2187">
        <f t="shared" ca="1" si="138"/>
        <v>6</v>
      </c>
      <c r="O2187" t="str">
        <f t="shared" ca="1" si="139"/>
        <v>Intermediate level</v>
      </c>
    </row>
    <row r="2188" spans="1:15" x14ac:dyDescent="0.3">
      <c r="A2188" t="s">
        <v>15182</v>
      </c>
      <c r="B2188" t="s">
        <v>15183</v>
      </c>
      <c r="C2188" t="s">
        <v>284</v>
      </c>
      <c r="D2188" t="s">
        <v>15184</v>
      </c>
      <c r="E2188" t="s">
        <v>15185</v>
      </c>
      <c r="F2188" t="s">
        <v>2202</v>
      </c>
      <c r="G2188" t="s">
        <v>15186</v>
      </c>
      <c r="H2188" t="s">
        <v>15187</v>
      </c>
      <c r="I2188">
        <f t="shared" ca="1" si="136"/>
        <v>61</v>
      </c>
      <c r="J2188" t="str">
        <f t="shared" ca="1" si="137"/>
        <v>60+</v>
      </c>
      <c r="K2188">
        <v>30750.2</v>
      </c>
      <c r="L2188" t="str">
        <f>IF(Workforce[[#This Row],[Salary]]&lt;50000,"30k-49k",IF(Workforce[[#This Row],[Salary]]&lt;70000,"50k-69k",IF(Workforce[[#This Row],[Salary]]&lt;90000,"70k-89k","90k+")))</f>
        <v>30k-49k</v>
      </c>
      <c r="M2188" t="s">
        <v>15188</v>
      </c>
      <c r="N2188">
        <f t="shared" ca="1" si="138"/>
        <v>0</v>
      </c>
      <c r="O2188" t="str">
        <f t="shared" ca="1" si="139"/>
        <v>Beginner</v>
      </c>
    </row>
    <row r="2189" spans="1:15" x14ac:dyDescent="0.3">
      <c r="A2189" t="s">
        <v>15189</v>
      </c>
      <c r="B2189" t="s">
        <v>15190</v>
      </c>
      <c r="C2189" t="s">
        <v>580</v>
      </c>
      <c r="D2189" t="s">
        <v>15191</v>
      </c>
      <c r="E2189" t="s">
        <v>15192</v>
      </c>
      <c r="F2189" t="s">
        <v>2004</v>
      </c>
      <c r="G2189" t="s">
        <v>15193</v>
      </c>
      <c r="H2189" t="s">
        <v>15194</v>
      </c>
      <c r="I2189">
        <f t="shared" ca="1" si="136"/>
        <v>21</v>
      </c>
      <c r="J2189" t="str">
        <f t="shared" ca="1" si="137"/>
        <v>18-29</v>
      </c>
      <c r="K2189">
        <v>83605.16</v>
      </c>
      <c r="L2189" t="str">
        <f>IF(Workforce[[#This Row],[Salary]]&lt;50000,"30k-49k",IF(Workforce[[#This Row],[Salary]]&lt;70000,"50k-69k",IF(Workforce[[#This Row],[Salary]]&lt;90000,"70k-89k","90k+")))</f>
        <v>70k-89k</v>
      </c>
      <c r="M2189" t="s">
        <v>15195</v>
      </c>
      <c r="N2189">
        <f t="shared" ca="1" si="138"/>
        <v>7</v>
      </c>
      <c r="O2189" t="str">
        <f t="shared" ca="1" si="139"/>
        <v>Senior level</v>
      </c>
    </row>
    <row r="2190" spans="1:15" x14ac:dyDescent="0.3">
      <c r="A2190" t="s">
        <v>15196</v>
      </c>
      <c r="B2190" t="s">
        <v>15197</v>
      </c>
      <c r="C2190" t="s">
        <v>142</v>
      </c>
      <c r="D2190" t="s">
        <v>15198</v>
      </c>
      <c r="E2190" t="s">
        <v>15199</v>
      </c>
      <c r="F2190" t="s">
        <v>2139</v>
      </c>
      <c r="G2190" t="s">
        <v>15200</v>
      </c>
      <c r="H2190" t="s">
        <v>15201</v>
      </c>
      <c r="I2190">
        <f t="shared" ca="1" si="136"/>
        <v>52</v>
      </c>
      <c r="J2190" t="str">
        <f t="shared" ca="1" si="137"/>
        <v>50-59</v>
      </c>
      <c r="K2190">
        <v>39931.81</v>
      </c>
      <c r="L2190" t="str">
        <f>IF(Workforce[[#This Row],[Salary]]&lt;50000,"30k-49k",IF(Workforce[[#This Row],[Salary]]&lt;70000,"50k-69k",IF(Workforce[[#This Row],[Salary]]&lt;90000,"70k-89k","90k+")))</f>
        <v>30k-49k</v>
      </c>
      <c r="M2190" t="s">
        <v>9647</v>
      </c>
      <c r="N2190">
        <f t="shared" ca="1" si="138"/>
        <v>1</v>
      </c>
      <c r="O2190" t="str">
        <f t="shared" ca="1" si="139"/>
        <v>Beginner</v>
      </c>
    </row>
    <row r="2191" spans="1:15" x14ac:dyDescent="0.3">
      <c r="A2191" t="s">
        <v>12895</v>
      </c>
      <c r="B2191" t="s">
        <v>15202</v>
      </c>
      <c r="C2191" t="s">
        <v>580</v>
      </c>
      <c r="D2191" t="s">
        <v>15203</v>
      </c>
      <c r="E2191" t="s">
        <v>15204</v>
      </c>
      <c r="F2191" t="s">
        <v>981</v>
      </c>
      <c r="G2191" t="s">
        <v>15205</v>
      </c>
      <c r="H2191" t="s">
        <v>15206</v>
      </c>
      <c r="I2191">
        <f t="shared" ca="1" si="136"/>
        <v>18</v>
      </c>
      <c r="J2191" t="str">
        <f t="shared" ca="1" si="137"/>
        <v>18-29</v>
      </c>
      <c r="K2191">
        <v>56545.09</v>
      </c>
      <c r="L2191" t="str">
        <f>IF(Workforce[[#This Row],[Salary]]&lt;50000,"30k-49k",IF(Workforce[[#This Row],[Salary]]&lt;70000,"50k-69k",IF(Workforce[[#This Row],[Salary]]&lt;90000,"70k-89k","90k+")))</f>
        <v>50k-69k</v>
      </c>
      <c r="M2191" t="s">
        <v>7684</v>
      </c>
      <c r="N2191">
        <f t="shared" ca="1" si="138"/>
        <v>6</v>
      </c>
      <c r="O2191" t="str">
        <f t="shared" ca="1" si="139"/>
        <v>Intermediate level</v>
      </c>
    </row>
    <row r="2192" spans="1:15" x14ac:dyDescent="0.3">
      <c r="A2192" t="s">
        <v>15207</v>
      </c>
      <c r="B2192" t="s">
        <v>15208</v>
      </c>
      <c r="C2192" t="s">
        <v>482</v>
      </c>
      <c r="D2192" t="s">
        <v>15209</v>
      </c>
      <c r="E2192" t="s">
        <v>15210</v>
      </c>
      <c r="F2192" t="s">
        <v>362</v>
      </c>
      <c r="G2192" t="s">
        <v>8572</v>
      </c>
      <c r="H2192" t="s">
        <v>11007</v>
      </c>
      <c r="I2192">
        <f t="shared" ca="1" si="136"/>
        <v>51</v>
      </c>
      <c r="J2192" t="str">
        <f t="shared" ca="1" si="137"/>
        <v>50-59</v>
      </c>
      <c r="K2192">
        <v>52143.97</v>
      </c>
      <c r="L2192" t="str">
        <f>IF(Workforce[[#This Row],[Salary]]&lt;50000,"30k-49k",IF(Workforce[[#This Row],[Salary]]&lt;70000,"50k-69k",IF(Workforce[[#This Row],[Salary]]&lt;90000,"70k-89k","90k+")))</f>
        <v>50k-69k</v>
      </c>
      <c r="M2192" t="s">
        <v>15021</v>
      </c>
      <c r="N2192">
        <f t="shared" ca="1" si="138"/>
        <v>3</v>
      </c>
      <c r="O2192" t="str">
        <f t="shared" ca="1" si="139"/>
        <v>Intermediate level</v>
      </c>
    </row>
    <row r="2193" spans="1:15" x14ac:dyDescent="0.3">
      <c r="A2193" t="s">
        <v>15211</v>
      </c>
      <c r="B2193" t="s">
        <v>15212</v>
      </c>
      <c r="C2193" t="s">
        <v>653</v>
      </c>
      <c r="D2193" t="s">
        <v>15213</v>
      </c>
      <c r="E2193" t="s">
        <v>15214</v>
      </c>
      <c r="F2193" t="s">
        <v>1689</v>
      </c>
      <c r="G2193" t="s">
        <v>15215</v>
      </c>
      <c r="H2193" t="s">
        <v>15216</v>
      </c>
      <c r="I2193">
        <f t="shared" ca="1" si="136"/>
        <v>40</v>
      </c>
      <c r="J2193" t="str">
        <f t="shared" ca="1" si="137"/>
        <v>40-49</v>
      </c>
      <c r="K2193">
        <v>37876.239999999998</v>
      </c>
      <c r="L2193" t="str">
        <f>IF(Workforce[[#This Row],[Salary]]&lt;50000,"30k-49k",IF(Workforce[[#This Row],[Salary]]&lt;70000,"50k-69k",IF(Workforce[[#This Row],[Salary]]&lt;90000,"70k-89k","90k+")))</f>
        <v>30k-49k</v>
      </c>
      <c r="M2193" t="s">
        <v>15217</v>
      </c>
      <c r="N2193">
        <f t="shared" ca="1" si="138"/>
        <v>4</v>
      </c>
      <c r="O2193" t="str">
        <f t="shared" ca="1" si="139"/>
        <v>Intermediate level</v>
      </c>
    </row>
    <row r="2194" spans="1:15" x14ac:dyDescent="0.3">
      <c r="A2194" t="s">
        <v>15218</v>
      </c>
      <c r="B2194" t="s">
        <v>15219</v>
      </c>
      <c r="C2194" t="s">
        <v>196</v>
      </c>
      <c r="D2194" t="s">
        <v>15220</v>
      </c>
      <c r="E2194" t="s">
        <v>15221</v>
      </c>
      <c r="F2194" t="s">
        <v>7305</v>
      </c>
      <c r="G2194" t="s">
        <v>13165</v>
      </c>
      <c r="H2194" t="s">
        <v>15222</v>
      </c>
      <c r="I2194">
        <f t="shared" ca="1" si="136"/>
        <v>30</v>
      </c>
      <c r="J2194" t="str">
        <f t="shared" ca="1" si="137"/>
        <v>30-39</v>
      </c>
      <c r="K2194">
        <v>79656.259999999995</v>
      </c>
      <c r="L2194" t="str">
        <f>IF(Workforce[[#This Row],[Salary]]&lt;50000,"30k-49k",IF(Workforce[[#This Row],[Salary]]&lt;70000,"50k-69k",IF(Workforce[[#This Row],[Salary]]&lt;90000,"70k-89k","90k+")))</f>
        <v>70k-89k</v>
      </c>
      <c r="M2194" t="s">
        <v>15223</v>
      </c>
      <c r="N2194">
        <f t="shared" ca="1" si="138"/>
        <v>4</v>
      </c>
      <c r="O2194" t="str">
        <f t="shared" ca="1" si="139"/>
        <v>Intermediate level</v>
      </c>
    </row>
    <row r="2195" spans="1:15" x14ac:dyDescent="0.3">
      <c r="A2195" t="s">
        <v>15224</v>
      </c>
      <c r="B2195" t="s">
        <v>15225</v>
      </c>
      <c r="C2195" t="s">
        <v>844</v>
      </c>
      <c r="D2195" t="s">
        <v>15226</v>
      </c>
      <c r="E2195" t="s">
        <v>15227</v>
      </c>
      <c r="F2195" t="s">
        <v>9409</v>
      </c>
      <c r="G2195" t="s">
        <v>15228</v>
      </c>
      <c r="H2195" t="s">
        <v>15229</v>
      </c>
      <c r="I2195">
        <f t="shared" ca="1" si="136"/>
        <v>43</v>
      </c>
      <c r="J2195" t="str">
        <f t="shared" ca="1" si="137"/>
        <v>40-49</v>
      </c>
      <c r="K2195">
        <v>53565.94</v>
      </c>
      <c r="L2195" t="str">
        <f>IF(Workforce[[#This Row],[Salary]]&lt;50000,"30k-49k",IF(Workforce[[#This Row],[Salary]]&lt;70000,"50k-69k",IF(Workforce[[#This Row],[Salary]]&lt;90000,"70k-89k","90k+")))</f>
        <v>50k-69k</v>
      </c>
      <c r="M2195" t="s">
        <v>4476</v>
      </c>
      <c r="N2195">
        <f t="shared" ca="1" si="138"/>
        <v>8</v>
      </c>
      <c r="O2195" t="str">
        <f t="shared" ca="1" si="139"/>
        <v>Senior level</v>
      </c>
    </row>
    <row r="2196" spans="1:15" x14ac:dyDescent="0.3">
      <c r="A2196" t="s">
        <v>15230</v>
      </c>
      <c r="B2196" t="s">
        <v>15231</v>
      </c>
      <c r="C2196" t="s">
        <v>653</v>
      </c>
      <c r="D2196" t="s">
        <v>15232</v>
      </c>
      <c r="E2196" t="s">
        <v>15233</v>
      </c>
      <c r="F2196" t="s">
        <v>3850</v>
      </c>
      <c r="G2196" t="s">
        <v>15234</v>
      </c>
      <c r="H2196" t="s">
        <v>15235</v>
      </c>
      <c r="I2196">
        <f t="shared" ca="1" si="136"/>
        <v>54</v>
      </c>
      <c r="J2196" t="str">
        <f t="shared" ca="1" si="137"/>
        <v>50-59</v>
      </c>
      <c r="K2196">
        <v>30422.71</v>
      </c>
      <c r="L2196" t="str">
        <f>IF(Workforce[[#This Row],[Salary]]&lt;50000,"30k-49k",IF(Workforce[[#This Row],[Salary]]&lt;70000,"50k-69k",IF(Workforce[[#This Row],[Salary]]&lt;90000,"70k-89k","90k+")))</f>
        <v>30k-49k</v>
      </c>
      <c r="M2196" t="s">
        <v>8483</v>
      </c>
      <c r="N2196">
        <f t="shared" ca="1" si="138"/>
        <v>1</v>
      </c>
      <c r="O2196" t="str">
        <f t="shared" ca="1" si="139"/>
        <v>Beginner</v>
      </c>
    </row>
    <row r="2197" spans="1:15" x14ac:dyDescent="0.3">
      <c r="A2197" t="s">
        <v>15236</v>
      </c>
      <c r="B2197" t="s">
        <v>15237</v>
      </c>
      <c r="C2197" t="s">
        <v>748</v>
      </c>
      <c r="D2197" t="s">
        <v>15238</v>
      </c>
      <c r="E2197" t="s">
        <v>15239</v>
      </c>
      <c r="F2197" t="s">
        <v>7210</v>
      </c>
      <c r="G2197" t="s">
        <v>15240</v>
      </c>
      <c r="H2197" t="s">
        <v>7454</v>
      </c>
      <c r="I2197">
        <f t="shared" ca="1" si="136"/>
        <v>24</v>
      </c>
      <c r="J2197" t="str">
        <f t="shared" ca="1" si="137"/>
        <v>18-29</v>
      </c>
      <c r="K2197">
        <v>90658.37</v>
      </c>
      <c r="L2197" t="str">
        <f>IF(Workforce[[#This Row],[Salary]]&lt;50000,"30k-49k",IF(Workforce[[#This Row],[Salary]]&lt;70000,"50k-69k",IF(Workforce[[#This Row],[Salary]]&lt;90000,"70k-89k","90k+")))</f>
        <v>90k+</v>
      </c>
      <c r="M2197" t="s">
        <v>15241</v>
      </c>
      <c r="N2197">
        <f t="shared" ca="1" si="138"/>
        <v>1</v>
      </c>
      <c r="O2197" t="str">
        <f t="shared" ca="1" si="139"/>
        <v>Beginner</v>
      </c>
    </row>
    <row r="2198" spans="1:15" x14ac:dyDescent="0.3">
      <c r="A2198" t="s">
        <v>15242</v>
      </c>
      <c r="B2198" t="s">
        <v>15243</v>
      </c>
      <c r="C2198" t="s">
        <v>317</v>
      </c>
      <c r="D2198" t="s">
        <v>15244</v>
      </c>
      <c r="E2198" t="s">
        <v>15245</v>
      </c>
      <c r="F2198" t="s">
        <v>5424</v>
      </c>
      <c r="G2198" t="s">
        <v>15246</v>
      </c>
      <c r="H2198" t="s">
        <v>10852</v>
      </c>
      <c r="I2198">
        <f t="shared" ca="1" si="136"/>
        <v>64</v>
      </c>
      <c r="J2198" t="str">
        <f t="shared" ca="1" si="137"/>
        <v>60+</v>
      </c>
      <c r="K2198">
        <v>97982.3</v>
      </c>
      <c r="L2198" t="str">
        <f>IF(Workforce[[#This Row],[Salary]]&lt;50000,"30k-49k",IF(Workforce[[#This Row],[Salary]]&lt;70000,"50k-69k",IF(Workforce[[#This Row],[Salary]]&lt;90000,"70k-89k","90k+")))</f>
        <v>90k+</v>
      </c>
      <c r="M2198" t="s">
        <v>15247</v>
      </c>
      <c r="N2198">
        <f t="shared" ca="1" si="138"/>
        <v>10</v>
      </c>
      <c r="O2198" t="str">
        <f t="shared" ca="1" si="139"/>
        <v>Senior level</v>
      </c>
    </row>
    <row r="2199" spans="1:15" x14ac:dyDescent="0.3">
      <c r="A2199" t="s">
        <v>15248</v>
      </c>
      <c r="B2199" t="s">
        <v>15249</v>
      </c>
      <c r="C2199" t="s">
        <v>1004</v>
      </c>
      <c r="D2199" t="s">
        <v>15250</v>
      </c>
      <c r="E2199" t="s">
        <v>15251</v>
      </c>
      <c r="F2199" t="s">
        <v>1281</v>
      </c>
      <c r="G2199" t="s">
        <v>15252</v>
      </c>
      <c r="H2199" t="s">
        <v>15253</v>
      </c>
      <c r="I2199">
        <f t="shared" ca="1" si="136"/>
        <v>55</v>
      </c>
      <c r="J2199" t="str">
        <f t="shared" ca="1" si="137"/>
        <v>50-59</v>
      </c>
      <c r="K2199">
        <v>36316.33</v>
      </c>
      <c r="L2199" t="str">
        <f>IF(Workforce[[#This Row],[Salary]]&lt;50000,"30k-49k",IF(Workforce[[#This Row],[Salary]]&lt;70000,"50k-69k",IF(Workforce[[#This Row],[Salary]]&lt;90000,"70k-89k","90k+")))</f>
        <v>30k-49k</v>
      </c>
      <c r="M2199" t="s">
        <v>9859</v>
      </c>
      <c r="N2199">
        <f t="shared" ca="1" si="138"/>
        <v>7</v>
      </c>
      <c r="O2199" t="str">
        <f t="shared" ca="1" si="139"/>
        <v>Senior level</v>
      </c>
    </row>
    <row r="2200" spans="1:15" x14ac:dyDescent="0.3">
      <c r="A2200" t="s">
        <v>15254</v>
      </c>
      <c r="B2200" t="s">
        <v>15255</v>
      </c>
      <c r="C2200" t="s">
        <v>257</v>
      </c>
      <c r="D2200" t="s">
        <v>15256</v>
      </c>
      <c r="E2200" t="s">
        <v>15257</v>
      </c>
      <c r="F2200" t="s">
        <v>15258</v>
      </c>
      <c r="G2200" t="s">
        <v>4619</v>
      </c>
      <c r="H2200" t="s">
        <v>15259</v>
      </c>
      <c r="I2200">
        <f t="shared" ca="1" si="136"/>
        <v>52</v>
      </c>
      <c r="J2200" t="str">
        <f t="shared" ca="1" si="137"/>
        <v>50-59</v>
      </c>
      <c r="K2200">
        <v>78567.63</v>
      </c>
      <c r="L2200" t="str">
        <f>IF(Workforce[[#This Row],[Salary]]&lt;50000,"30k-49k",IF(Workforce[[#This Row],[Salary]]&lt;70000,"50k-69k",IF(Workforce[[#This Row],[Salary]]&lt;90000,"70k-89k","90k+")))</f>
        <v>70k-89k</v>
      </c>
      <c r="M2200" t="s">
        <v>15260</v>
      </c>
      <c r="N2200">
        <f t="shared" ca="1" si="138"/>
        <v>2</v>
      </c>
      <c r="O2200" t="str">
        <f t="shared" ca="1" si="139"/>
        <v>Beginner</v>
      </c>
    </row>
    <row r="2201" spans="1:15" x14ac:dyDescent="0.3">
      <c r="A2201" t="s">
        <v>15261</v>
      </c>
      <c r="B2201" t="s">
        <v>15262</v>
      </c>
      <c r="C2201" t="s">
        <v>196</v>
      </c>
      <c r="D2201" t="s">
        <v>15263</v>
      </c>
      <c r="E2201" t="s">
        <v>15264</v>
      </c>
      <c r="F2201" t="s">
        <v>4148</v>
      </c>
      <c r="G2201" t="s">
        <v>15265</v>
      </c>
      <c r="H2201" t="s">
        <v>15266</v>
      </c>
      <c r="I2201">
        <f t="shared" ca="1" si="136"/>
        <v>41</v>
      </c>
      <c r="J2201" t="str">
        <f t="shared" ca="1" si="137"/>
        <v>40-49</v>
      </c>
      <c r="K2201">
        <v>98747.64</v>
      </c>
      <c r="L2201" t="str">
        <f>IF(Workforce[[#This Row],[Salary]]&lt;50000,"30k-49k",IF(Workforce[[#This Row],[Salary]]&lt;70000,"50k-69k",IF(Workforce[[#This Row],[Salary]]&lt;90000,"70k-89k","90k+")))</f>
        <v>90k+</v>
      </c>
      <c r="M2201" t="s">
        <v>14855</v>
      </c>
      <c r="N2201">
        <f t="shared" ca="1" si="138"/>
        <v>1</v>
      </c>
      <c r="O2201" t="str">
        <f t="shared" ca="1" si="139"/>
        <v>Beginner</v>
      </c>
    </row>
    <row r="2202" spans="1:15" x14ac:dyDescent="0.3">
      <c r="A2202" t="s">
        <v>15267</v>
      </c>
      <c r="B2202" t="s">
        <v>15268</v>
      </c>
      <c r="C2202" t="s">
        <v>196</v>
      </c>
      <c r="D2202" t="s">
        <v>15269</v>
      </c>
      <c r="E2202" t="s">
        <v>15270</v>
      </c>
      <c r="F2202" t="s">
        <v>11050</v>
      </c>
      <c r="G2202" t="s">
        <v>15271</v>
      </c>
      <c r="H2202" t="s">
        <v>15272</v>
      </c>
      <c r="I2202">
        <f t="shared" ca="1" si="136"/>
        <v>45</v>
      </c>
      <c r="J2202" t="str">
        <f t="shared" ca="1" si="137"/>
        <v>40-49</v>
      </c>
      <c r="K2202">
        <v>98389.99</v>
      </c>
      <c r="L2202" t="str">
        <f>IF(Workforce[[#This Row],[Salary]]&lt;50000,"30k-49k",IF(Workforce[[#This Row],[Salary]]&lt;70000,"50k-69k",IF(Workforce[[#This Row],[Salary]]&lt;90000,"70k-89k","90k+")))</f>
        <v>90k+</v>
      </c>
      <c r="M2202" t="s">
        <v>7351</v>
      </c>
      <c r="N2202">
        <f t="shared" ca="1" si="138"/>
        <v>2</v>
      </c>
      <c r="O2202" t="str">
        <f t="shared" ca="1" si="139"/>
        <v>Beginner</v>
      </c>
    </row>
    <row r="2203" spans="1:15" x14ac:dyDescent="0.3">
      <c r="A2203" t="s">
        <v>15273</v>
      </c>
      <c r="B2203" t="s">
        <v>15274</v>
      </c>
      <c r="C2203" t="s">
        <v>1159</v>
      </c>
      <c r="D2203" t="s">
        <v>15275</v>
      </c>
      <c r="E2203" t="s">
        <v>15276</v>
      </c>
      <c r="F2203" t="s">
        <v>894</v>
      </c>
      <c r="G2203" t="s">
        <v>15277</v>
      </c>
      <c r="H2203" t="s">
        <v>15278</v>
      </c>
      <c r="I2203">
        <f t="shared" ca="1" si="136"/>
        <v>45</v>
      </c>
      <c r="J2203" t="str">
        <f t="shared" ca="1" si="137"/>
        <v>40-49</v>
      </c>
      <c r="K2203">
        <v>104344.94</v>
      </c>
      <c r="L2203" t="str">
        <f>IF(Workforce[[#This Row],[Salary]]&lt;50000,"30k-49k",IF(Workforce[[#This Row],[Salary]]&lt;70000,"50k-69k",IF(Workforce[[#This Row],[Salary]]&lt;90000,"70k-89k","90k+")))</f>
        <v>90k+</v>
      </c>
      <c r="M2203" t="s">
        <v>1953</v>
      </c>
      <c r="N2203">
        <f t="shared" ca="1" si="138"/>
        <v>6</v>
      </c>
      <c r="O2203" t="str">
        <f t="shared" ca="1" si="139"/>
        <v>Intermediate level</v>
      </c>
    </row>
    <row r="2204" spans="1:15" x14ac:dyDescent="0.3">
      <c r="A2204" t="s">
        <v>15279</v>
      </c>
      <c r="B2204" t="s">
        <v>15280</v>
      </c>
      <c r="C2204" t="s">
        <v>231</v>
      </c>
      <c r="D2204" t="s">
        <v>15281</v>
      </c>
      <c r="E2204" t="s">
        <v>15282</v>
      </c>
      <c r="F2204" t="s">
        <v>6290</v>
      </c>
      <c r="G2204" t="s">
        <v>15283</v>
      </c>
      <c r="H2204" t="s">
        <v>6579</v>
      </c>
      <c r="I2204">
        <f t="shared" ca="1" si="136"/>
        <v>44</v>
      </c>
      <c r="J2204" t="str">
        <f t="shared" ca="1" si="137"/>
        <v>40-49</v>
      </c>
      <c r="K2204">
        <v>108173.25</v>
      </c>
      <c r="L2204" t="str">
        <f>IF(Workforce[[#This Row],[Salary]]&lt;50000,"30k-49k",IF(Workforce[[#This Row],[Salary]]&lt;70000,"50k-69k",IF(Workforce[[#This Row],[Salary]]&lt;90000,"70k-89k","90k+")))</f>
        <v>90k+</v>
      </c>
      <c r="M2204" t="s">
        <v>12779</v>
      </c>
      <c r="N2204">
        <f t="shared" ca="1" si="138"/>
        <v>9</v>
      </c>
      <c r="O2204" t="str">
        <f t="shared" ca="1" si="139"/>
        <v>Senior level</v>
      </c>
    </row>
    <row r="2205" spans="1:15" x14ac:dyDescent="0.3">
      <c r="A2205" t="s">
        <v>15284</v>
      </c>
      <c r="B2205" t="s">
        <v>15285</v>
      </c>
      <c r="C2205" t="s">
        <v>317</v>
      </c>
      <c r="D2205" t="s">
        <v>15286</v>
      </c>
      <c r="E2205" t="s">
        <v>15287</v>
      </c>
      <c r="F2205" t="s">
        <v>216</v>
      </c>
      <c r="G2205" t="s">
        <v>15288</v>
      </c>
      <c r="H2205" t="s">
        <v>15289</v>
      </c>
      <c r="I2205">
        <f t="shared" ca="1" si="136"/>
        <v>42</v>
      </c>
      <c r="J2205" t="str">
        <f t="shared" ca="1" si="137"/>
        <v>40-49</v>
      </c>
      <c r="K2205">
        <v>73849.98</v>
      </c>
      <c r="L2205" t="str">
        <f>IF(Workforce[[#This Row],[Salary]]&lt;50000,"30k-49k",IF(Workforce[[#This Row],[Salary]]&lt;70000,"50k-69k",IF(Workforce[[#This Row],[Salary]]&lt;90000,"70k-89k","90k+")))</f>
        <v>70k-89k</v>
      </c>
      <c r="M2205" t="s">
        <v>11496</v>
      </c>
      <c r="N2205">
        <f t="shared" ca="1" si="138"/>
        <v>4</v>
      </c>
      <c r="O2205" t="str">
        <f t="shared" ca="1" si="139"/>
        <v>Intermediate level</v>
      </c>
    </row>
    <row r="2206" spans="1:15" x14ac:dyDescent="0.3">
      <c r="A2206" t="s">
        <v>15290</v>
      </c>
      <c r="B2206" t="s">
        <v>15291</v>
      </c>
      <c r="C2206" t="s">
        <v>774</v>
      </c>
      <c r="D2206" t="s">
        <v>15292</v>
      </c>
      <c r="E2206" t="s">
        <v>15293</v>
      </c>
      <c r="F2206" t="s">
        <v>4286</v>
      </c>
      <c r="G2206" t="s">
        <v>15294</v>
      </c>
      <c r="H2206" t="s">
        <v>15295</v>
      </c>
      <c r="I2206">
        <f t="shared" ca="1" si="136"/>
        <v>26</v>
      </c>
      <c r="J2206" t="str">
        <f t="shared" ca="1" si="137"/>
        <v>18-29</v>
      </c>
      <c r="K2206">
        <v>103478.45</v>
      </c>
      <c r="L2206" t="str">
        <f>IF(Workforce[[#This Row],[Salary]]&lt;50000,"30k-49k",IF(Workforce[[#This Row],[Salary]]&lt;70000,"50k-69k",IF(Workforce[[#This Row],[Salary]]&lt;90000,"70k-89k","90k+")))</f>
        <v>90k+</v>
      </c>
      <c r="M2206" t="s">
        <v>15296</v>
      </c>
      <c r="N2206">
        <f t="shared" ca="1" si="138"/>
        <v>8</v>
      </c>
      <c r="O2206" t="str">
        <f t="shared" ca="1" si="139"/>
        <v>Senior level</v>
      </c>
    </row>
    <row r="2207" spans="1:15" x14ac:dyDescent="0.3">
      <c r="A2207" t="s">
        <v>15297</v>
      </c>
      <c r="B2207" t="s">
        <v>15298</v>
      </c>
      <c r="C2207" t="s">
        <v>35</v>
      </c>
      <c r="D2207" t="s">
        <v>15299</v>
      </c>
      <c r="E2207" t="s">
        <v>15300</v>
      </c>
      <c r="F2207" t="s">
        <v>926</v>
      </c>
      <c r="G2207" t="s">
        <v>15301</v>
      </c>
      <c r="H2207" t="s">
        <v>15302</v>
      </c>
      <c r="I2207">
        <f t="shared" ca="1" si="136"/>
        <v>31</v>
      </c>
      <c r="J2207" t="str">
        <f t="shared" ca="1" si="137"/>
        <v>30-39</v>
      </c>
      <c r="K2207">
        <v>115303.23</v>
      </c>
      <c r="L2207" t="str">
        <f>IF(Workforce[[#This Row],[Salary]]&lt;50000,"30k-49k",IF(Workforce[[#This Row],[Salary]]&lt;70000,"50k-69k",IF(Workforce[[#This Row],[Salary]]&lt;90000,"70k-89k","90k+")))</f>
        <v>90k+</v>
      </c>
      <c r="M2207" t="s">
        <v>15303</v>
      </c>
      <c r="N2207">
        <f t="shared" ca="1" si="138"/>
        <v>7</v>
      </c>
      <c r="O2207" t="str">
        <f t="shared" ca="1" si="139"/>
        <v>Senior level</v>
      </c>
    </row>
    <row r="2208" spans="1:15" x14ac:dyDescent="0.3">
      <c r="A2208" t="s">
        <v>15304</v>
      </c>
      <c r="B2208" t="s">
        <v>15305</v>
      </c>
      <c r="C2208" t="s">
        <v>2086</v>
      </c>
      <c r="D2208" t="s">
        <v>15306</v>
      </c>
      <c r="E2208" t="s">
        <v>15307</v>
      </c>
      <c r="F2208" t="s">
        <v>269</v>
      </c>
      <c r="G2208" t="s">
        <v>8102</v>
      </c>
      <c r="H2208" t="s">
        <v>15308</v>
      </c>
      <c r="I2208">
        <f t="shared" ca="1" si="136"/>
        <v>62</v>
      </c>
      <c r="J2208" t="str">
        <f t="shared" ca="1" si="137"/>
        <v>60+</v>
      </c>
      <c r="K2208">
        <v>89265.32</v>
      </c>
      <c r="L2208" t="str">
        <f>IF(Workforce[[#This Row],[Salary]]&lt;50000,"30k-49k",IF(Workforce[[#This Row],[Salary]]&lt;70000,"50k-69k",IF(Workforce[[#This Row],[Salary]]&lt;90000,"70k-89k","90k+")))</f>
        <v>70k-89k</v>
      </c>
      <c r="M2208" t="s">
        <v>13127</v>
      </c>
      <c r="N2208">
        <f t="shared" ca="1" si="138"/>
        <v>0</v>
      </c>
      <c r="O2208" t="str">
        <f t="shared" ca="1" si="139"/>
        <v>Beginner</v>
      </c>
    </row>
    <row r="2209" spans="1:15" x14ac:dyDescent="0.3">
      <c r="A2209" t="s">
        <v>15309</v>
      </c>
      <c r="B2209" t="s">
        <v>15310</v>
      </c>
      <c r="C2209" t="s">
        <v>187</v>
      </c>
      <c r="D2209" t="s">
        <v>15311</v>
      </c>
      <c r="E2209" t="s">
        <v>15312</v>
      </c>
      <c r="F2209" t="s">
        <v>2623</v>
      </c>
      <c r="G2209" t="s">
        <v>15313</v>
      </c>
      <c r="H2209" t="s">
        <v>15314</v>
      </c>
      <c r="I2209">
        <f t="shared" ca="1" si="136"/>
        <v>39</v>
      </c>
      <c r="J2209" t="str">
        <f t="shared" ca="1" si="137"/>
        <v>30-39</v>
      </c>
      <c r="K2209">
        <v>73837.89</v>
      </c>
      <c r="L2209" t="str">
        <f>IF(Workforce[[#This Row],[Salary]]&lt;50000,"30k-49k",IF(Workforce[[#This Row],[Salary]]&lt;70000,"50k-69k",IF(Workforce[[#This Row],[Salary]]&lt;90000,"70k-89k","90k+")))</f>
        <v>70k-89k</v>
      </c>
      <c r="M2209" t="s">
        <v>15315</v>
      </c>
      <c r="N2209">
        <f t="shared" ca="1" si="138"/>
        <v>2</v>
      </c>
      <c r="O2209" t="str">
        <f t="shared" ca="1" si="139"/>
        <v>Beginner</v>
      </c>
    </row>
    <row r="2210" spans="1:15" x14ac:dyDescent="0.3">
      <c r="A2210" t="s">
        <v>15316</v>
      </c>
      <c r="B2210" t="s">
        <v>15317</v>
      </c>
      <c r="C2210" t="s">
        <v>400</v>
      </c>
      <c r="D2210" t="s">
        <v>15318</v>
      </c>
      <c r="E2210" t="s">
        <v>15319</v>
      </c>
      <c r="F2210" t="s">
        <v>4270</v>
      </c>
      <c r="G2210" t="s">
        <v>15320</v>
      </c>
      <c r="H2210" t="s">
        <v>15321</v>
      </c>
      <c r="I2210">
        <f t="shared" ca="1" si="136"/>
        <v>51</v>
      </c>
      <c r="J2210" t="str">
        <f t="shared" ca="1" si="137"/>
        <v>50-59</v>
      </c>
      <c r="K2210">
        <v>57302.13</v>
      </c>
      <c r="L2210" t="str">
        <f>IF(Workforce[[#This Row],[Salary]]&lt;50000,"30k-49k",IF(Workforce[[#This Row],[Salary]]&lt;70000,"50k-69k",IF(Workforce[[#This Row],[Salary]]&lt;90000,"70k-89k","90k+")))</f>
        <v>50k-69k</v>
      </c>
      <c r="M2210" t="s">
        <v>15322</v>
      </c>
      <c r="N2210">
        <f t="shared" ca="1" si="138"/>
        <v>0</v>
      </c>
      <c r="O2210" t="str">
        <f t="shared" ca="1" si="139"/>
        <v>Beginner</v>
      </c>
    </row>
    <row r="2211" spans="1:15" x14ac:dyDescent="0.3">
      <c r="A2211" t="s">
        <v>15323</v>
      </c>
      <c r="B2211" t="s">
        <v>15324</v>
      </c>
      <c r="C2211" t="s">
        <v>257</v>
      </c>
      <c r="D2211" t="s">
        <v>15325</v>
      </c>
      <c r="E2211" t="s">
        <v>15326</v>
      </c>
      <c r="F2211" t="s">
        <v>10225</v>
      </c>
      <c r="G2211" t="s">
        <v>15327</v>
      </c>
      <c r="H2211" t="s">
        <v>15328</v>
      </c>
      <c r="I2211">
        <f t="shared" ca="1" si="136"/>
        <v>22</v>
      </c>
      <c r="J2211" t="str">
        <f t="shared" ca="1" si="137"/>
        <v>18-29</v>
      </c>
      <c r="K2211">
        <v>110766.33</v>
      </c>
      <c r="L2211" t="str">
        <f>IF(Workforce[[#This Row],[Salary]]&lt;50000,"30k-49k",IF(Workforce[[#This Row],[Salary]]&lt;70000,"50k-69k",IF(Workforce[[#This Row],[Salary]]&lt;90000,"70k-89k","90k+")))</f>
        <v>90k+</v>
      </c>
      <c r="M2211" t="s">
        <v>2396</v>
      </c>
      <c r="N2211">
        <f t="shared" ca="1" si="138"/>
        <v>2</v>
      </c>
      <c r="O2211" t="str">
        <f t="shared" ca="1" si="139"/>
        <v>Beginner</v>
      </c>
    </row>
    <row r="2212" spans="1:15" x14ac:dyDescent="0.3">
      <c r="A2212" t="s">
        <v>15329</v>
      </c>
      <c r="B2212" t="s">
        <v>15330</v>
      </c>
      <c r="C2212" t="s">
        <v>335</v>
      </c>
      <c r="D2212" t="s">
        <v>15331</v>
      </c>
      <c r="E2212" t="s">
        <v>15332</v>
      </c>
      <c r="F2212" t="s">
        <v>7035</v>
      </c>
      <c r="G2212" t="s">
        <v>15333</v>
      </c>
      <c r="H2212" t="s">
        <v>15334</v>
      </c>
      <c r="I2212">
        <f t="shared" ca="1" si="136"/>
        <v>42</v>
      </c>
      <c r="J2212" t="str">
        <f t="shared" ca="1" si="137"/>
        <v>40-49</v>
      </c>
      <c r="K2212">
        <v>52573.75</v>
      </c>
      <c r="L2212" t="str">
        <f>IF(Workforce[[#This Row],[Salary]]&lt;50000,"30k-49k",IF(Workforce[[#This Row],[Salary]]&lt;70000,"50k-69k",IF(Workforce[[#This Row],[Salary]]&lt;90000,"70k-89k","90k+")))</f>
        <v>50k-69k</v>
      </c>
      <c r="M2212" t="s">
        <v>15335</v>
      </c>
      <c r="N2212">
        <f t="shared" ca="1" si="138"/>
        <v>3</v>
      </c>
      <c r="O2212" t="str">
        <f t="shared" ca="1" si="139"/>
        <v>Intermediate level</v>
      </c>
    </row>
    <row r="2213" spans="1:15" x14ac:dyDescent="0.3">
      <c r="A2213" t="s">
        <v>15336</v>
      </c>
      <c r="B2213" t="s">
        <v>15337</v>
      </c>
      <c r="C2213" t="s">
        <v>106</v>
      </c>
      <c r="D2213" t="s">
        <v>15338</v>
      </c>
      <c r="E2213" t="s">
        <v>15339</v>
      </c>
      <c r="F2213" t="s">
        <v>15340</v>
      </c>
      <c r="G2213" t="s">
        <v>15341</v>
      </c>
      <c r="H2213" t="s">
        <v>8195</v>
      </c>
      <c r="I2213">
        <f t="shared" ca="1" si="136"/>
        <v>41</v>
      </c>
      <c r="J2213" t="str">
        <f t="shared" ca="1" si="137"/>
        <v>40-49</v>
      </c>
      <c r="K2213">
        <v>46924.22</v>
      </c>
      <c r="L2213" t="str">
        <f>IF(Workforce[[#This Row],[Salary]]&lt;50000,"30k-49k",IF(Workforce[[#This Row],[Salary]]&lt;70000,"50k-69k",IF(Workforce[[#This Row],[Salary]]&lt;90000,"70k-89k","90k+")))</f>
        <v>30k-49k</v>
      </c>
      <c r="M2213" t="s">
        <v>15342</v>
      </c>
      <c r="N2213">
        <f t="shared" ca="1" si="138"/>
        <v>3</v>
      </c>
      <c r="O2213" t="str">
        <f t="shared" ca="1" si="139"/>
        <v>Intermediate level</v>
      </c>
    </row>
    <row r="2214" spans="1:15" x14ac:dyDescent="0.3">
      <c r="A2214" t="s">
        <v>15343</v>
      </c>
      <c r="B2214" t="s">
        <v>15344</v>
      </c>
      <c r="C2214" t="s">
        <v>17</v>
      </c>
      <c r="D2214" t="s">
        <v>15345</v>
      </c>
      <c r="E2214" t="s">
        <v>15346</v>
      </c>
      <c r="F2214" t="s">
        <v>5666</v>
      </c>
      <c r="G2214" t="s">
        <v>15347</v>
      </c>
      <c r="H2214" t="s">
        <v>15348</v>
      </c>
      <c r="I2214">
        <f t="shared" ca="1" si="136"/>
        <v>61</v>
      </c>
      <c r="J2214" t="str">
        <f t="shared" ca="1" si="137"/>
        <v>60+</v>
      </c>
      <c r="K2214">
        <v>47686.15</v>
      </c>
      <c r="L2214" t="str">
        <f>IF(Workforce[[#This Row],[Salary]]&lt;50000,"30k-49k",IF(Workforce[[#This Row],[Salary]]&lt;70000,"50k-69k",IF(Workforce[[#This Row],[Salary]]&lt;90000,"70k-89k","90k+")))</f>
        <v>30k-49k</v>
      </c>
      <c r="M2214" t="s">
        <v>9080</v>
      </c>
      <c r="N2214">
        <f t="shared" ca="1" si="138"/>
        <v>9</v>
      </c>
      <c r="O2214" t="str">
        <f t="shared" ca="1" si="139"/>
        <v>Senior level</v>
      </c>
    </row>
    <row r="2215" spans="1:15" x14ac:dyDescent="0.3">
      <c r="A2215" t="s">
        <v>15349</v>
      </c>
      <c r="B2215" t="s">
        <v>15350</v>
      </c>
      <c r="C2215" t="s">
        <v>440</v>
      </c>
      <c r="D2215" t="s">
        <v>15351</v>
      </c>
      <c r="E2215" t="s">
        <v>15352</v>
      </c>
      <c r="F2215" t="s">
        <v>2482</v>
      </c>
      <c r="G2215" t="s">
        <v>15353</v>
      </c>
      <c r="H2215" t="s">
        <v>15354</v>
      </c>
      <c r="I2215">
        <f t="shared" ca="1" si="136"/>
        <v>61</v>
      </c>
      <c r="J2215" t="str">
        <f t="shared" ca="1" si="137"/>
        <v>60+</v>
      </c>
      <c r="K2215">
        <v>109911.79</v>
      </c>
      <c r="L2215" t="str">
        <f>IF(Workforce[[#This Row],[Salary]]&lt;50000,"30k-49k",IF(Workforce[[#This Row],[Salary]]&lt;70000,"50k-69k",IF(Workforce[[#This Row],[Salary]]&lt;90000,"70k-89k","90k+")))</f>
        <v>90k+</v>
      </c>
      <c r="M2215" t="s">
        <v>15355</v>
      </c>
      <c r="N2215">
        <f t="shared" ca="1" si="138"/>
        <v>1</v>
      </c>
      <c r="O2215" t="str">
        <f t="shared" ca="1" si="139"/>
        <v>Beginner</v>
      </c>
    </row>
    <row r="2216" spans="1:15" x14ac:dyDescent="0.3">
      <c r="A2216" t="s">
        <v>15356</v>
      </c>
      <c r="B2216" t="s">
        <v>15357</v>
      </c>
      <c r="C2216" t="s">
        <v>457</v>
      </c>
      <c r="D2216" t="s">
        <v>15358</v>
      </c>
      <c r="E2216" t="s">
        <v>15359</v>
      </c>
      <c r="F2216" t="s">
        <v>8835</v>
      </c>
      <c r="G2216" t="s">
        <v>15360</v>
      </c>
      <c r="H2216" t="s">
        <v>15361</v>
      </c>
      <c r="I2216">
        <f t="shared" ca="1" si="136"/>
        <v>64</v>
      </c>
      <c r="J2216" t="str">
        <f t="shared" ca="1" si="137"/>
        <v>60+</v>
      </c>
      <c r="K2216">
        <v>102623.39</v>
      </c>
      <c r="L2216" t="str">
        <f>IF(Workforce[[#This Row],[Salary]]&lt;50000,"30k-49k",IF(Workforce[[#This Row],[Salary]]&lt;70000,"50k-69k",IF(Workforce[[#This Row],[Salary]]&lt;90000,"70k-89k","90k+")))</f>
        <v>90k+</v>
      </c>
      <c r="M2216" t="s">
        <v>14001</v>
      </c>
      <c r="N2216">
        <f t="shared" ca="1" si="138"/>
        <v>1</v>
      </c>
      <c r="O2216" t="str">
        <f t="shared" ca="1" si="139"/>
        <v>Beginner</v>
      </c>
    </row>
    <row r="2217" spans="1:15" x14ac:dyDescent="0.3">
      <c r="A2217" t="s">
        <v>15362</v>
      </c>
      <c r="B2217" t="s">
        <v>15363</v>
      </c>
      <c r="C2217" t="s">
        <v>178</v>
      </c>
      <c r="D2217" t="s">
        <v>15364</v>
      </c>
      <c r="E2217" t="s">
        <v>15365</v>
      </c>
      <c r="F2217" t="s">
        <v>7845</v>
      </c>
      <c r="G2217" t="s">
        <v>15366</v>
      </c>
      <c r="H2217" t="s">
        <v>15367</v>
      </c>
      <c r="I2217">
        <f t="shared" ca="1" si="136"/>
        <v>38</v>
      </c>
      <c r="J2217" t="str">
        <f t="shared" ca="1" si="137"/>
        <v>30-39</v>
      </c>
      <c r="K2217">
        <v>111776.09</v>
      </c>
      <c r="L2217" t="str">
        <f>IF(Workforce[[#This Row],[Salary]]&lt;50000,"30k-49k",IF(Workforce[[#This Row],[Salary]]&lt;70000,"50k-69k",IF(Workforce[[#This Row],[Salary]]&lt;90000,"70k-89k","90k+")))</f>
        <v>90k+</v>
      </c>
      <c r="M2217" t="s">
        <v>15368</v>
      </c>
      <c r="N2217">
        <f t="shared" ca="1" si="138"/>
        <v>6</v>
      </c>
      <c r="O2217" t="str">
        <f t="shared" ca="1" si="139"/>
        <v>Intermediate level</v>
      </c>
    </row>
    <row r="2218" spans="1:15" x14ac:dyDescent="0.3">
      <c r="A2218" t="s">
        <v>15369</v>
      </c>
      <c r="B2218" t="s">
        <v>15370</v>
      </c>
      <c r="C2218" t="s">
        <v>151</v>
      </c>
      <c r="D2218" t="s">
        <v>15371</v>
      </c>
      <c r="E2218" t="s">
        <v>15372</v>
      </c>
      <c r="F2218" t="s">
        <v>4060</v>
      </c>
      <c r="G2218" t="s">
        <v>15373</v>
      </c>
      <c r="H2218" t="s">
        <v>15374</v>
      </c>
      <c r="I2218">
        <f t="shared" ca="1" si="136"/>
        <v>53</v>
      </c>
      <c r="J2218" t="str">
        <f t="shared" ca="1" si="137"/>
        <v>50-59</v>
      </c>
      <c r="K2218">
        <v>87750.09</v>
      </c>
      <c r="L2218" t="str">
        <f>IF(Workforce[[#This Row],[Salary]]&lt;50000,"30k-49k",IF(Workforce[[#This Row],[Salary]]&lt;70000,"50k-69k",IF(Workforce[[#This Row],[Salary]]&lt;90000,"70k-89k","90k+")))</f>
        <v>70k-89k</v>
      </c>
      <c r="M2218" t="s">
        <v>15375</v>
      </c>
      <c r="N2218">
        <f t="shared" ca="1" si="138"/>
        <v>1</v>
      </c>
      <c r="O2218" t="str">
        <f t="shared" ca="1" si="139"/>
        <v>Beginner</v>
      </c>
    </row>
    <row r="2219" spans="1:15" x14ac:dyDescent="0.3">
      <c r="A2219" t="s">
        <v>15376</v>
      </c>
      <c r="B2219" t="s">
        <v>15377</v>
      </c>
      <c r="C2219" t="s">
        <v>995</v>
      </c>
      <c r="D2219" t="s">
        <v>15378</v>
      </c>
      <c r="E2219" t="s">
        <v>15379</v>
      </c>
      <c r="F2219" t="s">
        <v>1194</v>
      </c>
      <c r="G2219" t="s">
        <v>15380</v>
      </c>
      <c r="H2219" t="s">
        <v>1582</v>
      </c>
      <c r="I2219">
        <f t="shared" ca="1" si="136"/>
        <v>65</v>
      </c>
      <c r="J2219" t="str">
        <f t="shared" ca="1" si="137"/>
        <v>60+</v>
      </c>
      <c r="K2219">
        <v>114396.2</v>
      </c>
      <c r="L2219" t="str">
        <f>IF(Workforce[[#This Row],[Salary]]&lt;50000,"30k-49k",IF(Workforce[[#This Row],[Salary]]&lt;70000,"50k-69k",IF(Workforce[[#This Row],[Salary]]&lt;90000,"70k-89k","90k+")))</f>
        <v>90k+</v>
      </c>
      <c r="M2219" t="s">
        <v>1953</v>
      </c>
      <c r="N2219">
        <f t="shared" ca="1" si="138"/>
        <v>6</v>
      </c>
      <c r="O2219" t="str">
        <f t="shared" ca="1" si="139"/>
        <v>Intermediate level</v>
      </c>
    </row>
    <row r="2220" spans="1:15" x14ac:dyDescent="0.3">
      <c r="A2220" t="s">
        <v>15381</v>
      </c>
      <c r="B2220" t="s">
        <v>15382</v>
      </c>
      <c r="C2220" t="s">
        <v>1223</v>
      </c>
      <c r="D2220" t="s">
        <v>15383</v>
      </c>
      <c r="E2220" t="s">
        <v>15384</v>
      </c>
      <c r="F2220" t="s">
        <v>2832</v>
      </c>
      <c r="G2220" t="s">
        <v>15385</v>
      </c>
      <c r="H2220" t="s">
        <v>9605</v>
      </c>
      <c r="I2220">
        <f t="shared" ca="1" si="136"/>
        <v>52</v>
      </c>
      <c r="J2220" t="str">
        <f t="shared" ca="1" si="137"/>
        <v>50-59</v>
      </c>
      <c r="K2220">
        <v>39111</v>
      </c>
      <c r="L2220" t="str">
        <f>IF(Workforce[[#This Row],[Salary]]&lt;50000,"30k-49k",IF(Workforce[[#This Row],[Salary]]&lt;70000,"50k-69k",IF(Workforce[[#This Row],[Salary]]&lt;90000,"70k-89k","90k+")))</f>
        <v>30k-49k</v>
      </c>
      <c r="M2220" t="s">
        <v>10415</v>
      </c>
      <c r="N2220">
        <f t="shared" ca="1" si="138"/>
        <v>4</v>
      </c>
      <c r="O2220" t="str">
        <f t="shared" ca="1" si="139"/>
        <v>Intermediate level</v>
      </c>
    </row>
    <row r="2221" spans="1:15" x14ac:dyDescent="0.3">
      <c r="A2221" t="s">
        <v>15386</v>
      </c>
      <c r="B2221" t="s">
        <v>15387</v>
      </c>
      <c r="C2221" t="s">
        <v>160</v>
      </c>
      <c r="D2221" t="s">
        <v>15388</v>
      </c>
      <c r="E2221" t="s">
        <v>15389</v>
      </c>
      <c r="F2221" t="s">
        <v>7079</v>
      </c>
      <c r="G2221" t="s">
        <v>15390</v>
      </c>
      <c r="H2221" t="s">
        <v>15391</v>
      </c>
      <c r="I2221">
        <f t="shared" ca="1" si="136"/>
        <v>39</v>
      </c>
      <c r="J2221" t="str">
        <f t="shared" ca="1" si="137"/>
        <v>30-39</v>
      </c>
      <c r="K2221">
        <v>79944.98</v>
      </c>
      <c r="L2221" t="str">
        <f>IF(Workforce[[#This Row],[Salary]]&lt;50000,"30k-49k",IF(Workforce[[#This Row],[Salary]]&lt;70000,"50k-69k",IF(Workforce[[#This Row],[Salary]]&lt;90000,"70k-89k","90k+")))</f>
        <v>70k-89k</v>
      </c>
      <c r="M2221" t="s">
        <v>15392</v>
      </c>
      <c r="N2221">
        <f t="shared" ca="1" si="138"/>
        <v>6</v>
      </c>
      <c r="O2221" t="str">
        <f t="shared" ca="1" si="139"/>
        <v>Intermediate level</v>
      </c>
    </row>
    <row r="2222" spans="1:15" x14ac:dyDescent="0.3">
      <c r="A2222" t="s">
        <v>15393</v>
      </c>
      <c r="B2222" t="s">
        <v>15394</v>
      </c>
      <c r="C2222" t="s">
        <v>995</v>
      </c>
      <c r="D2222" t="s">
        <v>15395</v>
      </c>
      <c r="E2222" t="s">
        <v>15396</v>
      </c>
      <c r="F2222" t="s">
        <v>370</v>
      </c>
      <c r="G2222" t="s">
        <v>15397</v>
      </c>
      <c r="H2222" t="s">
        <v>15398</v>
      </c>
      <c r="I2222">
        <f t="shared" ca="1" si="136"/>
        <v>30</v>
      </c>
      <c r="J2222" t="str">
        <f t="shared" ca="1" si="137"/>
        <v>30-39</v>
      </c>
      <c r="K2222">
        <v>62901.47</v>
      </c>
      <c r="L2222" t="str">
        <f>IF(Workforce[[#This Row],[Salary]]&lt;50000,"30k-49k",IF(Workforce[[#This Row],[Salary]]&lt;70000,"50k-69k",IF(Workforce[[#This Row],[Salary]]&lt;90000,"70k-89k","90k+")))</f>
        <v>50k-69k</v>
      </c>
      <c r="M2222" t="s">
        <v>15399</v>
      </c>
      <c r="N2222">
        <f t="shared" ca="1" si="138"/>
        <v>5</v>
      </c>
      <c r="O2222" t="str">
        <f t="shared" ca="1" si="139"/>
        <v>Intermediate level</v>
      </c>
    </row>
    <row r="2223" spans="1:15" x14ac:dyDescent="0.3">
      <c r="A2223" t="s">
        <v>15400</v>
      </c>
      <c r="B2223" t="s">
        <v>15401</v>
      </c>
      <c r="C2223" t="s">
        <v>178</v>
      </c>
      <c r="D2223" t="s">
        <v>15402</v>
      </c>
      <c r="E2223" t="s">
        <v>15403</v>
      </c>
      <c r="F2223" t="s">
        <v>656</v>
      </c>
      <c r="G2223" t="s">
        <v>15404</v>
      </c>
      <c r="H2223" t="s">
        <v>15405</v>
      </c>
      <c r="I2223">
        <f t="shared" ca="1" si="136"/>
        <v>45</v>
      </c>
      <c r="J2223" t="str">
        <f t="shared" ca="1" si="137"/>
        <v>40-49</v>
      </c>
      <c r="K2223">
        <v>54243.88</v>
      </c>
      <c r="L2223" t="str">
        <f>IF(Workforce[[#This Row],[Salary]]&lt;50000,"30k-49k",IF(Workforce[[#This Row],[Salary]]&lt;70000,"50k-69k",IF(Workforce[[#This Row],[Salary]]&lt;90000,"70k-89k","90k+")))</f>
        <v>50k-69k</v>
      </c>
      <c r="M2223" t="s">
        <v>3238</v>
      </c>
      <c r="N2223">
        <f t="shared" ca="1" si="138"/>
        <v>7</v>
      </c>
      <c r="O2223" t="str">
        <f t="shared" ca="1" si="139"/>
        <v>Senior level</v>
      </c>
    </row>
    <row r="2224" spans="1:15" x14ac:dyDescent="0.3">
      <c r="A2224" t="s">
        <v>15406</v>
      </c>
      <c r="B2224" t="s">
        <v>15407</v>
      </c>
      <c r="C2224" t="s">
        <v>275</v>
      </c>
      <c r="D2224" t="s">
        <v>15408</v>
      </c>
      <c r="E2224" t="s">
        <v>15409</v>
      </c>
      <c r="F2224" t="s">
        <v>9475</v>
      </c>
      <c r="G2224" t="s">
        <v>15410</v>
      </c>
      <c r="H2224" t="s">
        <v>15411</v>
      </c>
      <c r="I2224">
        <f t="shared" ca="1" si="136"/>
        <v>22</v>
      </c>
      <c r="J2224" t="str">
        <f t="shared" ca="1" si="137"/>
        <v>18-29</v>
      </c>
      <c r="K2224">
        <v>44223.46</v>
      </c>
      <c r="L2224" t="str">
        <f>IF(Workforce[[#This Row],[Salary]]&lt;50000,"30k-49k",IF(Workforce[[#This Row],[Salary]]&lt;70000,"50k-69k",IF(Workforce[[#This Row],[Salary]]&lt;90000,"70k-89k","90k+")))</f>
        <v>30k-49k</v>
      </c>
      <c r="M2224" t="s">
        <v>15412</v>
      </c>
      <c r="N2224">
        <f t="shared" ca="1" si="138"/>
        <v>5</v>
      </c>
      <c r="O2224" t="str">
        <f t="shared" ca="1" si="139"/>
        <v>Intermediate level</v>
      </c>
    </row>
    <row r="2225" spans="1:15" x14ac:dyDescent="0.3">
      <c r="A2225" t="s">
        <v>15413</v>
      </c>
      <c r="B2225" t="s">
        <v>15414</v>
      </c>
      <c r="C2225" t="s">
        <v>1004</v>
      </c>
      <c r="D2225" t="s">
        <v>15415</v>
      </c>
      <c r="E2225" t="s">
        <v>15416</v>
      </c>
      <c r="F2225" t="s">
        <v>118</v>
      </c>
      <c r="G2225" t="s">
        <v>15417</v>
      </c>
      <c r="H2225" t="s">
        <v>15418</v>
      </c>
      <c r="I2225">
        <f t="shared" ca="1" si="136"/>
        <v>34</v>
      </c>
      <c r="J2225" t="str">
        <f t="shared" ca="1" si="137"/>
        <v>30-39</v>
      </c>
      <c r="K2225">
        <v>30163.72</v>
      </c>
      <c r="L2225" t="str">
        <f>IF(Workforce[[#This Row],[Salary]]&lt;50000,"30k-49k",IF(Workforce[[#This Row],[Salary]]&lt;70000,"50k-69k",IF(Workforce[[#This Row],[Salary]]&lt;90000,"70k-89k","90k+")))</f>
        <v>30k-49k</v>
      </c>
      <c r="M2225" t="s">
        <v>15419</v>
      </c>
      <c r="N2225">
        <f t="shared" ca="1" si="138"/>
        <v>9</v>
      </c>
      <c r="O2225" t="str">
        <f t="shared" ca="1" si="139"/>
        <v>Senior level</v>
      </c>
    </row>
    <row r="2226" spans="1:15" x14ac:dyDescent="0.3">
      <c r="A2226" t="s">
        <v>15420</v>
      </c>
      <c r="B2226" t="s">
        <v>15421</v>
      </c>
      <c r="C2226" t="s">
        <v>187</v>
      </c>
      <c r="D2226" t="s">
        <v>15422</v>
      </c>
      <c r="E2226" t="s">
        <v>15423</v>
      </c>
      <c r="F2226" t="s">
        <v>1611</v>
      </c>
      <c r="G2226" t="s">
        <v>15424</v>
      </c>
      <c r="H2226" t="s">
        <v>15425</v>
      </c>
      <c r="I2226">
        <f t="shared" ca="1" si="136"/>
        <v>47</v>
      </c>
      <c r="J2226" t="str">
        <f t="shared" ca="1" si="137"/>
        <v>40-49</v>
      </c>
      <c r="K2226">
        <v>65987.649999999994</v>
      </c>
      <c r="L2226" t="str">
        <f>IF(Workforce[[#This Row],[Salary]]&lt;50000,"30k-49k",IF(Workforce[[#This Row],[Salary]]&lt;70000,"50k-69k",IF(Workforce[[#This Row],[Salary]]&lt;90000,"70k-89k","90k+")))</f>
        <v>50k-69k</v>
      </c>
      <c r="M2226" t="s">
        <v>5340</v>
      </c>
      <c r="N2226">
        <f t="shared" ca="1" si="138"/>
        <v>4</v>
      </c>
      <c r="O2226" t="str">
        <f t="shared" ca="1" si="139"/>
        <v>Intermediate level</v>
      </c>
    </row>
    <row r="2227" spans="1:15" x14ac:dyDescent="0.3">
      <c r="A2227" t="s">
        <v>15426</v>
      </c>
      <c r="B2227" t="s">
        <v>15427</v>
      </c>
      <c r="C2227" t="s">
        <v>231</v>
      </c>
      <c r="D2227" t="s">
        <v>15428</v>
      </c>
      <c r="E2227" t="s">
        <v>15429</v>
      </c>
      <c r="F2227" t="s">
        <v>13089</v>
      </c>
      <c r="G2227" t="s">
        <v>7853</v>
      </c>
      <c r="H2227" t="s">
        <v>15430</v>
      </c>
      <c r="I2227">
        <f t="shared" ca="1" si="136"/>
        <v>61</v>
      </c>
      <c r="J2227" t="str">
        <f t="shared" ca="1" si="137"/>
        <v>60+</v>
      </c>
      <c r="K2227">
        <v>92785.13</v>
      </c>
      <c r="L2227" t="str">
        <f>IF(Workforce[[#This Row],[Salary]]&lt;50000,"30k-49k",IF(Workforce[[#This Row],[Salary]]&lt;70000,"50k-69k",IF(Workforce[[#This Row],[Salary]]&lt;90000,"70k-89k","90k+")))</f>
        <v>90k+</v>
      </c>
      <c r="M2227" t="s">
        <v>1536</v>
      </c>
      <c r="N2227">
        <f t="shared" ca="1" si="138"/>
        <v>3</v>
      </c>
      <c r="O2227" t="str">
        <f t="shared" ca="1" si="139"/>
        <v>Intermediate level</v>
      </c>
    </row>
    <row r="2228" spans="1:15" x14ac:dyDescent="0.3">
      <c r="A2228" t="s">
        <v>15431</v>
      </c>
      <c r="B2228" t="s">
        <v>15432</v>
      </c>
      <c r="C2228" t="s">
        <v>317</v>
      </c>
      <c r="D2228" t="s">
        <v>15433</v>
      </c>
      <c r="E2228" t="s">
        <v>15434</v>
      </c>
      <c r="F2228" t="s">
        <v>1549</v>
      </c>
      <c r="G2228" t="s">
        <v>15435</v>
      </c>
      <c r="H2228" t="s">
        <v>15436</v>
      </c>
      <c r="I2228">
        <f t="shared" ca="1" si="136"/>
        <v>31</v>
      </c>
      <c r="J2228" t="str">
        <f t="shared" ca="1" si="137"/>
        <v>30-39</v>
      </c>
      <c r="K2228">
        <v>67577.14</v>
      </c>
      <c r="L2228" t="str">
        <f>IF(Workforce[[#This Row],[Salary]]&lt;50000,"30k-49k",IF(Workforce[[#This Row],[Salary]]&lt;70000,"50k-69k",IF(Workforce[[#This Row],[Salary]]&lt;90000,"70k-89k","90k+")))</f>
        <v>50k-69k</v>
      </c>
      <c r="M2228" t="s">
        <v>7023</v>
      </c>
      <c r="N2228">
        <f t="shared" ca="1" si="138"/>
        <v>8</v>
      </c>
      <c r="O2228" t="str">
        <f t="shared" ca="1" si="139"/>
        <v>Senior level</v>
      </c>
    </row>
    <row r="2229" spans="1:15" x14ac:dyDescent="0.3">
      <c r="A2229" t="s">
        <v>15437</v>
      </c>
      <c r="B2229" t="s">
        <v>15438</v>
      </c>
      <c r="C2229" t="s">
        <v>61</v>
      </c>
      <c r="D2229" t="s">
        <v>15439</v>
      </c>
      <c r="E2229" t="s">
        <v>15440</v>
      </c>
      <c r="F2229" t="s">
        <v>6993</v>
      </c>
      <c r="G2229" t="s">
        <v>15441</v>
      </c>
      <c r="H2229" t="s">
        <v>15442</v>
      </c>
      <c r="I2229">
        <f t="shared" ca="1" si="136"/>
        <v>32</v>
      </c>
      <c r="J2229" t="str">
        <f t="shared" ca="1" si="137"/>
        <v>30-39</v>
      </c>
      <c r="K2229">
        <v>94667.92</v>
      </c>
      <c r="L2229" t="str">
        <f>IF(Workforce[[#This Row],[Salary]]&lt;50000,"30k-49k",IF(Workforce[[#This Row],[Salary]]&lt;70000,"50k-69k",IF(Workforce[[#This Row],[Salary]]&lt;90000,"70k-89k","90k+")))</f>
        <v>90k+</v>
      </c>
      <c r="M2229" t="s">
        <v>15443</v>
      </c>
      <c r="N2229">
        <f t="shared" ca="1" si="138"/>
        <v>5</v>
      </c>
      <c r="O2229" t="str">
        <f t="shared" ca="1" si="139"/>
        <v>Intermediate level</v>
      </c>
    </row>
    <row r="2230" spans="1:15" x14ac:dyDescent="0.3">
      <c r="A2230" t="s">
        <v>15444</v>
      </c>
      <c r="B2230" t="s">
        <v>15445</v>
      </c>
      <c r="C2230" t="s">
        <v>440</v>
      </c>
      <c r="D2230" t="s">
        <v>15446</v>
      </c>
      <c r="E2230" t="s">
        <v>15447</v>
      </c>
      <c r="F2230" t="s">
        <v>6827</v>
      </c>
      <c r="G2230" t="s">
        <v>15448</v>
      </c>
      <c r="H2230" t="s">
        <v>13522</v>
      </c>
      <c r="I2230">
        <f t="shared" ca="1" si="136"/>
        <v>31</v>
      </c>
      <c r="J2230" t="str">
        <f t="shared" ca="1" si="137"/>
        <v>30-39</v>
      </c>
      <c r="K2230">
        <v>99085.57</v>
      </c>
      <c r="L2230" t="str">
        <f>IF(Workforce[[#This Row],[Salary]]&lt;50000,"30k-49k",IF(Workforce[[#This Row],[Salary]]&lt;70000,"50k-69k",IF(Workforce[[#This Row],[Salary]]&lt;90000,"70k-89k","90k+")))</f>
        <v>90k+</v>
      </c>
      <c r="M2230" t="s">
        <v>6386</v>
      </c>
      <c r="N2230">
        <f t="shared" ca="1" si="138"/>
        <v>5</v>
      </c>
      <c r="O2230" t="str">
        <f t="shared" ca="1" si="139"/>
        <v>Intermediate level</v>
      </c>
    </row>
    <row r="2231" spans="1:15" x14ac:dyDescent="0.3">
      <c r="A2231" t="s">
        <v>15449</v>
      </c>
      <c r="B2231" t="s">
        <v>15450</v>
      </c>
      <c r="C2231" t="s">
        <v>178</v>
      </c>
      <c r="D2231" t="s">
        <v>15451</v>
      </c>
      <c r="E2231" t="s">
        <v>15452</v>
      </c>
      <c r="F2231" t="s">
        <v>476</v>
      </c>
      <c r="G2231" t="s">
        <v>15453</v>
      </c>
      <c r="H2231" t="s">
        <v>15454</v>
      </c>
      <c r="I2231">
        <f t="shared" ca="1" si="136"/>
        <v>42</v>
      </c>
      <c r="J2231" t="str">
        <f t="shared" ca="1" si="137"/>
        <v>40-49</v>
      </c>
      <c r="K2231">
        <v>36314.04</v>
      </c>
      <c r="L2231" t="str">
        <f>IF(Workforce[[#This Row],[Salary]]&lt;50000,"30k-49k",IF(Workforce[[#This Row],[Salary]]&lt;70000,"50k-69k",IF(Workforce[[#This Row],[Salary]]&lt;90000,"70k-89k","90k+")))</f>
        <v>30k-49k</v>
      </c>
      <c r="M2231" t="s">
        <v>15455</v>
      </c>
      <c r="N2231">
        <f t="shared" ca="1" si="138"/>
        <v>2</v>
      </c>
      <c r="O2231" t="str">
        <f t="shared" ca="1" si="139"/>
        <v>Beginner</v>
      </c>
    </row>
    <row r="2232" spans="1:15" x14ac:dyDescent="0.3">
      <c r="A2232" t="s">
        <v>15456</v>
      </c>
      <c r="B2232" t="s">
        <v>15457</v>
      </c>
      <c r="C2232" t="s">
        <v>774</v>
      </c>
      <c r="D2232" t="s">
        <v>15458</v>
      </c>
      <c r="E2232" t="s">
        <v>15459</v>
      </c>
      <c r="F2232" t="s">
        <v>4270</v>
      </c>
      <c r="G2232" t="s">
        <v>15460</v>
      </c>
      <c r="H2232" t="s">
        <v>15461</v>
      </c>
      <c r="I2232">
        <f t="shared" ca="1" si="136"/>
        <v>38</v>
      </c>
      <c r="J2232" t="str">
        <f t="shared" ca="1" si="137"/>
        <v>30-39</v>
      </c>
      <c r="K2232">
        <v>105847.85</v>
      </c>
      <c r="L2232" t="str">
        <f>IF(Workforce[[#This Row],[Salary]]&lt;50000,"30k-49k",IF(Workforce[[#This Row],[Salary]]&lt;70000,"50k-69k",IF(Workforce[[#This Row],[Salary]]&lt;90000,"70k-89k","90k+")))</f>
        <v>90k+</v>
      </c>
      <c r="M2232" t="s">
        <v>15462</v>
      </c>
      <c r="N2232">
        <f t="shared" ca="1" si="138"/>
        <v>10</v>
      </c>
      <c r="O2232" t="str">
        <f t="shared" ca="1" si="139"/>
        <v>Senior level</v>
      </c>
    </row>
    <row r="2233" spans="1:15" x14ac:dyDescent="0.3">
      <c r="A2233" t="s">
        <v>15463</v>
      </c>
      <c r="B2233" t="s">
        <v>15464</v>
      </c>
      <c r="C2233" t="s">
        <v>222</v>
      </c>
      <c r="D2233" t="s">
        <v>15465</v>
      </c>
      <c r="E2233" t="s">
        <v>15466</v>
      </c>
      <c r="F2233" t="s">
        <v>800</v>
      </c>
      <c r="G2233" t="s">
        <v>15467</v>
      </c>
      <c r="H2233" t="s">
        <v>15468</v>
      </c>
      <c r="I2233">
        <f t="shared" ca="1" si="136"/>
        <v>58</v>
      </c>
      <c r="J2233" t="str">
        <f t="shared" ca="1" si="137"/>
        <v>50-59</v>
      </c>
      <c r="K2233">
        <v>56989.51</v>
      </c>
      <c r="L2233" t="str">
        <f>IF(Workforce[[#This Row],[Salary]]&lt;50000,"30k-49k",IF(Workforce[[#This Row],[Salary]]&lt;70000,"50k-69k",IF(Workforce[[#This Row],[Salary]]&lt;90000,"70k-89k","90k+")))</f>
        <v>50k-69k</v>
      </c>
      <c r="M2233" t="s">
        <v>13260</v>
      </c>
      <c r="N2233">
        <f t="shared" ca="1" si="138"/>
        <v>5</v>
      </c>
      <c r="O2233" t="str">
        <f t="shared" ca="1" si="139"/>
        <v>Intermediate level</v>
      </c>
    </row>
    <row r="2234" spans="1:15" x14ac:dyDescent="0.3">
      <c r="A2234" t="s">
        <v>15469</v>
      </c>
      <c r="B2234" t="s">
        <v>15470</v>
      </c>
      <c r="C2234" t="s">
        <v>35</v>
      </c>
      <c r="D2234" t="s">
        <v>15471</v>
      </c>
      <c r="E2234" t="s">
        <v>15472</v>
      </c>
      <c r="F2234" t="s">
        <v>7341</v>
      </c>
      <c r="G2234" t="s">
        <v>15473</v>
      </c>
      <c r="H2234" t="s">
        <v>10293</v>
      </c>
      <c r="I2234">
        <f t="shared" ca="1" si="136"/>
        <v>19</v>
      </c>
      <c r="J2234" t="str">
        <f t="shared" ca="1" si="137"/>
        <v>18-29</v>
      </c>
      <c r="K2234">
        <v>66038.95</v>
      </c>
      <c r="L2234" t="str">
        <f>IF(Workforce[[#This Row],[Salary]]&lt;50000,"30k-49k",IF(Workforce[[#This Row],[Salary]]&lt;70000,"50k-69k",IF(Workforce[[#This Row],[Salary]]&lt;90000,"70k-89k","90k+")))</f>
        <v>50k-69k</v>
      </c>
      <c r="M2234" t="s">
        <v>10357</v>
      </c>
      <c r="N2234">
        <f t="shared" ca="1" si="138"/>
        <v>6</v>
      </c>
      <c r="O2234" t="str">
        <f t="shared" ca="1" si="139"/>
        <v>Intermediate level</v>
      </c>
    </row>
    <row r="2235" spans="1:15" x14ac:dyDescent="0.3">
      <c r="A2235" t="s">
        <v>15474</v>
      </c>
      <c r="B2235" t="s">
        <v>15475</v>
      </c>
      <c r="C2235" t="s">
        <v>275</v>
      </c>
      <c r="D2235" t="s">
        <v>15476</v>
      </c>
      <c r="E2235" t="s">
        <v>15477</v>
      </c>
      <c r="F2235" t="s">
        <v>2416</v>
      </c>
      <c r="G2235" t="s">
        <v>15478</v>
      </c>
      <c r="H2235" t="s">
        <v>15479</v>
      </c>
      <c r="I2235">
        <f t="shared" ca="1" si="136"/>
        <v>51</v>
      </c>
      <c r="J2235" t="str">
        <f t="shared" ca="1" si="137"/>
        <v>50-59</v>
      </c>
      <c r="K2235">
        <v>37699.1</v>
      </c>
      <c r="L2235" t="str">
        <f>IF(Workforce[[#This Row],[Salary]]&lt;50000,"30k-49k",IF(Workforce[[#This Row],[Salary]]&lt;70000,"50k-69k",IF(Workforce[[#This Row],[Salary]]&lt;90000,"70k-89k","90k+")))</f>
        <v>30k-49k</v>
      </c>
      <c r="M2235" t="s">
        <v>15480</v>
      </c>
      <c r="N2235">
        <f t="shared" ca="1" si="138"/>
        <v>8</v>
      </c>
      <c r="O2235" t="str">
        <f t="shared" ca="1" si="139"/>
        <v>Senior level</v>
      </c>
    </row>
    <row r="2236" spans="1:15" x14ac:dyDescent="0.3">
      <c r="A2236" t="s">
        <v>15481</v>
      </c>
      <c r="B2236" t="s">
        <v>15482</v>
      </c>
      <c r="C2236" t="s">
        <v>653</v>
      </c>
      <c r="D2236" t="s">
        <v>15483</v>
      </c>
      <c r="E2236" t="s">
        <v>15484</v>
      </c>
      <c r="F2236" t="s">
        <v>1788</v>
      </c>
      <c r="G2236" t="s">
        <v>15485</v>
      </c>
      <c r="H2236" t="s">
        <v>15486</v>
      </c>
      <c r="I2236">
        <f t="shared" ca="1" si="136"/>
        <v>26</v>
      </c>
      <c r="J2236" t="str">
        <f t="shared" ca="1" si="137"/>
        <v>18-29</v>
      </c>
      <c r="K2236">
        <v>98284.27</v>
      </c>
      <c r="L2236" t="str">
        <f>IF(Workforce[[#This Row],[Salary]]&lt;50000,"30k-49k",IF(Workforce[[#This Row],[Salary]]&lt;70000,"50k-69k",IF(Workforce[[#This Row],[Salary]]&lt;90000,"70k-89k","90k+")))</f>
        <v>90k+</v>
      </c>
      <c r="M2236" t="s">
        <v>13969</v>
      </c>
      <c r="N2236">
        <f t="shared" ca="1" si="138"/>
        <v>10</v>
      </c>
      <c r="O2236" t="str">
        <f t="shared" ca="1" si="139"/>
        <v>Senior level</v>
      </c>
    </row>
    <row r="2237" spans="1:15" x14ac:dyDescent="0.3">
      <c r="A2237" t="s">
        <v>15487</v>
      </c>
      <c r="B2237" t="s">
        <v>15488</v>
      </c>
      <c r="C2237" t="s">
        <v>70</v>
      </c>
      <c r="D2237" t="s">
        <v>15489</v>
      </c>
      <c r="E2237" t="s">
        <v>15490</v>
      </c>
      <c r="F2237" t="s">
        <v>10073</v>
      </c>
      <c r="G2237" t="s">
        <v>15491</v>
      </c>
      <c r="H2237" t="s">
        <v>15492</v>
      </c>
      <c r="I2237">
        <f t="shared" ca="1" si="136"/>
        <v>19</v>
      </c>
      <c r="J2237" t="str">
        <f t="shared" ca="1" si="137"/>
        <v>18-29</v>
      </c>
      <c r="K2237">
        <v>57514.77</v>
      </c>
      <c r="L2237" t="str">
        <f>IF(Workforce[[#This Row],[Salary]]&lt;50000,"30k-49k",IF(Workforce[[#This Row],[Salary]]&lt;70000,"50k-69k",IF(Workforce[[#This Row],[Salary]]&lt;90000,"70k-89k","90k+")))</f>
        <v>50k-69k</v>
      </c>
      <c r="M2237" t="s">
        <v>15493</v>
      </c>
      <c r="N2237">
        <f t="shared" ca="1" si="138"/>
        <v>7</v>
      </c>
      <c r="O2237" t="str">
        <f t="shared" ca="1" si="139"/>
        <v>Senior level</v>
      </c>
    </row>
    <row r="2238" spans="1:15" x14ac:dyDescent="0.3">
      <c r="A2238" t="s">
        <v>15494</v>
      </c>
      <c r="B2238" t="s">
        <v>15495</v>
      </c>
      <c r="C2238" t="s">
        <v>160</v>
      </c>
      <c r="D2238" t="s">
        <v>15496</v>
      </c>
      <c r="E2238" t="s">
        <v>15497</v>
      </c>
      <c r="F2238" t="s">
        <v>2020</v>
      </c>
      <c r="G2238" t="s">
        <v>15498</v>
      </c>
      <c r="H2238" t="s">
        <v>13052</v>
      </c>
      <c r="I2238">
        <f t="shared" ca="1" si="136"/>
        <v>32</v>
      </c>
      <c r="J2238" t="str">
        <f t="shared" ca="1" si="137"/>
        <v>30-39</v>
      </c>
      <c r="K2238">
        <v>107495.76</v>
      </c>
      <c r="L2238" t="str">
        <f>IF(Workforce[[#This Row],[Salary]]&lt;50000,"30k-49k",IF(Workforce[[#This Row],[Salary]]&lt;70000,"50k-69k",IF(Workforce[[#This Row],[Salary]]&lt;90000,"70k-89k","90k+")))</f>
        <v>90k+</v>
      </c>
      <c r="M2238" t="s">
        <v>5582</v>
      </c>
      <c r="N2238">
        <f t="shared" ca="1" si="138"/>
        <v>9</v>
      </c>
      <c r="O2238" t="str">
        <f t="shared" ca="1" si="139"/>
        <v>Senior level</v>
      </c>
    </row>
    <row r="2239" spans="1:15" x14ac:dyDescent="0.3">
      <c r="A2239" t="s">
        <v>15499</v>
      </c>
      <c r="B2239" t="s">
        <v>15500</v>
      </c>
      <c r="C2239" t="s">
        <v>284</v>
      </c>
      <c r="D2239" t="s">
        <v>15501</v>
      </c>
      <c r="E2239" t="s">
        <v>15502</v>
      </c>
      <c r="F2239" t="s">
        <v>3529</v>
      </c>
      <c r="G2239" t="s">
        <v>15503</v>
      </c>
      <c r="H2239" t="s">
        <v>15504</v>
      </c>
      <c r="I2239">
        <f t="shared" ca="1" si="136"/>
        <v>35</v>
      </c>
      <c r="J2239" t="str">
        <f t="shared" ca="1" si="137"/>
        <v>30-39</v>
      </c>
      <c r="K2239">
        <v>66090.59</v>
      </c>
      <c r="L2239" t="str">
        <f>IF(Workforce[[#This Row],[Salary]]&lt;50000,"30k-49k",IF(Workforce[[#This Row],[Salary]]&lt;70000,"50k-69k",IF(Workforce[[#This Row],[Salary]]&lt;90000,"70k-89k","90k+")))</f>
        <v>50k-69k</v>
      </c>
      <c r="M2239" t="s">
        <v>15505</v>
      </c>
      <c r="N2239">
        <f t="shared" ca="1" si="138"/>
        <v>6</v>
      </c>
      <c r="O2239" t="str">
        <f t="shared" ca="1" si="139"/>
        <v>Intermediate level</v>
      </c>
    </row>
    <row r="2240" spans="1:15" x14ac:dyDescent="0.3">
      <c r="A2240" t="s">
        <v>3122</v>
      </c>
      <c r="B2240" t="s">
        <v>15506</v>
      </c>
      <c r="C2240" t="s">
        <v>275</v>
      </c>
      <c r="D2240" t="s">
        <v>15507</v>
      </c>
      <c r="E2240" t="s">
        <v>15508</v>
      </c>
      <c r="F2240" t="s">
        <v>8172</v>
      </c>
      <c r="G2240" t="s">
        <v>15509</v>
      </c>
      <c r="H2240" t="s">
        <v>15510</v>
      </c>
      <c r="I2240">
        <f t="shared" ca="1" si="136"/>
        <v>52</v>
      </c>
      <c r="J2240" t="str">
        <f t="shared" ca="1" si="137"/>
        <v>50-59</v>
      </c>
      <c r="K2240">
        <v>47395.56</v>
      </c>
      <c r="L2240" t="str">
        <f>IF(Workforce[[#This Row],[Salary]]&lt;50000,"30k-49k",IF(Workforce[[#This Row],[Salary]]&lt;70000,"50k-69k",IF(Workforce[[#This Row],[Salary]]&lt;90000,"70k-89k","90k+")))</f>
        <v>30k-49k</v>
      </c>
      <c r="M2240" t="s">
        <v>15511</v>
      </c>
      <c r="N2240">
        <f t="shared" ca="1" si="138"/>
        <v>7</v>
      </c>
      <c r="O2240" t="str">
        <f t="shared" ca="1" si="139"/>
        <v>Senior level</v>
      </c>
    </row>
    <row r="2241" spans="1:15" x14ac:dyDescent="0.3">
      <c r="A2241" t="s">
        <v>15512</v>
      </c>
      <c r="B2241" t="s">
        <v>15513</v>
      </c>
      <c r="C2241" t="s">
        <v>757</v>
      </c>
      <c r="D2241" t="s">
        <v>15514</v>
      </c>
      <c r="E2241" t="s">
        <v>15515</v>
      </c>
      <c r="F2241" t="s">
        <v>672</v>
      </c>
      <c r="G2241" t="s">
        <v>15516</v>
      </c>
      <c r="H2241" t="s">
        <v>15517</v>
      </c>
      <c r="I2241">
        <f t="shared" ca="1" si="136"/>
        <v>23</v>
      </c>
      <c r="J2241" t="str">
        <f t="shared" ca="1" si="137"/>
        <v>18-29</v>
      </c>
      <c r="K2241">
        <v>39815.68</v>
      </c>
      <c r="L2241" t="str">
        <f>IF(Workforce[[#This Row],[Salary]]&lt;50000,"30k-49k",IF(Workforce[[#This Row],[Salary]]&lt;70000,"50k-69k",IF(Workforce[[#This Row],[Salary]]&lt;90000,"70k-89k","90k+")))</f>
        <v>30k-49k</v>
      </c>
      <c r="M2241" t="s">
        <v>1048</v>
      </c>
      <c r="N2241">
        <f t="shared" ca="1" si="138"/>
        <v>4</v>
      </c>
      <c r="O2241" t="str">
        <f t="shared" ca="1" si="139"/>
        <v>Intermediate level</v>
      </c>
    </row>
    <row r="2242" spans="1:15" x14ac:dyDescent="0.3">
      <c r="A2242" t="s">
        <v>15518</v>
      </c>
      <c r="B2242" t="s">
        <v>15519</v>
      </c>
      <c r="C2242" t="s">
        <v>35</v>
      </c>
      <c r="D2242" t="s">
        <v>15520</v>
      </c>
      <c r="E2242" t="s">
        <v>15521</v>
      </c>
      <c r="F2242" t="s">
        <v>234</v>
      </c>
      <c r="G2242" t="s">
        <v>15522</v>
      </c>
      <c r="H2242" t="s">
        <v>15523</v>
      </c>
      <c r="I2242">
        <f t="shared" ref="I2242:I2305" ca="1" si="140">DATEDIF(H2242,TODAY(),"y")</f>
        <v>45</v>
      </c>
      <c r="J2242" t="str">
        <f t="shared" ref="J2242:J2305" ca="1" si="141">IF(I2242&lt;30,"18-29",IF(I2242&lt;40,"30-39",IF(I2242&lt;50,"40-49",IF(I2242&lt;60,"50-59","60+"))))</f>
        <v>40-49</v>
      </c>
      <c r="K2242">
        <v>113611.31</v>
      </c>
      <c r="L2242" t="str">
        <f>IF(Workforce[[#This Row],[Salary]]&lt;50000,"30k-49k",IF(Workforce[[#This Row],[Salary]]&lt;70000,"50k-69k",IF(Workforce[[#This Row],[Salary]]&lt;90000,"70k-89k","90k+")))</f>
        <v>90k+</v>
      </c>
      <c r="M2242" t="s">
        <v>15524</v>
      </c>
      <c r="N2242">
        <f t="shared" ref="N2242:N2305" ca="1" si="142">DATEDIF(M2242,TODAY(),"y")</f>
        <v>4</v>
      </c>
      <c r="O2242" t="str">
        <f t="shared" ref="O2242:O2305" ca="1" si="143">IF(N2242&lt;=2,"Beginner",IF(N2242&lt;=6,"Intermediate level","Senior level"))</f>
        <v>Intermediate level</v>
      </c>
    </row>
    <row r="2243" spans="1:15" x14ac:dyDescent="0.3">
      <c r="A2243" t="s">
        <v>15525</v>
      </c>
      <c r="B2243" t="s">
        <v>15526</v>
      </c>
      <c r="C2243" t="s">
        <v>400</v>
      </c>
      <c r="D2243" t="s">
        <v>15527</v>
      </c>
      <c r="E2243" t="s">
        <v>15528</v>
      </c>
      <c r="F2243" t="s">
        <v>623</v>
      </c>
      <c r="G2243" t="s">
        <v>15529</v>
      </c>
      <c r="H2243" t="s">
        <v>15530</v>
      </c>
      <c r="I2243">
        <f t="shared" ca="1" si="140"/>
        <v>19</v>
      </c>
      <c r="J2243" t="str">
        <f t="shared" ca="1" si="141"/>
        <v>18-29</v>
      </c>
      <c r="K2243">
        <v>113290.3</v>
      </c>
      <c r="L2243" t="str">
        <f>IF(Workforce[[#This Row],[Salary]]&lt;50000,"30k-49k",IF(Workforce[[#This Row],[Salary]]&lt;70000,"50k-69k",IF(Workforce[[#This Row],[Salary]]&lt;90000,"70k-89k","90k+")))</f>
        <v>90k+</v>
      </c>
      <c r="M2243" t="s">
        <v>2535</v>
      </c>
      <c r="N2243">
        <f t="shared" ca="1" si="142"/>
        <v>8</v>
      </c>
      <c r="O2243" t="str">
        <f t="shared" ca="1" si="143"/>
        <v>Senior level</v>
      </c>
    </row>
    <row r="2244" spans="1:15" x14ac:dyDescent="0.3">
      <c r="A2244" t="s">
        <v>15531</v>
      </c>
      <c r="B2244" t="s">
        <v>15532</v>
      </c>
      <c r="C2244" t="s">
        <v>160</v>
      </c>
      <c r="D2244" t="s">
        <v>15533</v>
      </c>
      <c r="E2244" t="s">
        <v>15534</v>
      </c>
      <c r="F2244" t="s">
        <v>1657</v>
      </c>
      <c r="G2244" t="s">
        <v>15535</v>
      </c>
      <c r="H2244" t="s">
        <v>15536</v>
      </c>
      <c r="I2244">
        <f t="shared" ca="1" si="140"/>
        <v>38</v>
      </c>
      <c r="J2244" t="str">
        <f t="shared" ca="1" si="141"/>
        <v>30-39</v>
      </c>
      <c r="K2244">
        <v>50161.8</v>
      </c>
      <c r="L2244" t="str">
        <f>IF(Workforce[[#This Row],[Salary]]&lt;50000,"30k-49k",IF(Workforce[[#This Row],[Salary]]&lt;70000,"50k-69k",IF(Workforce[[#This Row],[Salary]]&lt;90000,"70k-89k","90k+")))</f>
        <v>50k-69k</v>
      </c>
      <c r="M2244" t="s">
        <v>7497</v>
      </c>
      <c r="N2244">
        <f t="shared" ca="1" si="142"/>
        <v>5</v>
      </c>
      <c r="O2244" t="str">
        <f t="shared" ca="1" si="143"/>
        <v>Intermediate level</v>
      </c>
    </row>
    <row r="2245" spans="1:15" x14ac:dyDescent="0.3">
      <c r="A2245" t="s">
        <v>15537</v>
      </c>
      <c r="B2245" t="s">
        <v>15538</v>
      </c>
      <c r="C2245" t="s">
        <v>79</v>
      </c>
      <c r="D2245" t="s">
        <v>15539</v>
      </c>
      <c r="E2245" t="s">
        <v>15540</v>
      </c>
      <c r="F2245" t="s">
        <v>2036</v>
      </c>
      <c r="G2245" t="s">
        <v>15541</v>
      </c>
      <c r="H2245" t="s">
        <v>15542</v>
      </c>
      <c r="I2245">
        <f t="shared" ca="1" si="140"/>
        <v>33</v>
      </c>
      <c r="J2245" t="str">
        <f t="shared" ca="1" si="141"/>
        <v>30-39</v>
      </c>
      <c r="K2245">
        <v>108159.67999999999</v>
      </c>
      <c r="L2245" t="str">
        <f>IF(Workforce[[#This Row],[Salary]]&lt;50000,"30k-49k",IF(Workforce[[#This Row],[Salary]]&lt;70000,"50k-69k",IF(Workforce[[#This Row],[Salary]]&lt;90000,"70k-89k","90k+")))</f>
        <v>90k+</v>
      </c>
      <c r="M2245" t="s">
        <v>15543</v>
      </c>
      <c r="N2245">
        <f t="shared" ca="1" si="142"/>
        <v>8</v>
      </c>
      <c r="O2245" t="str">
        <f t="shared" ca="1" si="143"/>
        <v>Senior level</v>
      </c>
    </row>
    <row r="2246" spans="1:15" x14ac:dyDescent="0.3">
      <c r="A2246" t="s">
        <v>15544</v>
      </c>
      <c r="B2246" t="s">
        <v>15545</v>
      </c>
      <c r="C2246" t="s">
        <v>17</v>
      </c>
      <c r="D2246" t="s">
        <v>15546</v>
      </c>
      <c r="E2246" t="s">
        <v>15547</v>
      </c>
      <c r="F2246" t="s">
        <v>3971</v>
      </c>
      <c r="G2246" t="s">
        <v>15548</v>
      </c>
      <c r="H2246" t="s">
        <v>15549</v>
      </c>
      <c r="I2246">
        <f t="shared" ca="1" si="140"/>
        <v>23</v>
      </c>
      <c r="J2246" t="str">
        <f t="shared" ca="1" si="141"/>
        <v>18-29</v>
      </c>
      <c r="K2246">
        <v>64100.73</v>
      </c>
      <c r="L2246" t="str">
        <f>IF(Workforce[[#This Row],[Salary]]&lt;50000,"30k-49k",IF(Workforce[[#This Row],[Salary]]&lt;70000,"50k-69k",IF(Workforce[[#This Row],[Salary]]&lt;90000,"70k-89k","90k+")))</f>
        <v>50k-69k</v>
      </c>
      <c r="M2246" t="s">
        <v>15550</v>
      </c>
      <c r="N2246">
        <f t="shared" ca="1" si="142"/>
        <v>6</v>
      </c>
      <c r="O2246" t="str">
        <f t="shared" ca="1" si="143"/>
        <v>Intermediate level</v>
      </c>
    </row>
    <row r="2247" spans="1:15" x14ac:dyDescent="0.3">
      <c r="A2247" t="s">
        <v>15551</v>
      </c>
      <c r="B2247" t="s">
        <v>15552</v>
      </c>
      <c r="C2247" t="s">
        <v>653</v>
      </c>
      <c r="D2247" t="s">
        <v>15553</v>
      </c>
      <c r="E2247" t="s">
        <v>15554</v>
      </c>
      <c r="F2247" t="s">
        <v>639</v>
      </c>
      <c r="G2247" t="s">
        <v>13448</v>
      </c>
      <c r="H2247" t="s">
        <v>15555</v>
      </c>
      <c r="I2247">
        <f t="shared" ca="1" si="140"/>
        <v>34</v>
      </c>
      <c r="J2247" t="str">
        <f t="shared" ca="1" si="141"/>
        <v>30-39</v>
      </c>
      <c r="K2247">
        <v>114008.5</v>
      </c>
      <c r="L2247" t="str">
        <f>IF(Workforce[[#This Row],[Salary]]&lt;50000,"30k-49k",IF(Workforce[[#This Row],[Salary]]&lt;70000,"50k-69k",IF(Workforce[[#This Row],[Salary]]&lt;90000,"70k-89k","90k+")))</f>
        <v>90k+</v>
      </c>
      <c r="M2247" t="s">
        <v>13099</v>
      </c>
      <c r="N2247">
        <f t="shared" ca="1" si="142"/>
        <v>7</v>
      </c>
      <c r="O2247" t="str">
        <f t="shared" ca="1" si="143"/>
        <v>Senior level</v>
      </c>
    </row>
    <row r="2248" spans="1:15" x14ac:dyDescent="0.3">
      <c r="A2248" t="s">
        <v>15556</v>
      </c>
      <c r="B2248" t="s">
        <v>15557</v>
      </c>
      <c r="C2248" t="s">
        <v>142</v>
      </c>
      <c r="D2248" t="s">
        <v>15558</v>
      </c>
      <c r="E2248" t="s">
        <v>15559</v>
      </c>
      <c r="F2248" t="s">
        <v>2760</v>
      </c>
      <c r="G2248" t="s">
        <v>15560</v>
      </c>
      <c r="H2248" t="s">
        <v>15561</v>
      </c>
      <c r="I2248">
        <f t="shared" ca="1" si="140"/>
        <v>55</v>
      </c>
      <c r="J2248" t="str">
        <f t="shared" ca="1" si="141"/>
        <v>50-59</v>
      </c>
      <c r="K2248">
        <v>34445.230000000003</v>
      </c>
      <c r="L2248" t="str">
        <f>IF(Workforce[[#This Row],[Salary]]&lt;50000,"30k-49k",IF(Workforce[[#This Row],[Salary]]&lt;70000,"50k-69k",IF(Workforce[[#This Row],[Salary]]&lt;90000,"70k-89k","90k+")))</f>
        <v>30k-49k</v>
      </c>
      <c r="M2248" t="s">
        <v>7329</v>
      </c>
      <c r="N2248">
        <f t="shared" ca="1" si="142"/>
        <v>7</v>
      </c>
      <c r="O2248" t="str">
        <f t="shared" ca="1" si="143"/>
        <v>Senior level</v>
      </c>
    </row>
    <row r="2249" spans="1:15" x14ac:dyDescent="0.3">
      <c r="A2249" t="s">
        <v>15562</v>
      </c>
      <c r="B2249" t="s">
        <v>15563</v>
      </c>
      <c r="C2249" t="s">
        <v>351</v>
      </c>
      <c r="D2249" t="s">
        <v>15564</v>
      </c>
      <c r="E2249" t="s">
        <v>15565</v>
      </c>
      <c r="F2249" t="s">
        <v>1053</v>
      </c>
      <c r="G2249" t="s">
        <v>15566</v>
      </c>
      <c r="H2249" t="s">
        <v>15567</v>
      </c>
      <c r="I2249">
        <f t="shared" ca="1" si="140"/>
        <v>23</v>
      </c>
      <c r="J2249" t="str">
        <f t="shared" ca="1" si="141"/>
        <v>18-29</v>
      </c>
      <c r="K2249">
        <v>56040.89</v>
      </c>
      <c r="L2249" t="str">
        <f>IF(Workforce[[#This Row],[Salary]]&lt;50000,"30k-49k",IF(Workforce[[#This Row],[Salary]]&lt;70000,"50k-69k",IF(Workforce[[#This Row],[Salary]]&lt;90000,"70k-89k","90k+")))</f>
        <v>50k-69k</v>
      </c>
      <c r="M2249" t="s">
        <v>1284</v>
      </c>
      <c r="N2249">
        <f t="shared" ca="1" si="142"/>
        <v>2</v>
      </c>
      <c r="O2249" t="str">
        <f t="shared" ca="1" si="143"/>
        <v>Beginner</v>
      </c>
    </row>
    <row r="2250" spans="1:15" x14ac:dyDescent="0.3">
      <c r="A2250" t="s">
        <v>15568</v>
      </c>
      <c r="B2250" t="s">
        <v>15569</v>
      </c>
      <c r="C2250" t="s">
        <v>124</v>
      </c>
      <c r="D2250" t="s">
        <v>15570</v>
      </c>
      <c r="E2250" t="s">
        <v>15571</v>
      </c>
      <c r="F2250" t="s">
        <v>9790</v>
      </c>
      <c r="G2250" t="s">
        <v>15572</v>
      </c>
      <c r="H2250" t="s">
        <v>15573</v>
      </c>
      <c r="I2250">
        <f t="shared" ca="1" si="140"/>
        <v>49</v>
      </c>
      <c r="J2250" t="str">
        <f t="shared" ca="1" si="141"/>
        <v>40-49</v>
      </c>
      <c r="K2250">
        <v>98730.64</v>
      </c>
      <c r="L2250" t="str">
        <f>IF(Workforce[[#This Row],[Salary]]&lt;50000,"30k-49k",IF(Workforce[[#This Row],[Salary]]&lt;70000,"50k-69k",IF(Workforce[[#This Row],[Salary]]&lt;90000,"70k-89k","90k+")))</f>
        <v>90k+</v>
      </c>
      <c r="M2250" t="s">
        <v>15574</v>
      </c>
      <c r="N2250">
        <f t="shared" ca="1" si="142"/>
        <v>4</v>
      </c>
      <c r="O2250" t="str">
        <f t="shared" ca="1" si="143"/>
        <v>Intermediate level</v>
      </c>
    </row>
    <row r="2251" spans="1:15" x14ac:dyDescent="0.3">
      <c r="A2251" t="s">
        <v>15575</v>
      </c>
      <c r="B2251" t="s">
        <v>15576</v>
      </c>
      <c r="C2251" t="s">
        <v>539</v>
      </c>
      <c r="D2251" t="s">
        <v>15577</v>
      </c>
      <c r="E2251" t="s">
        <v>15578</v>
      </c>
      <c r="F2251" t="s">
        <v>8249</v>
      </c>
      <c r="G2251" t="s">
        <v>15579</v>
      </c>
      <c r="H2251" t="s">
        <v>15580</v>
      </c>
      <c r="I2251">
        <f t="shared" ca="1" si="140"/>
        <v>19</v>
      </c>
      <c r="J2251" t="str">
        <f t="shared" ca="1" si="141"/>
        <v>18-29</v>
      </c>
      <c r="K2251">
        <v>67503.27</v>
      </c>
      <c r="L2251" t="str">
        <f>IF(Workforce[[#This Row],[Salary]]&lt;50000,"30k-49k",IF(Workforce[[#This Row],[Salary]]&lt;70000,"50k-69k",IF(Workforce[[#This Row],[Salary]]&lt;90000,"70k-89k","90k+")))</f>
        <v>50k-69k</v>
      </c>
      <c r="M2251" t="s">
        <v>15581</v>
      </c>
      <c r="N2251">
        <f t="shared" ca="1" si="142"/>
        <v>2</v>
      </c>
      <c r="O2251" t="str">
        <f t="shared" ca="1" si="143"/>
        <v>Beginner</v>
      </c>
    </row>
    <row r="2252" spans="1:15" x14ac:dyDescent="0.3">
      <c r="A2252" t="s">
        <v>15582</v>
      </c>
      <c r="B2252" t="s">
        <v>15583</v>
      </c>
      <c r="C2252" t="s">
        <v>757</v>
      </c>
      <c r="D2252" t="s">
        <v>15584</v>
      </c>
      <c r="E2252" t="s">
        <v>15585</v>
      </c>
      <c r="F2252" t="s">
        <v>1742</v>
      </c>
      <c r="G2252" t="s">
        <v>12572</v>
      </c>
      <c r="H2252" t="s">
        <v>15586</v>
      </c>
      <c r="I2252">
        <f t="shared" ca="1" si="140"/>
        <v>65</v>
      </c>
      <c r="J2252" t="str">
        <f t="shared" ca="1" si="141"/>
        <v>60+</v>
      </c>
      <c r="K2252">
        <v>94779.21</v>
      </c>
      <c r="L2252" t="str">
        <f>IF(Workforce[[#This Row],[Salary]]&lt;50000,"30k-49k",IF(Workforce[[#This Row],[Salary]]&lt;70000,"50k-69k",IF(Workforce[[#This Row],[Salary]]&lt;90000,"70k-89k","90k+")))</f>
        <v>90k+</v>
      </c>
      <c r="M2252" t="s">
        <v>10859</v>
      </c>
      <c r="N2252">
        <f t="shared" ca="1" si="142"/>
        <v>4</v>
      </c>
      <c r="O2252" t="str">
        <f t="shared" ca="1" si="143"/>
        <v>Intermediate level</v>
      </c>
    </row>
    <row r="2253" spans="1:15" x14ac:dyDescent="0.3">
      <c r="A2253" t="s">
        <v>15587</v>
      </c>
      <c r="B2253" t="s">
        <v>15588</v>
      </c>
      <c r="C2253" t="s">
        <v>580</v>
      </c>
      <c r="D2253" t="s">
        <v>15589</v>
      </c>
      <c r="E2253" t="s">
        <v>15590</v>
      </c>
      <c r="F2253" t="s">
        <v>10347</v>
      </c>
      <c r="G2253" t="s">
        <v>15591</v>
      </c>
      <c r="H2253" t="s">
        <v>15592</v>
      </c>
      <c r="I2253">
        <f t="shared" ca="1" si="140"/>
        <v>31</v>
      </c>
      <c r="J2253" t="str">
        <f t="shared" ca="1" si="141"/>
        <v>30-39</v>
      </c>
      <c r="K2253">
        <v>64710.52</v>
      </c>
      <c r="L2253" t="str">
        <f>IF(Workforce[[#This Row],[Salary]]&lt;50000,"30k-49k",IF(Workforce[[#This Row],[Salary]]&lt;70000,"50k-69k",IF(Workforce[[#This Row],[Salary]]&lt;90000,"70k-89k","90k+")))</f>
        <v>50k-69k</v>
      </c>
      <c r="M2253" t="s">
        <v>11820</v>
      </c>
      <c r="N2253">
        <f t="shared" ca="1" si="142"/>
        <v>1</v>
      </c>
      <c r="O2253" t="str">
        <f t="shared" ca="1" si="143"/>
        <v>Beginner</v>
      </c>
    </row>
    <row r="2254" spans="1:15" x14ac:dyDescent="0.3">
      <c r="A2254" t="s">
        <v>15593</v>
      </c>
      <c r="B2254" t="s">
        <v>15594</v>
      </c>
      <c r="C2254" t="s">
        <v>757</v>
      </c>
      <c r="D2254" t="s">
        <v>15595</v>
      </c>
      <c r="E2254" t="s">
        <v>15596</v>
      </c>
      <c r="F2254" t="s">
        <v>3464</v>
      </c>
      <c r="G2254" t="s">
        <v>15417</v>
      </c>
      <c r="H2254" t="s">
        <v>15597</v>
      </c>
      <c r="I2254">
        <f t="shared" ca="1" si="140"/>
        <v>44</v>
      </c>
      <c r="J2254" t="str">
        <f t="shared" ca="1" si="141"/>
        <v>40-49</v>
      </c>
      <c r="K2254">
        <v>34109.53</v>
      </c>
      <c r="L2254" t="str">
        <f>IF(Workforce[[#This Row],[Salary]]&lt;50000,"30k-49k",IF(Workforce[[#This Row],[Salary]]&lt;70000,"50k-69k",IF(Workforce[[#This Row],[Salary]]&lt;90000,"70k-89k","90k+")))</f>
        <v>30k-49k</v>
      </c>
      <c r="M2254" t="s">
        <v>15598</v>
      </c>
      <c r="N2254">
        <f t="shared" ca="1" si="142"/>
        <v>4</v>
      </c>
      <c r="O2254" t="str">
        <f t="shared" ca="1" si="143"/>
        <v>Intermediate level</v>
      </c>
    </row>
    <row r="2255" spans="1:15" x14ac:dyDescent="0.3">
      <c r="A2255" t="s">
        <v>15599</v>
      </c>
      <c r="B2255" t="s">
        <v>15600</v>
      </c>
      <c r="C2255" t="s">
        <v>757</v>
      </c>
      <c r="D2255" t="s">
        <v>15601</v>
      </c>
      <c r="E2255" t="s">
        <v>15602</v>
      </c>
      <c r="F2255" t="s">
        <v>4082</v>
      </c>
      <c r="G2255" t="s">
        <v>15603</v>
      </c>
      <c r="H2255" t="s">
        <v>15604</v>
      </c>
      <c r="I2255">
        <f t="shared" ca="1" si="140"/>
        <v>54</v>
      </c>
      <c r="J2255" t="str">
        <f t="shared" ca="1" si="141"/>
        <v>50-59</v>
      </c>
      <c r="K2255">
        <v>67382.28</v>
      </c>
      <c r="L2255" t="str">
        <f>IF(Workforce[[#This Row],[Salary]]&lt;50000,"30k-49k",IF(Workforce[[#This Row],[Salary]]&lt;70000,"50k-69k",IF(Workforce[[#This Row],[Salary]]&lt;90000,"70k-89k","90k+")))</f>
        <v>50k-69k</v>
      </c>
      <c r="M2255" t="s">
        <v>15605</v>
      </c>
      <c r="N2255">
        <f t="shared" ca="1" si="142"/>
        <v>2</v>
      </c>
      <c r="O2255" t="str">
        <f t="shared" ca="1" si="143"/>
        <v>Beginner</v>
      </c>
    </row>
    <row r="2256" spans="1:15" x14ac:dyDescent="0.3">
      <c r="A2256" t="s">
        <v>15606</v>
      </c>
      <c r="B2256" t="s">
        <v>15607</v>
      </c>
      <c r="C2256" t="s">
        <v>482</v>
      </c>
      <c r="D2256" t="s">
        <v>15608</v>
      </c>
      <c r="E2256" t="s">
        <v>15609</v>
      </c>
      <c r="F2256" t="s">
        <v>3064</v>
      </c>
      <c r="G2256" t="s">
        <v>15610</v>
      </c>
      <c r="H2256" t="s">
        <v>15611</v>
      </c>
      <c r="I2256">
        <f t="shared" ca="1" si="140"/>
        <v>32</v>
      </c>
      <c r="J2256" t="str">
        <f t="shared" ca="1" si="141"/>
        <v>30-39</v>
      </c>
      <c r="K2256">
        <v>32854.080000000002</v>
      </c>
      <c r="L2256" t="str">
        <f>IF(Workforce[[#This Row],[Salary]]&lt;50000,"30k-49k",IF(Workforce[[#This Row],[Salary]]&lt;70000,"50k-69k",IF(Workforce[[#This Row],[Salary]]&lt;90000,"70k-89k","90k+")))</f>
        <v>30k-49k</v>
      </c>
      <c r="M2256" t="s">
        <v>15612</v>
      </c>
      <c r="N2256">
        <f t="shared" ca="1" si="142"/>
        <v>1</v>
      </c>
      <c r="O2256" t="str">
        <f t="shared" ca="1" si="143"/>
        <v>Beginner</v>
      </c>
    </row>
    <row r="2257" spans="1:15" x14ac:dyDescent="0.3">
      <c r="A2257" t="s">
        <v>15613</v>
      </c>
      <c r="B2257" t="s">
        <v>15614</v>
      </c>
      <c r="C2257" t="s">
        <v>257</v>
      </c>
      <c r="D2257" t="s">
        <v>15615</v>
      </c>
      <c r="E2257" t="s">
        <v>15616</v>
      </c>
      <c r="F2257" t="s">
        <v>1880</v>
      </c>
      <c r="G2257" t="s">
        <v>15617</v>
      </c>
      <c r="H2257" t="s">
        <v>15618</v>
      </c>
      <c r="I2257">
        <f t="shared" ca="1" si="140"/>
        <v>65</v>
      </c>
      <c r="J2257" t="str">
        <f t="shared" ca="1" si="141"/>
        <v>60+</v>
      </c>
      <c r="K2257">
        <v>82993.91</v>
      </c>
      <c r="L2257" t="str">
        <f>IF(Workforce[[#This Row],[Salary]]&lt;50000,"30k-49k",IF(Workforce[[#This Row],[Salary]]&lt;70000,"50k-69k",IF(Workforce[[#This Row],[Salary]]&lt;90000,"70k-89k","90k+")))</f>
        <v>70k-89k</v>
      </c>
      <c r="M2257" t="s">
        <v>15619</v>
      </c>
      <c r="N2257">
        <f t="shared" ca="1" si="142"/>
        <v>2</v>
      </c>
      <c r="O2257" t="str">
        <f t="shared" ca="1" si="143"/>
        <v>Beginner</v>
      </c>
    </row>
    <row r="2258" spans="1:15" x14ac:dyDescent="0.3">
      <c r="A2258" t="s">
        <v>15620</v>
      </c>
      <c r="B2258" t="s">
        <v>15621</v>
      </c>
      <c r="C2258" t="s">
        <v>317</v>
      </c>
      <c r="D2258" t="s">
        <v>15622</v>
      </c>
      <c r="E2258" t="s">
        <v>15623</v>
      </c>
      <c r="F2258" t="s">
        <v>4344</v>
      </c>
      <c r="G2258" t="s">
        <v>15624</v>
      </c>
      <c r="H2258" t="s">
        <v>15625</v>
      </c>
      <c r="I2258">
        <f t="shared" ca="1" si="140"/>
        <v>57</v>
      </c>
      <c r="J2258" t="str">
        <f t="shared" ca="1" si="141"/>
        <v>50-59</v>
      </c>
      <c r="K2258">
        <v>82759.61</v>
      </c>
      <c r="L2258" t="str">
        <f>IF(Workforce[[#This Row],[Salary]]&lt;50000,"30k-49k",IF(Workforce[[#This Row],[Salary]]&lt;70000,"50k-69k",IF(Workforce[[#This Row],[Salary]]&lt;90000,"70k-89k","90k+")))</f>
        <v>70k-89k</v>
      </c>
      <c r="M2258" t="s">
        <v>7441</v>
      </c>
      <c r="N2258">
        <f t="shared" ca="1" si="142"/>
        <v>9</v>
      </c>
      <c r="O2258" t="str">
        <f t="shared" ca="1" si="143"/>
        <v>Senior level</v>
      </c>
    </row>
    <row r="2259" spans="1:15" x14ac:dyDescent="0.3">
      <c r="A2259" t="s">
        <v>15626</v>
      </c>
      <c r="B2259" t="s">
        <v>15627</v>
      </c>
      <c r="C2259" t="s">
        <v>70</v>
      </c>
      <c r="D2259" t="s">
        <v>15628</v>
      </c>
      <c r="E2259" t="s">
        <v>15629</v>
      </c>
      <c r="F2259" t="s">
        <v>894</v>
      </c>
      <c r="G2259" t="s">
        <v>15630</v>
      </c>
      <c r="H2259" t="s">
        <v>15631</v>
      </c>
      <c r="I2259">
        <f t="shared" ca="1" si="140"/>
        <v>30</v>
      </c>
      <c r="J2259" t="str">
        <f t="shared" ca="1" si="141"/>
        <v>30-39</v>
      </c>
      <c r="K2259">
        <v>104256.25</v>
      </c>
      <c r="L2259" t="str">
        <f>IF(Workforce[[#This Row],[Salary]]&lt;50000,"30k-49k",IF(Workforce[[#This Row],[Salary]]&lt;70000,"50k-69k",IF(Workforce[[#This Row],[Salary]]&lt;90000,"70k-89k","90k+")))</f>
        <v>90k+</v>
      </c>
      <c r="M2259" t="s">
        <v>15632</v>
      </c>
      <c r="N2259">
        <f t="shared" ca="1" si="142"/>
        <v>8</v>
      </c>
      <c r="O2259" t="str">
        <f t="shared" ca="1" si="143"/>
        <v>Senior level</v>
      </c>
    </row>
    <row r="2260" spans="1:15" x14ac:dyDescent="0.3">
      <c r="A2260" t="s">
        <v>15633</v>
      </c>
      <c r="B2260" t="s">
        <v>15634</v>
      </c>
      <c r="C2260" t="s">
        <v>482</v>
      </c>
      <c r="D2260" t="s">
        <v>15635</v>
      </c>
      <c r="E2260" t="s">
        <v>15636</v>
      </c>
      <c r="F2260" t="s">
        <v>118</v>
      </c>
      <c r="G2260" t="s">
        <v>7418</v>
      </c>
      <c r="H2260" t="s">
        <v>15637</v>
      </c>
      <c r="I2260">
        <f t="shared" ca="1" si="140"/>
        <v>45</v>
      </c>
      <c r="J2260" t="str">
        <f t="shared" ca="1" si="141"/>
        <v>40-49</v>
      </c>
      <c r="K2260">
        <v>94379.48</v>
      </c>
      <c r="L2260" t="str">
        <f>IF(Workforce[[#This Row],[Salary]]&lt;50000,"30k-49k",IF(Workforce[[#This Row],[Salary]]&lt;70000,"50k-69k",IF(Workforce[[#This Row],[Salary]]&lt;90000,"70k-89k","90k+")))</f>
        <v>90k+</v>
      </c>
      <c r="M2260" t="s">
        <v>15638</v>
      </c>
      <c r="N2260">
        <f t="shared" ca="1" si="142"/>
        <v>9</v>
      </c>
      <c r="O2260" t="str">
        <f t="shared" ca="1" si="143"/>
        <v>Senior level</v>
      </c>
    </row>
    <row r="2261" spans="1:15" x14ac:dyDescent="0.3">
      <c r="A2261" t="s">
        <v>15639</v>
      </c>
      <c r="B2261" t="s">
        <v>15640</v>
      </c>
      <c r="C2261" t="s">
        <v>1223</v>
      </c>
      <c r="D2261" t="s">
        <v>15641</v>
      </c>
      <c r="E2261" t="s">
        <v>15642</v>
      </c>
      <c r="F2261" t="s">
        <v>1557</v>
      </c>
      <c r="G2261" t="s">
        <v>15643</v>
      </c>
      <c r="H2261" t="s">
        <v>15644</v>
      </c>
      <c r="I2261">
        <f t="shared" ca="1" si="140"/>
        <v>52</v>
      </c>
      <c r="J2261" t="str">
        <f t="shared" ca="1" si="141"/>
        <v>50-59</v>
      </c>
      <c r="K2261">
        <v>113495.37</v>
      </c>
      <c r="L2261" t="str">
        <f>IF(Workforce[[#This Row],[Salary]]&lt;50000,"30k-49k",IF(Workforce[[#This Row],[Salary]]&lt;70000,"50k-69k",IF(Workforce[[#This Row],[Salary]]&lt;90000,"70k-89k","90k+")))</f>
        <v>90k+</v>
      </c>
      <c r="M2261" t="s">
        <v>9898</v>
      </c>
      <c r="N2261">
        <f t="shared" ca="1" si="142"/>
        <v>7</v>
      </c>
      <c r="O2261" t="str">
        <f t="shared" ca="1" si="143"/>
        <v>Senior level</v>
      </c>
    </row>
    <row r="2262" spans="1:15" x14ac:dyDescent="0.3">
      <c r="A2262" t="s">
        <v>15645</v>
      </c>
      <c r="B2262" t="s">
        <v>15646</v>
      </c>
      <c r="C2262" t="s">
        <v>774</v>
      </c>
      <c r="D2262" t="s">
        <v>15647</v>
      </c>
      <c r="E2262" t="s">
        <v>15648</v>
      </c>
      <c r="F2262" t="s">
        <v>7667</v>
      </c>
      <c r="G2262" t="s">
        <v>15649</v>
      </c>
      <c r="H2262" t="s">
        <v>10487</v>
      </c>
      <c r="I2262">
        <f t="shared" ca="1" si="140"/>
        <v>36</v>
      </c>
      <c r="J2262" t="str">
        <f t="shared" ca="1" si="141"/>
        <v>30-39</v>
      </c>
      <c r="K2262">
        <v>38879.910000000003</v>
      </c>
      <c r="L2262" t="str">
        <f>IF(Workforce[[#This Row],[Salary]]&lt;50000,"30k-49k",IF(Workforce[[#This Row],[Salary]]&lt;70000,"50k-69k",IF(Workforce[[#This Row],[Salary]]&lt;90000,"70k-89k","90k+")))</f>
        <v>30k-49k</v>
      </c>
      <c r="M2262" t="s">
        <v>15650</v>
      </c>
      <c r="N2262">
        <f t="shared" ca="1" si="142"/>
        <v>2</v>
      </c>
      <c r="O2262" t="str">
        <f t="shared" ca="1" si="143"/>
        <v>Beginner</v>
      </c>
    </row>
    <row r="2263" spans="1:15" x14ac:dyDescent="0.3">
      <c r="A2263" t="s">
        <v>15651</v>
      </c>
      <c r="B2263" t="s">
        <v>15652</v>
      </c>
      <c r="C2263" t="s">
        <v>266</v>
      </c>
      <c r="D2263" t="s">
        <v>15653</v>
      </c>
      <c r="E2263" t="s">
        <v>15654</v>
      </c>
      <c r="F2263" t="s">
        <v>118</v>
      </c>
      <c r="G2263" t="s">
        <v>15655</v>
      </c>
      <c r="H2263" t="s">
        <v>8821</v>
      </c>
      <c r="I2263">
        <f t="shared" ca="1" si="140"/>
        <v>43</v>
      </c>
      <c r="J2263" t="str">
        <f t="shared" ca="1" si="141"/>
        <v>40-49</v>
      </c>
      <c r="K2263">
        <v>78812.12</v>
      </c>
      <c r="L2263" t="str">
        <f>IF(Workforce[[#This Row],[Salary]]&lt;50000,"30k-49k",IF(Workforce[[#This Row],[Salary]]&lt;70000,"50k-69k",IF(Workforce[[#This Row],[Salary]]&lt;90000,"70k-89k","90k+")))</f>
        <v>70k-89k</v>
      </c>
      <c r="M2263" t="s">
        <v>15656</v>
      </c>
      <c r="N2263">
        <f t="shared" ca="1" si="142"/>
        <v>8</v>
      </c>
      <c r="O2263" t="str">
        <f t="shared" ca="1" si="143"/>
        <v>Senior level</v>
      </c>
    </row>
    <row r="2264" spans="1:15" x14ac:dyDescent="0.3">
      <c r="A2264" t="s">
        <v>15657</v>
      </c>
      <c r="B2264" t="s">
        <v>15658</v>
      </c>
      <c r="C2264" t="s">
        <v>1223</v>
      </c>
      <c r="D2264" t="s">
        <v>15659</v>
      </c>
      <c r="E2264" t="s">
        <v>15660</v>
      </c>
      <c r="F2264" t="s">
        <v>3486</v>
      </c>
      <c r="G2264" t="s">
        <v>15661</v>
      </c>
      <c r="H2264" t="s">
        <v>13511</v>
      </c>
      <c r="I2264">
        <f t="shared" ca="1" si="140"/>
        <v>35</v>
      </c>
      <c r="J2264" t="str">
        <f t="shared" ca="1" si="141"/>
        <v>30-39</v>
      </c>
      <c r="K2264">
        <v>41473.03</v>
      </c>
      <c r="L2264" t="str">
        <f>IF(Workforce[[#This Row],[Salary]]&lt;50000,"30k-49k",IF(Workforce[[#This Row],[Salary]]&lt;70000,"50k-69k",IF(Workforce[[#This Row],[Salary]]&lt;90000,"70k-89k","90k+")))</f>
        <v>30k-49k</v>
      </c>
      <c r="M2264" t="s">
        <v>10083</v>
      </c>
      <c r="N2264">
        <f t="shared" ca="1" si="142"/>
        <v>2</v>
      </c>
      <c r="O2264" t="str">
        <f t="shared" ca="1" si="143"/>
        <v>Beginner</v>
      </c>
    </row>
    <row r="2265" spans="1:15" x14ac:dyDescent="0.3">
      <c r="A2265" t="s">
        <v>15662</v>
      </c>
      <c r="B2265" t="s">
        <v>15663</v>
      </c>
      <c r="C2265" t="s">
        <v>178</v>
      </c>
      <c r="D2265" t="s">
        <v>15664</v>
      </c>
      <c r="E2265" t="s">
        <v>15665</v>
      </c>
      <c r="F2265" t="s">
        <v>2328</v>
      </c>
      <c r="G2265" t="s">
        <v>15666</v>
      </c>
      <c r="H2265" t="s">
        <v>15667</v>
      </c>
      <c r="I2265">
        <f t="shared" ca="1" si="140"/>
        <v>54</v>
      </c>
      <c r="J2265" t="str">
        <f t="shared" ca="1" si="141"/>
        <v>50-59</v>
      </c>
      <c r="K2265">
        <v>91150.65</v>
      </c>
      <c r="L2265" t="str">
        <f>IF(Workforce[[#This Row],[Salary]]&lt;50000,"30k-49k",IF(Workforce[[#This Row],[Salary]]&lt;70000,"50k-69k",IF(Workforce[[#This Row],[Salary]]&lt;90000,"70k-89k","90k+")))</f>
        <v>90k+</v>
      </c>
      <c r="M2265" t="s">
        <v>1010</v>
      </c>
      <c r="N2265">
        <f t="shared" ca="1" si="142"/>
        <v>8</v>
      </c>
      <c r="O2265" t="str">
        <f t="shared" ca="1" si="143"/>
        <v>Senior level</v>
      </c>
    </row>
    <row r="2266" spans="1:15" x14ac:dyDescent="0.3">
      <c r="A2266" t="s">
        <v>15668</v>
      </c>
      <c r="B2266" t="s">
        <v>15669</v>
      </c>
      <c r="C2266" t="s">
        <v>178</v>
      </c>
      <c r="D2266" t="s">
        <v>15670</v>
      </c>
      <c r="E2266" t="s">
        <v>15671</v>
      </c>
      <c r="F2266" t="s">
        <v>10306</v>
      </c>
      <c r="G2266" t="s">
        <v>15672</v>
      </c>
      <c r="H2266" t="s">
        <v>15673</v>
      </c>
      <c r="I2266">
        <f t="shared" ca="1" si="140"/>
        <v>45</v>
      </c>
      <c r="J2266" t="str">
        <f t="shared" ca="1" si="141"/>
        <v>40-49</v>
      </c>
      <c r="K2266">
        <v>99605.85</v>
      </c>
      <c r="L2266" t="str">
        <f>IF(Workforce[[#This Row],[Salary]]&lt;50000,"30k-49k",IF(Workforce[[#This Row],[Salary]]&lt;70000,"50k-69k",IF(Workforce[[#This Row],[Salary]]&lt;90000,"70k-89k","90k+")))</f>
        <v>90k+</v>
      </c>
      <c r="M2266" t="s">
        <v>7259</v>
      </c>
      <c r="N2266">
        <f t="shared" ca="1" si="142"/>
        <v>8</v>
      </c>
      <c r="O2266" t="str">
        <f t="shared" ca="1" si="143"/>
        <v>Senior level</v>
      </c>
    </row>
    <row r="2267" spans="1:15" x14ac:dyDescent="0.3">
      <c r="A2267" t="s">
        <v>15674</v>
      </c>
      <c r="B2267" t="s">
        <v>15675</v>
      </c>
      <c r="C2267" t="s">
        <v>133</v>
      </c>
      <c r="D2267" t="s">
        <v>15676</v>
      </c>
      <c r="E2267" t="s">
        <v>15677</v>
      </c>
      <c r="F2267" t="s">
        <v>5031</v>
      </c>
      <c r="G2267" t="s">
        <v>15678</v>
      </c>
      <c r="H2267" t="s">
        <v>15679</v>
      </c>
      <c r="I2267">
        <f t="shared" ca="1" si="140"/>
        <v>47</v>
      </c>
      <c r="J2267" t="str">
        <f t="shared" ca="1" si="141"/>
        <v>40-49</v>
      </c>
      <c r="K2267">
        <v>101359.53</v>
      </c>
      <c r="L2267" t="str">
        <f>IF(Workforce[[#This Row],[Salary]]&lt;50000,"30k-49k",IF(Workforce[[#This Row],[Salary]]&lt;70000,"50k-69k",IF(Workforce[[#This Row],[Salary]]&lt;90000,"70k-89k","90k+")))</f>
        <v>90k+</v>
      </c>
      <c r="M2267" t="s">
        <v>15680</v>
      </c>
      <c r="N2267">
        <f t="shared" ca="1" si="142"/>
        <v>9</v>
      </c>
      <c r="O2267" t="str">
        <f t="shared" ca="1" si="143"/>
        <v>Senior level</v>
      </c>
    </row>
    <row r="2268" spans="1:15" x14ac:dyDescent="0.3">
      <c r="A2268" t="s">
        <v>15681</v>
      </c>
      <c r="B2268" t="s">
        <v>15682</v>
      </c>
      <c r="C2268" t="s">
        <v>580</v>
      </c>
      <c r="D2268" t="s">
        <v>15683</v>
      </c>
      <c r="E2268" t="s">
        <v>15684</v>
      </c>
      <c r="F2268" t="s">
        <v>3293</v>
      </c>
      <c r="G2268" t="s">
        <v>15685</v>
      </c>
      <c r="H2268" t="s">
        <v>15686</v>
      </c>
      <c r="I2268">
        <f t="shared" ca="1" si="140"/>
        <v>38</v>
      </c>
      <c r="J2268" t="str">
        <f t="shared" ca="1" si="141"/>
        <v>30-39</v>
      </c>
      <c r="K2268">
        <v>73211.92</v>
      </c>
      <c r="L2268" t="str">
        <f>IF(Workforce[[#This Row],[Salary]]&lt;50000,"30k-49k",IF(Workforce[[#This Row],[Salary]]&lt;70000,"50k-69k",IF(Workforce[[#This Row],[Salary]]&lt;90000,"70k-89k","90k+")))</f>
        <v>70k-89k</v>
      </c>
      <c r="M2268" t="s">
        <v>15687</v>
      </c>
      <c r="N2268">
        <f t="shared" ca="1" si="142"/>
        <v>8</v>
      </c>
      <c r="O2268" t="str">
        <f t="shared" ca="1" si="143"/>
        <v>Senior level</v>
      </c>
    </row>
    <row r="2269" spans="1:15" x14ac:dyDescent="0.3">
      <c r="A2269" t="s">
        <v>15688</v>
      </c>
      <c r="B2269" t="s">
        <v>15689</v>
      </c>
      <c r="C2269" t="s">
        <v>844</v>
      </c>
      <c r="D2269" t="s">
        <v>15690</v>
      </c>
      <c r="E2269" t="s">
        <v>15691</v>
      </c>
      <c r="F2269" t="s">
        <v>3404</v>
      </c>
      <c r="G2269" t="s">
        <v>15692</v>
      </c>
      <c r="H2269" t="s">
        <v>15693</v>
      </c>
      <c r="I2269">
        <f t="shared" ca="1" si="140"/>
        <v>24</v>
      </c>
      <c r="J2269" t="str">
        <f t="shared" ca="1" si="141"/>
        <v>18-29</v>
      </c>
      <c r="K2269">
        <v>64736.99</v>
      </c>
      <c r="L2269" t="str">
        <f>IF(Workforce[[#This Row],[Salary]]&lt;50000,"30k-49k",IF(Workforce[[#This Row],[Salary]]&lt;70000,"50k-69k",IF(Workforce[[#This Row],[Salary]]&lt;90000,"70k-89k","90k+")))</f>
        <v>50k-69k</v>
      </c>
      <c r="M2269" t="s">
        <v>4557</v>
      </c>
      <c r="N2269">
        <f t="shared" ca="1" si="142"/>
        <v>8</v>
      </c>
      <c r="O2269" t="str">
        <f t="shared" ca="1" si="143"/>
        <v>Senior level</v>
      </c>
    </row>
    <row r="2270" spans="1:15" x14ac:dyDescent="0.3">
      <c r="A2270" t="s">
        <v>15694</v>
      </c>
      <c r="B2270" t="s">
        <v>15695</v>
      </c>
      <c r="C2270" t="s">
        <v>142</v>
      </c>
      <c r="D2270" t="s">
        <v>15696</v>
      </c>
      <c r="E2270" t="s">
        <v>15697</v>
      </c>
      <c r="F2270" t="s">
        <v>11077</v>
      </c>
      <c r="G2270" t="s">
        <v>15698</v>
      </c>
      <c r="H2270" t="s">
        <v>15699</v>
      </c>
      <c r="I2270">
        <f t="shared" ca="1" si="140"/>
        <v>65</v>
      </c>
      <c r="J2270" t="str">
        <f t="shared" ca="1" si="141"/>
        <v>60+</v>
      </c>
      <c r="K2270">
        <v>112803.06</v>
      </c>
      <c r="L2270" t="str">
        <f>IF(Workforce[[#This Row],[Salary]]&lt;50000,"30k-49k",IF(Workforce[[#This Row],[Salary]]&lt;70000,"50k-69k",IF(Workforce[[#This Row],[Salary]]&lt;90000,"70k-89k","90k+")))</f>
        <v>90k+</v>
      </c>
      <c r="M2270" t="s">
        <v>8244</v>
      </c>
      <c r="N2270">
        <f t="shared" ca="1" si="142"/>
        <v>7</v>
      </c>
      <c r="O2270" t="str">
        <f t="shared" ca="1" si="143"/>
        <v>Senior level</v>
      </c>
    </row>
    <row r="2271" spans="1:15" x14ac:dyDescent="0.3">
      <c r="A2271" t="s">
        <v>15700</v>
      </c>
      <c r="B2271" t="s">
        <v>15701</v>
      </c>
      <c r="C2271" t="s">
        <v>1043</v>
      </c>
      <c r="D2271" t="s">
        <v>15702</v>
      </c>
      <c r="E2271" t="s">
        <v>15703</v>
      </c>
      <c r="F2271" t="s">
        <v>1795</v>
      </c>
      <c r="G2271" t="s">
        <v>12150</v>
      </c>
      <c r="H2271" t="s">
        <v>15704</v>
      </c>
      <c r="I2271">
        <f t="shared" ca="1" si="140"/>
        <v>30</v>
      </c>
      <c r="J2271" t="str">
        <f t="shared" ca="1" si="141"/>
        <v>30-39</v>
      </c>
      <c r="K2271">
        <v>85235.09</v>
      </c>
      <c r="L2271" t="str">
        <f>IF(Workforce[[#This Row],[Salary]]&lt;50000,"30k-49k",IF(Workforce[[#This Row],[Salary]]&lt;70000,"50k-69k",IF(Workforce[[#This Row],[Salary]]&lt;90000,"70k-89k","90k+")))</f>
        <v>70k-89k</v>
      </c>
      <c r="M2271" t="s">
        <v>2926</v>
      </c>
      <c r="N2271">
        <f t="shared" ca="1" si="142"/>
        <v>10</v>
      </c>
      <c r="O2271" t="str">
        <f t="shared" ca="1" si="143"/>
        <v>Senior level</v>
      </c>
    </row>
    <row r="2272" spans="1:15" x14ac:dyDescent="0.3">
      <c r="A2272" t="s">
        <v>15705</v>
      </c>
      <c r="B2272" t="s">
        <v>15706</v>
      </c>
      <c r="C2272" t="s">
        <v>1043</v>
      </c>
      <c r="D2272" t="s">
        <v>15707</v>
      </c>
      <c r="E2272" t="s">
        <v>15708</v>
      </c>
      <c r="F2272" t="s">
        <v>1596</v>
      </c>
      <c r="G2272" t="s">
        <v>15709</v>
      </c>
      <c r="H2272" t="s">
        <v>15710</v>
      </c>
      <c r="I2272">
        <f t="shared" ca="1" si="140"/>
        <v>43</v>
      </c>
      <c r="J2272" t="str">
        <f t="shared" ca="1" si="141"/>
        <v>40-49</v>
      </c>
      <c r="K2272">
        <v>85926.78</v>
      </c>
      <c r="L2272" t="str">
        <f>IF(Workforce[[#This Row],[Salary]]&lt;50000,"30k-49k",IF(Workforce[[#This Row],[Salary]]&lt;70000,"50k-69k",IF(Workforce[[#This Row],[Salary]]&lt;90000,"70k-89k","90k+")))</f>
        <v>70k-89k</v>
      </c>
      <c r="M2272" t="s">
        <v>15711</v>
      </c>
      <c r="N2272">
        <f t="shared" ca="1" si="142"/>
        <v>1</v>
      </c>
      <c r="O2272" t="str">
        <f t="shared" ca="1" si="143"/>
        <v>Beginner</v>
      </c>
    </row>
    <row r="2273" spans="1:15" x14ac:dyDescent="0.3">
      <c r="A2273" t="s">
        <v>15712</v>
      </c>
      <c r="B2273" t="s">
        <v>15713</v>
      </c>
      <c r="C2273" t="s">
        <v>774</v>
      </c>
      <c r="D2273" t="s">
        <v>15714</v>
      </c>
      <c r="E2273" t="s">
        <v>15715</v>
      </c>
      <c r="F2273" t="s">
        <v>4873</v>
      </c>
      <c r="G2273" t="s">
        <v>15716</v>
      </c>
      <c r="H2273" t="s">
        <v>15717</v>
      </c>
      <c r="I2273">
        <f t="shared" ca="1" si="140"/>
        <v>65</v>
      </c>
      <c r="J2273" t="str">
        <f t="shared" ca="1" si="141"/>
        <v>60+</v>
      </c>
      <c r="K2273">
        <v>61728.66</v>
      </c>
      <c r="L2273" t="str">
        <f>IF(Workforce[[#This Row],[Salary]]&lt;50000,"30k-49k",IF(Workforce[[#This Row],[Salary]]&lt;70000,"50k-69k",IF(Workforce[[#This Row],[Salary]]&lt;90000,"70k-89k","90k+")))</f>
        <v>50k-69k</v>
      </c>
      <c r="M2273" t="s">
        <v>4011</v>
      </c>
      <c r="N2273">
        <f t="shared" ca="1" si="142"/>
        <v>10</v>
      </c>
      <c r="O2273" t="str">
        <f t="shared" ca="1" si="143"/>
        <v>Senior level</v>
      </c>
    </row>
    <row r="2274" spans="1:15" x14ac:dyDescent="0.3">
      <c r="A2274" t="s">
        <v>15718</v>
      </c>
      <c r="B2274" t="s">
        <v>15719</v>
      </c>
      <c r="C2274" t="s">
        <v>257</v>
      </c>
      <c r="D2274" t="s">
        <v>15720</v>
      </c>
      <c r="E2274" t="s">
        <v>15721</v>
      </c>
      <c r="F2274" t="s">
        <v>2401</v>
      </c>
      <c r="G2274" t="s">
        <v>15722</v>
      </c>
      <c r="H2274" t="s">
        <v>15723</v>
      </c>
      <c r="I2274">
        <f t="shared" ca="1" si="140"/>
        <v>63</v>
      </c>
      <c r="J2274" t="str">
        <f t="shared" ca="1" si="141"/>
        <v>60+</v>
      </c>
      <c r="K2274">
        <v>111705.65</v>
      </c>
      <c r="L2274" t="str">
        <f>IF(Workforce[[#This Row],[Salary]]&lt;50000,"30k-49k",IF(Workforce[[#This Row],[Salary]]&lt;70000,"50k-69k",IF(Workforce[[#This Row],[Salary]]&lt;90000,"70k-89k","90k+")))</f>
        <v>90k+</v>
      </c>
      <c r="M2274" t="s">
        <v>3734</v>
      </c>
      <c r="N2274">
        <f t="shared" ca="1" si="142"/>
        <v>8</v>
      </c>
      <c r="O2274" t="str">
        <f t="shared" ca="1" si="143"/>
        <v>Senior level</v>
      </c>
    </row>
    <row r="2275" spans="1:15" x14ac:dyDescent="0.3">
      <c r="A2275" t="s">
        <v>15724</v>
      </c>
      <c r="B2275" t="s">
        <v>15725</v>
      </c>
      <c r="C2275" t="s">
        <v>240</v>
      </c>
      <c r="D2275" t="s">
        <v>15726</v>
      </c>
      <c r="E2275" t="s">
        <v>15727</v>
      </c>
      <c r="F2275" t="s">
        <v>378</v>
      </c>
      <c r="G2275" t="s">
        <v>15728</v>
      </c>
      <c r="H2275" t="s">
        <v>15729</v>
      </c>
      <c r="I2275">
        <f t="shared" ca="1" si="140"/>
        <v>66</v>
      </c>
      <c r="J2275" t="str">
        <f t="shared" ca="1" si="141"/>
        <v>60+</v>
      </c>
      <c r="K2275">
        <v>44368.01</v>
      </c>
      <c r="L2275" t="str">
        <f>IF(Workforce[[#This Row],[Salary]]&lt;50000,"30k-49k",IF(Workforce[[#This Row],[Salary]]&lt;70000,"50k-69k",IF(Workforce[[#This Row],[Salary]]&lt;90000,"70k-89k","90k+")))</f>
        <v>30k-49k</v>
      </c>
      <c r="M2275" t="s">
        <v>15730</v>
      </c>
      <c r="N2275">
        <f t="shared" ca="1" si="142"/>
        <v>6</v>
      </c>
      <c r="O2275" t="str">
        <f t="shared" ca="1" si="143"/>
        <v>Intermediate level</v>
      </c>
    </row>
    <row r="2276" spans="1:15" x14ac:dyDescent="0.3">
      <c r="A2276" t="s">
        <v>15731</v>
      </c>
      <c r="B2276" t="s">
        <v>15732</v>
      </c>
      <c r="C2276" t="s">
        <v>151</v>
      </c>
      <c r="D2276" t="s">
        <v>15733</v>
      </c>
      <c r="E2276" t="s">
        <v>15734</v>
      </c>
      <c r="F2276" t="s">
        <v>2036</v>
      </c>
      <c r="G2276" t="s">
        <v>15735</v>
      </c>
      <c r="H2276" t="s">
        <v>15736</v>
      </c>
      <c r="I2276">
        <f t="shared" ca="1" si="140"/>
        <v>57</v>
      </c>
      <c r="J2276" t="str">
        <f t="shared" ca="1" si="141"/>
        <v>50-59</v>
      </c>
      <c r="K2276">
        <v>39594.879999999997</v>
      </c>
      <c r="L2276" t="str">
        <f>IF(Workforce[[#This Row],[Salary]]&lt;50000,"30k-49k",IF(Workforce[[#This Row],[Salary]]&lt;70000,"50k-69k",IF(Workforce[[#This Row],[Salary]]&lt;90000,"70k-89k","90k+")))</f>
        <v>30k-49k</v>
      </c>
      <c r="M2276" t="s">
        <v>3051</v>
      </c>
      <c r="N2276">
        <f t="shared" ca="1" si="142"/>
        <v>9</v>
      </c>
      <c r="O2276" t="str">
        <f t="shared" ca="1" si="143"/>
        <v>Senior level</v>
      </c>
    </row>
    <row r="2277" spans="1:15" x14ac:dyDescent="0.3">
      <c r="A2277" t="s">
        <v>15737</v>
      </c>
      <c r="B2277" t="s">
        <v>15738</v>
      </c>
      <c r="C2277" t="s">
        <v>1159</v>
      </c>
      <c r="D2277" t="s">
        <v>15739</v>
      </c>
      <c r="E2277" t="s">
        <v>15740</v>
      </c>
      <c r="F2277" t="s">
        <v>1351</v>
      </c>
      <c r="G2277" t="s">
        <v>15741</v>
      </c>
      <c r="H2277" t="s">
        <v>15742</v>
      </c>
      <c r="I2277">
        <f t="shared" ca="1" si="140"/>
        <v>30</v>
      </c>
      <c r="J2277" t="str">
        <f t="shared" ca="1" si="141"/>
        <v>30-39</v>
      </c>
      <c r="K2277">
        <v>75606.350000000006</v>
      </c>
      <c r="L2277" t="str">
        <f>IF(Workforce[[#This Row],[Salary]]&lt;50000,"30k-49k",IF(Workforce[[#This Row],[Salary]]&lt;70000,"50k-69k",IF(Workforce[[#This Row],[Salary]]&lt;90000,"70k-89k","90k+")))</f>
        <v>70k-89k</v>
      </c>
      <c r="M2277" t="s">
        <v>2668</v>
      </c>
      <c r="N2277">
        <f t="shared" ca="1" si="142"/>
        <v>2</v>
      </c>
      <c r="O2277" t="str">
        <f t="shared" ca="1" si="143"/>
        <v>Beginner</v>
      </c>
    </row>
    <row r="2278" spans="1:15" x14ac:dyDescent="0.3">
      <c r="A2278" t="s">
        <v>15743</v>
      </c>
      <c r="B2278" t="s">
        <v>15744</v>
      </c>
      <c r="C2278" t="s">
        <v>580</v>
      </c>
      <c r="D2278" t="s">
        <v>15745</v>
      </c>
      <c r="E2278" t="s">
        <v>15746</v>
      </c>
      <c r="F2278" t="s">
        <v>7582</v>
      </c>
      <c r="G2278" t="s">
        <v>15747</v>
      </c>
      <c r="H2278" t="s">
        <v>15748</v>
      </c>
      <c r="I2278">
        <f t="shared" ca="1" si="140"/>
        <v>51</v>
      </c>
      <c r="J2278" t="str">
        <f t="shared" ca="1" si="141"/>
        <v>50-59</v>
      </c>
      <c r="K2278">
        <v>67543.360000000001</v>
      </c>
      <c r="L2278" t="str">
        <f>IF(Workforce[[#This Row],[Salary]]&lt;50000,"30k-49k",IF(Workforce[[#This Row],[Salary]]&lt;70000,"50k-69k",IF(Workforce[[#This Row],[Salary]]&lt;90000,"70k-89k","90k+")))</f>
        <v>50k-69k</v>
      </c>
      <c r="M2278" t="s">
        <v>15749</v>
      </c>
      <c r="N2278">
        <f t="shared" ca="1" si="142"/>
        <v>8</v>
      </c>
      <c r="O2278" t="str">
        <f t="shared" ca="1" si="143"/>
        <v>Senior level</v>
      </c>
    </row>
    <row r="2279" spans="1:15" x14ac:dyDescent="0.3">
      <c r="A2279" t="s">
        <v>15750</v>
      </c>
      <c r="B2279" t="s">
        <v>15751</v>
      </c>
      <c r="C2279" t="s">
        <v>275</v>
      </c>
      <c r="D2279" t="s">
        <v>15752</v>
      </c>
      <c r="E2279" t="s">
        <v>15753</v>
      </c>
      <c r="F2279" t="s">
        <v>1442</v>
      </c>
      <c r="G2279" t="s">
        <v>15754</v>
      </c>
      <c r="H2279" t="s">
        <v>1929</v>
      </c>
      <c r="I2279">
        <f t="shared" ca="1" si="140"/>
        <v>50</v>
      </c>
      <c r="J2279" t="str">
        <f t="shared" ca="1" si="141"/>
        <v>50-59</v>
      </c>
      <c r="K2279">
        <v>96813.65</v>
      </c>
      <c r="L2279" t="str">
        <f>IF(Workforce[[#This Row],[Salary]]&lt;50000,"30k-49k",IF(Workforce[[#This Row],[Salary]]&lt;70000,"50k-69k",IF(Workforce[[#This Row],[Salary]]&lt;90000,"70k-89k","90k+")))</f>
        <v>90k+</v>
      </c>
      <c r="M2279" t="s">
        <v>15755</v>
      </c>
      <c r="N2279">
        <f t="shared" ca="1" si="142"/>
        <v>6</v>
      </c>
      <c r="O2279" t="str">
        <f t="shared" ca="1" si="143"/>
        <v>Intermediate level</v>
      </c>
    </row>
    <row r="2280" spans="1:15" x14ac:dyDescent="0.3">
      <c r="A2280" t="s">
        <v>15756</v>
      </c>
      <c r="B2280" t="s">
        <v>15757</v>
      </c>
      <c r="C2280" t="s">
        <v>275</v>
      </c>
      <c r="D2280" t="s">
        <v>15758</v>
      </c>
      <c r="E2280" t="s">
        <v>15759</v>
      </c>
      <c r="F2280" t="s">
        <v>6712</v>
      </c>
      <c r="G2280" t="s">
        <v>15760</v>
      </c>
      <c r="H2280" t="s">
        <v>15761</v>
      </c>
      <c r="I2280">
        <f t="shared" ca="1" si="140"/>
        <v>43</v>
      </c>
      <c r="J2280" t="str">
        <f t="shared" ca="1" si="141"/>
        <v>40-49</v>
      </c>
      <c r="K2280">
        <v>55111.72</v>
      </c>
      <c r="L2280" t="str">
        <f>IF(Workforce[[#This Row],[Salary]]&lt;50000,"30k-49k",IF(Workforce[[#This Row],[Salary]]&lt;70000,"50k-69k",IF(Workforce[[#This Row],[Salary]]&lt;90000,"70k-89k","90k+")))</f>
        <v>50k-69k</v>
      </c>
      <c r="M2280" t="s">
        <v>15762</v>
      </c>
      <c r="N2280">
        <f t="shared" ca="1" si="142"/>
        <v>4</v>
      </c>
      <c r="O2280" t="str">
        <f t="shared" ca="1" si="143"/>
        <v>Intermediate level</v>
      </c>
    </row>
    <row r="2281" spans="1:15" x14ac:dyDescent="0.3">
      <c r="A2281" t="s">
        <v>15763</v>
      </c>
      <c r="B2281" t="s">
        <v>15764</v>
      </c>
      <c r="C2281" t="s">
        <v>106</v>
      </c>
      <c r="D2281" t="s">
        <v>15765</v>
      </c>
      <c r="E2281" t="s">
        <v>15766</v>
      </c>
      <c r="F2281" t="s">
        <v>2731</v>
      </c>
      <c r="G2281" t="s">
        <v>15767</v>
      </c>
      <c r="H2281" t="s">
        <v>15768</v>
      </c>
      <c r="I2281">
        <f t="shared" ca="1" si="140"/>
        <v>33</v>
      </c>
      <c r="J2281" t="str">
        <f t="shared" ca="1" si="141"/>
        <v>30-39</v>
      </c>
      <c r="K2281">
        <v>108153.43</v>
      </c>
      <c r="L2281" t="str">
        <f>IF(Workforce[[#This Row],[Salary]]&lt;50000,"30k-49k",IF(Workforce[[#This Row],[Salary]]&lt;70000,"50k-69k",IF(Workforce[[#This Row],[Salary]]&lt;90000,"70k-89k","90k+")))</f>
        <v>90k+</v>
      </c>
      <c r="M2281" t="s">
        <v>2396</v>
      </c>
      <c r="N2281">
        <f t="shared" ca="1" si="142"/>
        <v>2</v>
      </c>
      <c r="O2281" t="str">
        <f t="shared" ca="1" si="143"/>
        <v>Beginner</v>
      </c>
    </row>
    <row r="2282" spans="1:15" x14ac:dyDescent="0.3">
      <c r="A2282" t="s">
        <v>15769</v>
      </c>
      <c r="B2282" t="s">
        <v>15770</v>
      </c>
      <c r="C2282" t="s">
        <v>240</v>
      </c>
      <c r="D2282" t="s">
        <v>15771</v>
      </c>
      <c r="E2282" t="s">
        <v>15772</v>
      </c>
      <c r="F2282" t="s">
        <v>966</v>
      </c>
      <c r="G2282" t="s">
        <v>15773</v>
      </c>
      <c r="H2282" t="s">
        <v>15774</v>
      </c>
      <c r="I2282">
        <f t="shared" ca="1" si="140"/>
        <v>35</v>
      </c>
      <c r="J2282" t="str">
        <f t="shared" ca="1" si="141"/>
        <v>30-39</v>
      </c>
      <c r="K2282">
        <v>47269.919999999998</v>
      </c>
      <c r="L2282" t="str">
        <f>IF(Workforce[[#This Row],[Salary]]&lt;50000,"30k-49k",IF(Workforce[[#This Row],[Salary]]&lt;70000,"50k-69k",IF(Workforce[[#This Row],[Salary]]&lt;90000,"70k-89k","90k+")))</f>
        <v>30k-49k</v>
      </c>
      <c r="M2282" t="s">
        <v>15775</v>
      </c>
      <c r="N2282">
        <f t="shared" ca="1" si="142"/>
        <v>4</v>
      </c>
      <c r="O2282" t="str">
        <f t="shared" ca="1" si="143"/>
        <v>Intermediate level</v>
      </c>
    </row>
    <row r="2283" spans="1:15" x14ac:dyDescent="0.3">
      <c r="A2283" t="s">
        <v>15776</v>
      </c>
      <c r="B2283" t="s">
        <v>15777</v>
      </c>
      <c r="C2283" t="s">
        <v>1004</v>
      </c>
      <c r="D2283" t="s">
        <v>15778</v>
      </c>
      <c r="E2283" t="s">
        <v>15779</v>
      </c>
      <c r="F2283" t="s">
        <v>4546</v>
      </c>
      <c r="G2283" t="s">
        <v>15780</v>
      </c>
      <c r="H2283" t="s">
        <v>15781</v>
      </c>
      <c r="I2283">
        <f t="shared" ca="1" si="140"/>
        <v>44</v>
      </c>
      <c r="J2283" t="str">
        <f t="shared" ca="1" si="141"/>
        <v>40-49</v>
      </c>
      <c r="K2283">
        <v>60450.74</v>
      </c>
      <c r="L2283" t="str">
        <f>IF(Workforce[[#This Row],[Salary]]&lt;50000,"30k-49k",IF(Workforce[[#This Row],[Salary]]&lt;70000,"50k-69k",IF(Workforce[[#This Row],[Salary]]&lt;90000,"70k-89k","90k+")))</f>
        <v>50k-69k</v>
      </c>
      <c r="M2283" t="s">
        <v>12040</v>
      </c>
      <c r="N2283">
        <f t="shared" ca="1" si="142"/>
        <v>0</v>
      </c>
      <c r="O2283" t="str">
        <f t="shared" ca="1" si="143"/>
        <v>Beginner</v>
      </c>
    </row>
    <row r="2284" spans="1:15" x14ac:dyDescent="0.3">
      <c r="A2284" t="s">
        <v>15782</v>
      </c>
      <c r="B2284" t="s">
        <v>15783</v>
      </c>
      <c r="C2284" t="s">
        <v>79</v>
      </c>
      <c r="D2284" t="s">
        <v>15784</v>
      </c>
      <c r="E2284" t="s">
        <v>15785</v>
      </c>
      <c r="F2284" t="s">
        <v>2997</v>
      </c>
      <c r="G2284" t="s">
        <v>15786</v>
      </c>
      <c r="H2284" t="s">
        <v>15787</v>
      </c>
      <c r="I2284">
        <f t="shared" ca="1" si="140"/>
        <v>20</v>
      </c>
      <c r="J2284" t="str">
        <f t="shared" ca="1" si="141"/>
        <v>18-29</v>
      </c>
      <c r="K2284">
        <v>113393.67</v>
      </c>
      <c r="L2284" t="str">
        <f>IF(Workforce[[#This Row],[Salary]]&lt;50000,"30k-49k",IF(Workforce[[#This Row],[Salary]]&lt;70000,"50k-69k",IF(Workforce[[#This Row],[Salary]]&lt;90000,"70k-89k","90k+")))</f>
        <v>90k+</v>
      </c>
      <c r="M2284" t="s">
        <v>3903</v>
      </c>
      <c r="N2284">
        <f t="shared" ca="1" si="142"/>
        <v>6</v>
      </c>
      <c r="O2284" t="str">
        <f t="shared" ca="1" si="143"/>
        <v>Intermediate level</v>
      </c>
    </row>
    <row r="2285" spans="1:15" x14ac:dyDescent="0.3">
      <c r="A2285" t="s">
        <v>15788</v>
      </c>
      <c r="B2285" t="s">
        <v>15789</v>
      </c>
      <c r="C2285" t="s">
        <v>1159</v>
      </c>
      <c r="D2285" t="s">
        <v>15790</v>
      </c>
      <c r="E2285" t="s">
        <v>15791</v>
      </c>
      <c r="F2285" t="s">
        <v>1061</v>
      </c>
      <c r="G2285" t="s">
        <v>15792</v>
      </c>
      <c r="H2285" t="s">
        <v>15793</v>
      </c>
      <c r="I2285">
        <f t="shared" ca="1" si="140"/>
        <v>45</v>
      </c>
      <c r="J2285" t="str">
        <f t="shared" ca="1" si="141"/>
        <v>40-49</v>
      </c>
      <c r="K2285">
        <v>81238.5</v>
      </c>
      <c r="L2285" t="str">
        <f>IF(Workforce[[#This Row],[Salary]]&lt;50000,"30k-49k",IF(Workforce[[#This Row],[Salary]]&lt;70000,"50k-69k",IF(Workforce[[#This Row],[Salary]]&lt;90000,"70k-89k","90k+")))</f>
        <v>70k-89k</v>
      </c>
      <c r="M2285" t="s">
        <v>15794</v>
      </c>
      <c r="N2285">
        <f t="shared" ca="1" si="142"/>
        <v>6</v>
      </c>
      <c r="O2285" t="str">
        <f t="shared" ca="1" si="143"/>
        <v>Intermediate level</v>
      </c>
    </row>
    <row r="2286" spans="1:15" x14ac:dyDescent="0.3">
      <c r="A2286" t="s">
        <v>15795</v>
      </c>
      <c r="B2286" t="s">
        <v>15796</v>
      </c>
      <c r="C2286" t="s">
        <v>400</v>
      </c>
      <c r="D2286" t="s">
        <v>15797</v>
      </c>
      <c r="E2286" t="s">
        <v>15798</v>
      </c>
      <c r="F2286" t="s">
        <v>615</v>
      </c>
      <c r="G2286" t="s">
        <v>15799</v>
      </c>
      <c r="H2286" t="s">
        <v>15800</v>
      </c>
      <c r="I2286">
        <f t="shared" ca="1" si="140"/>
        <v>39</v>
      </c>
      <c r="J2286" t="str">
        <f t="shared" ca="1" si="141"/>
        <v>30-39</v>
      </c>
      <c r="K2286">
        <v>70835.399999999994</v>
      </c>
      <c r="L2286" t="str">
        <f>IF(Workforce[[#This Row],[Salary]]&lt;50000,"30k-49k",IF(Workforce[[#This Row],[Salary]]&lt;70000,"50k-69k",IF(Workforce[[#This Row],[Salary]]&lt;90000,"70k-89k","90k+")))</f>
        <v>70k-89k</v>
      </c>
      <c r="M2286" t="s">
        <v>11445</v>
      </c>
      <c r="N2286">
        <f t="shared" ca="1" si="142"/>
        <v>0</v>
      </c>
      <c r="O2286" t="str">
        <f t="shared" ca="1" si="143"/>
        <v>Beginner</v>
      </c>
    </row>
    <row r="2287" spans="1:15" x14ac:dyDescent="0.3">
      <c r="A2287" t="s">
        <v>15801</v>
      </c>
      <c r="B2287" t="s">
        <v>15802</v>
      </c>
      <c r="C2287" t="s">
        <v>151</v>
      </c>
      <c r="D2287" t="s">
        <v>15803</v>
      </c>
      <c r="E2287" t="s">
        <v>15804</v>
      </c>
      <c r="F2287" t="s">
        <v>5214</v>
      </c>
      <c r="G2287" t="s">
        <v>15805</v>
      </c>
      <c r="H2287" t="s">
        <v>15806</v>
      </c>
      <c r="I2287">
        <f t="shared" ca="1" si="140"/>
        <v>62</v>
      </c>
      <c r="J2287" t="str">
        <f t="shared" ca="1" si="141"/>
        <v>60+</v>
      </c>
      <c r="K2287">
        <v>117061.59</v>
      </c>
      <c r="L2287" t="str">
        <f>IF(Workforce[[#This Row],[Salary]]&lt;50000,"30k-49k",IF(Workforce[[#This Row],[Salary]]&lt;70000,"50k-69k",IF(Workforce[[#This Row],[Salary]]&lt;90000,"70k-89k","90k+")))</f>
        <v>90k+</v>
      </c>
      <c r="M2287" t="s">
        <v>1229</v>
      </c>
      <c r="N2287">
        <f t="shared" ca="1" si="142"/>
        <v>5</v>
      </c>
      <c r="O2287" t="str">
        <f t="shared" ca="1" si="143"/>
        <v>Intermediate level</v>
      </c>
    </row>
    <row r="2288" spans="1:15" x14ac:dyDescent="0.3">
      <c r="A2288" t="s">
        <v>15807</v>
      </c>
      <c r="B2288" t="s">
        <v>15808</v>
      </c>
      <c r="C2288" t="s">
        <v>335</v>
      </c>
      <c r="D2288" t="s">
        <v>15809</v>
      </c>
      <c r="E2288" t="s">
        <v>15810</v>
      </c>
      <c r="F2288" t="s">
        <v>2848</v>
      </c>
      <c r="G2288" t="s">
        <v>15811</v>
      </c>
      <c r="H2288" t="s">
        <v>15812</v>
      </c>
      <c r="I2288">
        <f t="shared" ca="1" si="140"/>
        <v>30</v>
      </c>
      <c r="J2288" t="str">
        <f t="shared" ca="1" si="141"/>
        <v>30-39</v>
      </c>
      <c r="K2288">
        <v>80084.5</v>
      </c>
      <c r="L2288" t="str">
        <f>IF(Workforce[[#This Row],[Salary]]&lt;50000,"30k-49k",IF(Workforce[[#This Row],[Salary]]&lt;70000,"50k-69k",IF(Workforce[[#This Row],[Salary]]&lt;90000,"70k-89k","90k+")))</f>
        <v>70k-89k</v>
      </c>
      <c r="M2288" t="s">
        <v>15813</v>
      </c>
      <c r="N2288">
        <f t="shared" ca="1" si="142"/>
        <v>4</v>
      </c>
      <c r="O2288" t="str">
        <f t="shared" ca="1" si="143"/>
        <v>Intermediate level</v>
      </c>
    </row>
    <row r="2289" spans="1:15" x14ac:dyDescent="0.3">
      <c r="A2289" t="s">
        <v>15814</v>
      </c>
      <c r="B2289" t="s">
        <v>15815</v>
      </c>
      <c r="C2289" t="s">
        <v>1223</v>
      </c>
      <c r="D2289" t="s">
        <v>15816</v>
      </c>
      <c r="E2289" t="s">
        <v>15817</v>
      </c>
      <c r="F2289" t="s">
        <v>7659</v>
      </c>
      <c r="G2289" t="s">
        <v>15818</v>
      </c>
      <c r="H2289" t="s">
        <v>15819</v>
      </c>
      <c r="I2289">
        <f t="shared" ca="1" si="140"/>
        <v>34</v>
      </c>
      <c r="J2289" t="str">
        <f t="shared" ca="1" si="141"/>
        <v>30-39</v>
      </c>
      <c r="K2289">
        <v>113285.25</v>
      </c>
      <c r="L2289" t="str">
        <f>IF(Workforce[[#This Row],[Salary]]&lt;50000,"30k-49k",IF(Workforce[[#This Row],[Salary]]&lt;70000,"50k-69k",IF(Workforce[[#This Row],[Salary]]&lt;90000,"70k-89k","90k+")))</f>
        <v>90k+</v>
      </c>
      <c r="M2289" t="s">
        <v>4324</v>
      </c>
      <c r="N2289">
        <f t="shared" ca="1" si="142"/>
        <v>6</v>
      </c>
      <c r="O2289" t="str">
        <f t="shared" ca="1" si="143"/>
        <v>Intermediate level</v>
      </c>
    </row>
    <row r="2290" spans="1:15" x14ac:dyDescent="0.3">
      <c r="A2290" t="s">
        <v>15820</v>
      </c>
      <c r="B2290" t="s">
        <v>15821</v>
      </c>
      <c r="C2290" t="s">
        <v>26</v>
      </c>
      <c r="D2290" t="s">
        <v>15822</v>
      </c>
      <c r="E2290" t="s">
        <v>15823</v>
      </c>
      <c r="F2290" t="s">
        <v>9475</v>
      </c>
      <c r="G2290" t="s">
        <v>15824</v>
      </c>
      <c r="H2290" t="s">
        <v>15825</v>
      </c>
      <c r="I2290">
        <f t="shared" ca="1" si="140"/>
        <v>47</v>
      </c>
      <c r="J2290" t="str">
        <f t="shared" ca="1" si="141"/>
        <v>40-49</v>
      </c>
      <c r="K2290">
        <v>36520.85</v>
      </c>
      <c r="L2290" t="str">
        <f>IF(Workforce[[#This Row],[Salary]]&lt;50000,"30k-49k",IF(Workforce[[#This Row],[Salary]]&lt;70000,"50k-69k",IF(Workforce[[#This Row],[Salary]]&lt;90000,"70k-89k","90k+")))</f>
        <v>30k-49k</v>
      </c>
      <c r="M2290" t="s">
        <v>2262</v>
      </c>
      <c r="N2290">
        <f t="shared" ca="1" si="142"/>
        <v>10</v>
      </c>
      <c r="O2290" t="str">
        <f t="shared" ca="1" si="143"/>
        <v>Senior level</v>
      </c>
    </row>
    <row r="2291" spans="1:15" x14ac:dyDescent="0.3">
      <c r="A2291" t="s">
        <v>15826</v>
      </c>
      <c r="B2291" t="s">
        <v>15827</v>
      </c>
      <c r="C2291" t="s">
        <v>1004</v>
      </c>
      <c r="D2291" t="s">
        <v>15828</v>
      </c>
      <c r="E2291" t="s">
        <v>15829</v>
      </c>
      <c r="F2291" t="s">
        <v>3389</v>
      </c>
      <c r="G2291" t="s">
        <v>15830</v>
      </c>
      <c r="H2291" t="s">
        <v>15831</v>
      </c>
      <c r="I2291">
        <f t="shared" ca="1" si="140"/>
        <v>47</v>
      </c>
      <c r="J2291" t="str">
        <f t="shared" ca="1" si="141"/>
        <v>40-49</v>
      </c>
      <c r="K2291">
        <v>119637.84</v>
      </c>
      <c r="L2291" t="str">
        <f>IF(Workforce[[#This Row],[Salary]]&lt;50000,"30k-49k",IF(Workforce[[#This Row],[Salary]]&lt;70000,"50k-69k",IF(Workforce[[#This Row],[Salary]]&lt;90000,"70k-89k","90k+")))</f>
        <v>90k+</v>
      </c>
      <c r="M2291" t="s">
        <v>15832</v>
      </c>
      <c r="N2291">
        <f t="shared" ca="1" si="142"/>
        <v>1</v>
      </c>
      <c r="O2291" t="str">
        <f t="shared" ca="1" si="143"/>
        <v>Beginner</v>
      </c>
    </row>
    <row r="2292" spans="1:15" x14ac:dyDescent="0.3">
      <c r="A2292" t="s">
        <v>15833</v>
      </c>
      <c r="B2292" t="s">
        <v>15834</v>
      </c>
      <c r="C2292" t="s">
        <v>757</v>
      </c>
      <c r="D2292" t="s">
        <v>15835</v>
      </c>
      <c r="E2292" t="s">
        <v>15836</v>
      </c>
      <c r="F2292" t="s">
        <v>910</v>
      </c>
      <c r="G2292" t="s">
        <v>15837</v>
      </c>
      <c r="H2292" t="s">
        <v>15838</v>
      </c>
      <c r="I2292">
        <f t="shared" ca="1" si="140"/>
        <v>28</v>
      </c>
      <c r="J2292" t="str">
        <f t="shared" ca="1" si="141"/>
        <v>18-29</v>
      </c>
      <c r="K2292">
        <v>107041.42</v>
      </c>
      <c r="L2292" t="str">
        <f>IF(Workforce[[#This Row],[Salary]]&lt;50000,"30k-49k",IF(Workforce[[#This Row],[Salary]]&lt;70000,"50k-69k",IF(Workforce[[#This Row],[Salary]]&lt;90000,"70k-89k","90k+")))</f>
        <v>90k+</v>
      </c>
      <c r="M2292" t="s">
        <v>15839</v>
      </c>
      <c r="N2292">
        <f t="shared" ca="1" si="142"/>
        <v>8</v>
      </c>
      <c r="O2292" t="str">
        <f t="shared" ca="1" si="143"/>
        <v>Senior level</v>
      </c>
    </row>
    <row r="2293" spans="1:15" x14ac:dyDescent="0.3">
      <c r="A2293" t="s">
        <v>15840</v>
      </c>
      <c r="B2293" t="s">
        <v>15841</v>
      </c>
      <c r="C2293" t="s">
        <v>844</v>
      </c>
      <c r="D2293" t="s">
        <v>15842</v>
      </c>
      <c r="E2293" t="s">
        <v>15843</v>
      </c>
      <c r="F2293" t="s">
        <v>4836</v>
      </c>
      <c r="G2293" t="s">
        <v>15844</v>
      </c>
      <c r="H2293" t="s">
        <v>15845</v>
      </c>
      <c r="I2293">
        <f t="shared" ca="1" si="140"/>
        <v>39</v>
      </c>
      <c r="J2293" t="str">
        <f t="shared" ca="1" si="141"/>
        <v>30-39</v>
      </c>
      <c r="K2293">
        <v>65113.22</v>
      </c>
      <c r="L2293" t="str">
        <f>IF(Workforce[[#This Row],[Salary]]&lt;50000,"30k-49k",IF(Workforce[[#This Row],[Salary]]&lt;70000,"50k-69k",IF(Workforce[[#This Row],[Salary]]&lt;90000,"70k-89k","90k+")))</f>
        <v>50k-69k</v>
      </c>
      <c r="M2293" t="s">
        <v>11867</v>
      </c>
      <c r="N2293">
        <f t="shared" ca="1" si="142"/>
        <v>1</v>
      </c>
      <c r="O2293" t="str">
        <f t="shared" ca="1" si="143"/>
        <v>Beginner</v>
      </c>
    </row>
    <row r="2294" spans="1:15" x14ac:dyDescent="0.3">
      <c r="A2294" t="s">
        <v>15846</v>
      </c>
      <c r="B2294" t="s">
        <v>15847</v>
      </c>
      <c r="C2294" t="s">
        <v>88</v>
      </c>
      <c r="D2294" t="s">
        <v>15848</v>
      </c>
      <c r="E2294" t="s">
        <v>15849</v>
      </c>
      <c r="F2294" t="s">
        <v>6260</v>
      </c>
      <c r="G2294" t="s">
        <v>15850</v>
      </c>
      <c r="H2294" t="s">
        <v>15851</v>
      </c>
      <c r="I2294">
        <f t="shared" ca="1" si="140"/>
        <v>42</v>
      </c>
      <c r="J2294" t="str">
        <f t="shared" ca="1" si="141"/>
        <v>40-49</v>
      </c>
      <c r="K2294">
        <v>79906.33</v>
      </c>
      <c r="L2294" t="str">
        <f>IF(Workforce[[#This Row],[Salary]]&lt;50000,"30k-49k",IF(Workforce[[#This Row],[Salary]]&lt;70000,"50k-69k",IF(Workforce[[#This Row],[Salary]]&lt;90000,"70k-89k","90k+")))</f>
        <v>70k-89k</v>
      </c>
      <c r="M2294" t="s">
        <v>389</v>
      </c>
      <c r="N2294">
        <f t="shared" ca="1" si="142"/>
        <v>9</v>
      </c>
      <c r="O2294" t="str">
        <f t="shared" ca="1" si="143"/>
        <v>Senior level</v>
      </c>
    </row>
    <row r="2295" spans="1:15" x14ac:dyDescent="0.3">
      <c r="A2295" t="s">
        <v>15852</v>
      </c>
      <c r="B2295" t="s">
        <v>15853</v>
      </c>
      <c r="C2295" t="s">
        <v>222</v>
      </c>
      <c r="D2295" t="s">
        <v>15854</v>
      </c>
      <c r="E2295" t="s">
        <v>15855</v>
      </c>
      <c r="F2295" t="s">
        <v>2379</v>
      </c>
      <c r="G2295" t="s">
        <v>15856</v>
      </c>
      <c r="H2295" t="s">
        <v>15857</v>
      </c>
      <c r="I2295">
        <f t="shared" ca="1" si="140"/>
        <v>44</v>
      </c>
      <c r="J2295" t="str">
        <f t="shared" ca="1" si="141"/>
        <v>40-49</v>
      </c>
      <c r="K2295">
        <v>72078.009999999995</v>
      </c>
      <c r="L2295" t="str">
        <f>IF(Workforce[[#This Row],[Salary]]&lt;50000,"30k-49k",IF(Workforce[[#This Row],[Salary]]&lt;70000,"50k-69k",IF(Workforce[[#This Row],[Salary]]&lt;90000,"70k-89k","90k+")))</f>
        <v>70k-89k</v>
      </c>
      <c r="M2295" t="s">
        <v>7329</v>
      </c>
      <c r="N2295">
        <f t="shared" ca="1" si="142"/>
        <v>7</v>
      </c>
      <c r="O2295" t="str">
        <f t="shared" ca="1" si="143"/>
        <v>Senior level</v>
      </c>
    </row>
    <row r="2296" spans="1:15" x14ac:dyDescent="0.3">
      <c r="A2296" t="s">
        <v>15858</v>
      </c>
      <c r="B2296" t="s">
        <v>15859</v>
      </c>
      <c r="C2296" t="s">
        <v>748</v>
      </c>
      <c r="D2296" t="s">
        <v>15860</v>
      </c>
      <c r="E2296" t="s">
        <v>15861</v>
      </c>
      <c r="F2296" t="s">
        <v>11273</v>
      </c>
      <c r="G2296" t="s">
        <v>15862</v>
      </c>
      <c r="H2296" t="s">
        <v>15863</v>
      </c>
      <c r="I2296">
        <f t="shared" ca="1" si="140"/>
        <v>49</v>
      </c>
      <c r="J2296" t="str">
        <f t="shared" ca="1" si="141"/>
        <v>40-49</v>
      </c>
      <c r="K2296">
        <v>52644.58</v>
      </c>
      <c r="L2296" t="str">
        <f>IF(Workforce[[#This Row],[Salary]]&lt;50000,"30k-49k",IF(Workforce[[#This Row],[Salary]]&lt;70000,"50k-69k",IF(Workforce[[#This Row],[Salary]]&lt;90000,"70k-89k","90k+")))</f>
        <v>50k-69k</v>
      </c>
      <c r="M2296" t="s">
        <v>15864</v>
      </c>
      <c r="N2296">
        <f t="shared" ca="1" si="142"/>
        <v>9</v>
      </c>
      <c r="O2296" t="str">
        <f t="shared" ca="1" si="143"/>
        <v>Senior level</v>
      </c>
    </row>
    <row r="2297" spans="1:15" x14ac:dyDescent="0.3">
      <c r="A2297" t="s">
        <v>15865</v>
      </c>
      <c r="B2297" t="s">
        <v>15866</v>
      </c>
      <c r="C2297" t="s">
        <v>151</v>
      </c>
      <c r="D2297" t="s">
        <v>15867</v>
      </c>
      <c r="E2297" t="s">
        <v>15868</v>
      </c>
      <c r="F2297" t="s">
        <v>260</v>
      </c>
      <c r="G2297" t="s">
        <v>15869</v>
      </c>
      <c r="H2297" t="s">
        <v>15870</v>
      </c>
      <c r="I2297">
        <f t="shared" ca="1" si="140"/>
        <v>22</v>
      </c>
      <c r="J2297" t="str">
        <f t="shared" ca="1" si="141"/>
        <v>18-29</v>
      </c>
      <c r="K2297">
        <v>38446.85</v>
      </c>
      <c r="L2297" t="str">
        <f>IF(Workforce[[#This Row],[Salary]]&lt;50000,"30k-49k",IF(Workforce[[#This Row],[Salary]]&lt;70000,"50k-69k",IF(Workforce[[#This Row],[Salary]]&lt;90000,"70k-89k","90k+")))</f>
        <v>30k-49k</v>
      </c>
      <c r="M2297" t="s">
        <v>1315</v>
      </c>
      <c r="N2297">
        <f t="shared" ca="1" si="142"/>
        <v>7</v>
      </c>
      <c r="O2297" t="str">
        <f t="shared" ca="1" si="143"/>
        <v>Senior level</v>
      </c>
    </row>
    <row r="2298" spans="1:15" x14ac:dyDescent="0.3">
      <c r="A2298" t="s">
        <v>15871</v>
      </c>
      <c r="B2298" t="s">
        <v>15872</v>
      </c>
      <c r="C2298" t="s">
        <v>222</v>
      </c>
      <c r="D2298" t="s">
        <v>15873</v>
      </c>
      <c r="E2298" t="s">
        <v>15874</v>
      </c>
      <c r="F2298" t="s">
        <v>1742</v>
      </c>
      <c r="G2298" t="s">
        <v>15875</v>
      </c>
      <c r="H2298" t="s">
        <v>15876</v>
      </c>
      <c r="I2298">
        <f t="shared" ca="1" si="140"/>
        <v>31</v>
      </c>
      <c r="J2298" t="str">
        <f t="shared" ca="1" si="141"/>
        <v>30-39</v>
      </c>
      <c r="K2298">
        <v>53125.58</v>
      </c>
      <c r="L2298" t="str">
        <f>IF(Workforce[[#This Row],[Salary]]&lt;50000,"30k-49k",IF(Workforce[[#This Row],[Salary]]&lt;70000,"50k-69k",IF(Workforce[[#This Row],[Salary]]&lt;90000,"70k-89k","90k+")))</f>
        <v>50k-69k</v>
      </c>
      <c r="M2298" t="s">
        <v>6707</v>
      </c>
      <c r="N2298">
        <f t="shared" ca="1" si="142"/>
        <v>6</v>
      </c>
      <c r="O2298" t="str">
        <f t="shared" ca="1" si="143"/>
        <v>Intermediate level</v>
      </c>
    </row>
    <row r="2299" spans="1:15" x14ac:dyDescent="0.3">
      <c r="A2299" t="s">
        <v>15877</v>
      </c>
      <c r="B2299" t="s">
        <v>15878</v>
      </c>
      <c r="C2299" t="s">
        <v>1159</v>
      </c>
      <c r="D2299" t="s">
        <v>15879</v>
      </c>
      <c r="E2299" t="s">
        <v>15880</v>
      </c>
      <c r="F2299" t="s">
        <v>6570</v>
      </c>
      <c r="G2299" t="s">
        <v>15881</v>
      </c>
      <c r="H2299" t="s">
        <v>15882</v>
      </c>
      <c r="I2299">
        <f t="shared" ca="1" si="140"/>
        <v>38</v>
      </c>
      <c r="J2299" t="str">
        <f t="shared" ca="1" si="141"/>
        <v>30-39</v>
      </c>
      <c r="K2299">
        <v>88020.91</v>
      </c>
      <c r="L2299" t="str">
        <f>IF(Workforce[[#This Row],[Salary]]&lt;50000,"30k-49k",IF(Workforce[[#This Row],[Salary]]&lt;70000,"50k-69k",IF(Workforce[[#This Row],[Salary]]&lt;90000,"70k-89k","90k+")))</f>
        <v>70k-89k</v>
      </c>
      <c r="M2299" t="s">
        <v>7909</v>
      </c>
      <c r="N2299">
        <f t="shared" ca="1" si="142"/>
        <v>5</v>
      </c>
      <c r="O2299" t="str">
        <f t="shared" ca="1" si="143"/>
        <v>Intermediate level</v>
      </c>
    </row>
    <row r="2300" spans="1:15" x14ac:dyDescent="0.3">
      <c r="A2300" t="s">
        <v>15883</v>
      </c>
      <c r="B2300" t="s">
        <v>15884</v>
      </c>
      <c r="C2300" t="s">
        <v>213</v>
      </c>
      <c r="D2300" t="s">
        <v>15885</v>
      </c>
      <c r="E2300" t="s">
        <v>15886</v>
      </c>
      <c r="F2300" t="s">
        <v>10232</v>
      </c>
      <c r="G2300" t="s">
        <v>15887</v>
      </c>
      <c r="H2300" t="s">
        <v>15888</v>
      </c>
      <c r="I2300">
        <f t="shared" ca="1" si="140"/>
        <v>51</v>
      </c>
      <c r="J2300" t="str">
        <f t="shared" ca="1" si="141"/>
        <v>50-59</v>
      </c>
      <c r="K2300">
        <v>90726.37</v>
      </c>
      <c r="L2300" t="str">
        <f>IF(Workforce[[#This Row],[Salary]]&lt;50000,"30k-49k",IF(Workforce[[#This Row],[Salary]]&lt;70000,"50k-69k",IF(Workforce[[#This Row],[Salary]]&lt;90000,"70k-89k","90k+")))</f>
        <v>90k+</v>
      </c>
      <c r="M2300" t="s">
        <v>15889</v>
      </c>
      <c r="N2300">
        <f t="shared" ca="1" si="142"/>
        <v>3</v>
      </c>
      <c r="O2300" t="str">
        <f t="shared" ca="1" si="143"/>
        <v>Intermediate level</v>
      </c>
    </row>
    <row r="2301" spans="1:15" x14ac:dyDescent="0.3">
      <c r="A2301" t="s">
        <v>15890</v>
      </c>
      <c r="B2301" t="s">
        <v>15891</v>
      </c>
      <c r="C2301" t="s">
        <v>124</v>
      </c>
      <c r="D2301" t="s">
        <v>15892</v>
      </c>
      <c r="E2301" t="s">
        <v>15893</v>
      </c>
      <c r="F2301" t="s">
        <v>8689</v>
      </c>
      <c r="G2301" t="s">
        <v>1336</v>
      </c>
      <c r="H2301" t="s">
        <v>15894</v>
      </c>
      <c r="I2301">
        <f t="shared" ca="1" si="140"/>
        <v>59</v>
      </c>
      <c r="J2301" t="str">
        <f t="shared" ca="1" si="141"/>
        <v>50-59</v>
      </c>
      <c r="K2301">
        <v>37215.599999999999</v>
      </c>
      <c r="L2301" t="str">
        <f>IF(Workforce[[#This Row],[Salary]]&lt;50000,"30k-49k",IF(Workforce[[#This Row],[Salary]]&lt;70000,"50k-69k",IF(Workforce[[#This Row],[Salary]]&lt;90000,"70k-89k","90k+")))</f>
        <v>30k-49k</v>
      </c>
      <c r="M2301" t="s">
        <v>6437</v>
      </c>
      <c r="N2301">
        <f t="shared" ca="1" si="142"/>
        <v>7</v>
      </c>
      <c r="O2301" t="str">
        <f t="shared" ca="1" si="143"/>
        <v>Senior level</v>
      </c>
    </row>
    <row r="2302" spans="1:15" x14ac:dyDescent="0.3">
      <c r="A2302" t="s">
        <v>15895</v>
      </c>
      <c r="B2302" t="s">
        <v>15896</v>
      </c>
      <c r="C2302" t="s">
        <v>440</v>
      </c>
      <c r="D2302" t="s">
        <v>15897</v>
      </c>
      <c r="E2302" t="s">
        <v>15898</v>
      </c>
      <c r="F2302" t="s">
        <v>320</v>
      </c>
      <c r="G2302" t="s">
        <v>15899</v>
      </c>
      <c r="H2302" t="s">
        <v>849</v>
      </c>
      <c r="I2302">
        <f t="shared" ca="1" si="140"/>
        <v>52</v>
      </c>
      <c r="J2302" t="str">
        <f t="shared" ca="1" si="141"/>
        <v>50-59</v>
      </c>
      <c r="K2302">
        <v>117261.27</v>
      </c>
      <c r="L2302" t="str">
        <f>IF(Workforce[[#This Row],[Salary]]&lt;50000,"30k-49k",IF(Workforce[[#This Row],[Salary]]&lt;70000,"50k-69k",IF(Workforce[[#This Row],[Salary]]&lt;90000,"70k-89k","90k+")))</f>
        <v>90k+</v>
      </c>
      <c r="M2302" t="s">
        <v>10314</v>
      </c>
      <c r="N2302">
        <f t="shared" ca="1" si="142"/>
        <v>10</v>
      </c>
      <c r="O2302" t="str">
        <f t="shared" ca="1" si="143"/>
        <v>Senior level</v>
      </c>
    </row>
    <row r="2303" spans="1:15" x14ac:dyDescent="0.3">
      <c r="A2303" t="s">
        <v>15900</v>
      </c>
      <c r="B2303" t="s">
        <v>15901</v>
      </c>
      <c r="C2303" t="s">
        <v>142</v>
      </c>
      <c r="D2303" t="s">
        <v>15902</v>
      </c>
      <c r="E2303" t="s">
        <v>15903</v>
      </c>
      <c r="F2303" t="s">
        <v>6290</v>
      </c>
      <c r="G2303" t="s">
        <v>15904</v>
      </c>
      <c r="H2303" t="s">
        <v>15905</v>
      </c>
      <c r="I2303">
        <f t="shared" ca="1" si="140"/>
        <v>25</v>
      </c>
      <c r="J2303" t="str">
        <f t="shared" ca="1" si="141"/>
        <v>18-29</v>
      </c>
      <c r="K2303">
        <v>111017.45</v>
      </c>
      <c r="L2303" t="str">
        <f>IF(Workforce[[#This Row],[Salary]]&lt;50000,"30k-49k",IF(Workforce[[#This Row],[Salary]]&lt;70000,"50k-69k",IF(Workforce[[#This Row],[Salary]]&lt;90000,"70k-89k","90k+")))</f>
        <v>90k+</v>
      </c>
      <c r="M2303" t="s">
        <v>15906</v>
      </c>
      <c r="N2303">
        <f t="shared" ca="1" si="142"/>
        <v>4</v>
      </c>
      <c r="O2303" t="str">
        <f t="shared" ca="1" si="143"/>
        <v>Intermediate level</v>
      </c>
    </row>
    <row r="2304" spans="1:15" x14ac:dyDescent="0.3">
      <c r="A2304" t="s">
        <v>15907</v>
      </c>
      <c r="B2304" t="s">
        <v>15908</v>
      </c>
      <c r="C2304" t="s">
        <v>284</v>
      </c>
      <c r="D2304" t="s">
        <v>15909</v>
      </c>
      <c r="E2304" t="s">
        <v>15910</v>
      </c>
      <c r="F2304" t="s">
        <v>1549</v>
      </c>
      <c r="G2304" t="s">
        <v>15911</v>
      </c>
      <c r="H2304" t="s">
        <v>15912</v>
      </c>
      <c r="I2304">
        <f t="shared" ca="1" si="140"/>
        <v>48</v>
      </c>
      <c r="J2304" t="str">
        <f t="shared" ca="1" si="141"/>
        <v>40-49</v>
      </c>
      <c r="K2304">
        <v>78721.97</v>
      </c>
      <c r="L2304" t="str">
        <f>IF(Workforce[[#This Row],[Salary]]&lt;50000,"30k-49k",IF(Workforce[[#This Row],[Salary]]&lt;70000,"50k-69k",IF(Workforce[[#This Row],[Salary]]&lt;90000,"70k-89k","90k+")))</f>
        <v>70k-89k</v>
      </c>
      <c r="M2304" t="s">
        <v>2098</v>
      </c>
      <c r="N2304">
        <f t="shared" ca="1" si="142"/>
        <v>9</v>
      </c>
      <c r="O2304" t="str">
        <f t="shared" ca="1" si="143"/>
        <v>Senior level</v>
      </c>
    </row>
    <row r="2305" spans="1:15" x14ac:dyDescent="0.3">
      <c r="A2305" t="s">
        <v>15913</v>
      </c>
      <c r="B2305" t="s">
        <v>15914</v>
      </c>
      <c r="C2305" t="s">
        <v>26</v>
      </c>
      <c r="D2305" t="s">
        <v>15915</v>
      </c>
      <c r="E2305" t="s">
        <v>15916</v>
      </c>
      <c r="F2305" t="s">
        <v>4787</v>
      </c>
      <c r="G2305" t="s">
        <v>15917</v>
      </c>
      <c r="H2305" t="s">
        <v>15918</v>
      </c>
      <c r="I2305">
        <f t="shared" ca="1" si="140"/>
        <v>62</v>
      </c>
      <c r="J2305" t="str">
        <f t="shared" ca="1" si="141"/>
        <v>60+</v>
      </c>
      <c r="K2305">
        <v>50071.49</v>
      </c>
      <c r="L2305" t="str">
        <f>IF(Workforce[[#This Row],[Salary]]&lt;50000,"30k-49k",IF(Workforce[[#This Row],[Salary]]&lt;70000,"50k-69k",IF(Workforce[[#This Row],[Salary]]&lt;90000,"70k-89k","90k+")))</f>
        <v>50k-69k</v>
      </c>
      <c r="M2305" t="s">
        <v>15919</v>
      </c>
      <c r="N2305">
        <f t="shared" ca="1" si="142"/>
        <v>5</v>
      </c>
      <c r="O2305" t="str">
        <f t="shared" ca="1" si="143"/>
        <v>Intermediate level</v>
      </c>
    </row>
    <row r="2306" spans="1:15" x14ac:dyDescent="0.3">
      <c r="A2306" t="s">
        <v>15920</v>
      </c>
      <c r="B2306" t="s">
        <v>15921</v>
      </c>
      <c r="C2306" t="s">
        <v>142</v>
      </c>
      <c r="D2306" t="s">
        <v>15922</v>
      </c>
      <c r="E2306" t="s">
        <v>15923</v>
      </c>
      <c r="F2306" t="s">
        <v>9085</v>
      </c>
      <c r="G2306" t="s">
        <v>15924</v>
      </c>
      <c r="H2306" t="s">
        <v>15925</v>
      </c>
      <c r="I2306">
        <f t="shared" ref="I2306:I2369" ca="1" si="144">DATEDIF(H2306,TODAY(),"y")</f>
        <v>28</v>
      </c>
      <c r="J2306" t="str">
        <f t="shared" ref="J2306:J2369" ca="1" si="145">IF(I2306&lt;30,"18-29",IF(I2306&lt;40,"30-39",IF(I2306&lt;50,"40-49",IF(I2306&lt;60,"50-59","60+"))))</f>
        <v>18-29</v>
      </c>
      <c r="K2306">
        <v>64574.84</v>
      </c>
      <c r="L2306" t="str">
        <f>IF(Workforce[[#This Row],[Salary]]&lt;50000,"30k-49k",IF(Workforce[[#This Row],[Salary]]&lt;70000,"50k-69k",IF(Workforce[[#This Row],[Salary]]&lt;90000,"70k-89k","90k+")))</f>
        <v>50k-69k</v>
      </c>
      <c r="M2306" t="s">
        <v>15926</v>
      </c>
      <c r="N2306">
        <f t="shared" ref="N2306:N2369" ca="1" si="146">DATEDIF(M2306,TODAY(),"y")</f>
        <v>4</v>
      </c>
      <c r="O2306" t="str">
        <f t="shared" ref="O2306:O2369" ca="1" si="147">IF(N2306&lt;=2,"Beginner",IF(N2306&lt;=6,"Intermediate level","Senior level"))</f>
        <v>Intermediate level</v>
      </c>
    </row>
    <row r="2307" spans="1:15" x14ac:dyDescent="0.3">
      <c r="A2307" t="s">
        <v>15927</v>
      </c>
      <c r="B2307" t="s">
        <v>15928</v>
      </c>
      <c r="C2307" t="s">
        <v>317</v>
      </c>
      <c r="D2307" t="s">
        <v>15929</v>
      </c>
      <c r="E2307" t="s">
        <v>15930</v>
      </c>
      <c r="F2307" t="s">
        <v>10065</v>
      </c>
      <c r="G2307" t="s">
        <v>15931</v>
      </c>
      <c r="H2307" t="s">
        <v>15932</v>
      </c>
      <c r="I2307">
        <f t="shared" ca="1" si="144"/>
        <v>26</v>
      </c>
      <c r="J2307" t="str">
        <f t="shared" ca="1" si="145"/>
        <v>18-29</v>
      </c>
      <c r="K2307">
        <v>118782.06</v>
      </c>
      <c r="L2307" t="str">
        <f>IF(Workforce[[#This Row],[Salary]]&lt;50000,"30k-49k",IF(Workforce[[#This Row],[Salary]]&lt;70000,"50k-69k",IF(Workforce[[#This Row],[Salary]]&lt;90000,"70k-89k","90k+")))</f>
        <v>90k+</v>
      </c>
      <c r="M2307" t="s">
        <v>6402</v>
      </c>
      <c r="N2307">
        <f t="shared" ca="1" si="146"/>
        <v>9</v>
      </c>
      <c r="O2307" t="str">
        <f t="shared" ca="1" si="147"/>
        <v>Senior level</v>
      </c>
    </row>
    <row r="2308" spans="1:15" x14ac:dyDescent="0.3">
      <c r="A2308" t="s">
        <v>15933</v>
      </c>
      <c r="B2308" t="s">
        <v>15934</v>
      </c>
      <c r="C2308" t="s">
        <v>61</v>
      </c>
      <c r="D2308" t="s">
        <v>15935</v>
      </c>
      <c r="E2308" t="s">
        <v>15936</v>
      </c>
      <c r="F2308" t="s">
        <v>7582</v>
      </c>
      <c r="G2308" t="s">
        <v>15937</v>
      </c>
      <c r="H2308" t="s">
        <v>15938</v>
      </c>
      <c r="I2308">
        <f t="shared" ca="1" si="144"/>
        <v>21</v>
      </c>
      <c r="J2308" t="str">
        <f t="shared" ca="1" si="145"/>
        <v>18-29</v>
      </c>
      <c r="K2308">
        <v>106391.57</v>
      </c>
      <c r="L2308" t="str">
        <f>IF(Workforce[[#This Row],[Salary]]&lt;50000,"30k-49k",IF(Workforce[[#This Row],[Salary]]&lt;70000,"50k-69k",IF(Workforce[[#This Row],[Salary]]&lt;90000,"70k-89k","90k+")))</f>
        <v>90k+</v>
      </c>
      <c r="M2308" t="s">
        <v>8574</v>
      </c>
      <c r="N2308">
        <f t="shared" ca="1" si="146"/>
        <v>2</v>
      </c>
      <c r="O2308" t="str">
        <f t="shared" ca="1" si="147"/>
        <v>Beginner</v>
      </c>
    </row>
    <row r="2309" spans="1:15" x14ac:dyDescent="0.3">
      <c r="A2309" t="s">
        <v>15939</v>
      </c>
      <c r="B2309" t="s">
        <v>15940</v>
      </c>
      <c r="C2309" t="s">
        <v>70</v>
      </c>
      <c r="D2309" t="s">
        <v>15941</v>
      </c>
      <c r="E2309" t="s">
        <v>15942</v>
      </c>
      <c r="F2309" t="s">
        <v>4387</v>
      </c>
      <c r="G2309" t="s">
        <v>15943</v>
      </c>
      <c r="H2309" t="s">
        <v>15944</v>
      </c>
      <c r="I2309">
        <f t="shared" ca="1" si="144"/>
        <v>31</v>
      </c>
      <c r="J2309" t="str">
        <f t="shared" ca="1" si="145"/>
        <v>30-39</v>
      </c>
      <c r="K2309">
        <v>76038.679999999993</v>
      </c>
      <c r="L2309" t="str">
        <f>IF(Workforce[[#This Row],[Salary]]&lt;50000,"30k-49k",IF(Workforce[[#This Row],[Salary]]&lt;70000,"50k-69k",IF(Workforce[[#This Row],[Salary]]&lt;90000,"70k-89k","90k+")))</f>
        <v>70k-89k</v>
      </c>
      <c r="M2309" t="s">
        <v>15945</v>
      </c>
      <c r="N2309">
        <f t="shared" ca="1" si="146"/>
        <v>4</v>
      </c>
      <c r="O2309" t="str">
        <f t="shared" ca="1" si="147"/>
        <v>Intermediate level</v>
      </c>
    </row>
    <row r="2310" spans="1:15" x14ac:dyDescent="0.3">
      <c r="A2310" t="s">
        <v>15946</v>
      </c>
      <c r="B2310" t="s">
        <v>15947</v>
      </c>
      <c r="C2310" t="s">
        <v>457</v>
      </c>
      <c r="D2310" t="s">
        <v>15948</v>
      </c>
      <c r="E2310" t="s">
        <v>15949</v>
      </c>
      <c r="F2310" t="s">
        <v>5622</v>
      </c>
      <c r="G2310" t="s">
        <v>15950</v>
      </c>
      <c r="H2310" t="s">
        <v>15951</v>
      </c>
      <c r="I2310">
        <f t="shared" ca="1" si="144"/>
        <v>23</v>
      </c>
      <c r="J2310" t="str">
        <f t="shared" ca="1" si="145"/>
        <v>18-29</v>
      </c>
      <c r="K2310">
        <v>76277.27</v>
      </c>
      <c r="L2310" t="str">
        <f>IF(Workforce[[#This Row],[Salary]]&lt;50000,"30k-49k",IF(Workforce[[#This Row],[Salary]]&lt;70000,"50k-69k",IF(Workforce[[#This Row],[Salary]]&lt;90000,"70k-89k","90k+")))</f>
        <v>70k-89k</v>
      </c>
      <c r="M2310" t="s">
        <v>5013</v>
      </c>
      <c r="N2310">
        <f t="shared" ca="1" si="146"/>
        <v>9</v>
      </c>
      <c r="O2310" t="str">
        <f t="shared" ca="1" si="147"/>
        <v>Senior level</v>
      </c>
    </row>
    <row r="2311" spans="1:15" x14ac:dyDescent="0.3">
      <c r="A2311" t="s">
        <v>15952</v>
      </c>
      <c r="B2311" t="s">
        <v>15953</v>
      </c>
      <c r="C2311" t="s">
        <v>440</v>
      </c>
      <c r="D2311" t="s">
        <v>15954</v>
      </c>
      <c r="E2311" t="s">
        <v>15955</v>
      </c>
      <c r="F2311" t="s">
        <v>2687</v>
      </c>
      <c r="G2311" t="s">
        <v>15956</v>
      </c>
      <c r="H2311" t="s">
        <v>15957</v>
      </c>
      <c r="I2311">
        <f t="shared" ca="1" si="144"/>
        <v>31</v>
      </c>
      <c r="J2311" t="str">
        <f t="shared" ca="1" si="145"/>
        <v>30-39</v>
      </c>
      <c r="K2311">
        <v>76910.19</v>
      </c>
      <c r="L2311" t="str">
        <f>IF(Workforce[[#This Row],[Salary]]&lt;50000,"30k-49k",IF(Workforce[[#This Row],[Salary]]&lt;70000,"50k-69k",IF(Workforce[[#This Row],[Salary]]&lt;90000,"70k-89k","90k+")))</f>
        <v>70k-89k</v>
      </c>
      <c r="M2311" t="s">
        <v>4491</v>
      </c>
      <c r="N2311">
        <f t="shared" ca="1" si="146"/>
        <v>8</v>
      </c>
      <c r="O2311" t="str">
        <f t="shared" ca="1" si="147"/>
        <v>Senior level</v>
      </c>
    </row>
    <row r="2312" spans="1:15" x14ac:dyDescent="0.3">
      <c r="A2312" t="s">
        <v>15958</v>
      </c>
      <c r="B2312" t="s">
        <v>15959</v>
      </c>
      <c r="C2312" t="s">
        <v>995</v>
      </c>
      <c r="D2312" t="s">
        <v>15960</v>
      </c>
      <c r="E2312" t="s">
        <v>15961</v>
      </c>
      <c r="F2312" t="s">
        <v>10586</v>
      </c>
      <c r="G2312" t="s">
        <v>15962</v>
      </c>
      <c r="H2312" t="s">
        <v>15963</v>
      </c>
      <c r="I2312">
        <f t="shared" ca="1" si="144"/>
        <v>46</v>
      </c>
      <c r="J2312" t="str">
        <f t="shared" ca="1" si="145"/>
        <v>40-49</v>
      </c>
      <c r="K2312">
        <v>33122.6</v>
      </c>
      <c r="L2312" t="str">
        <f>IF(Workforce[[#This Row],[Salary]]&lt;50000,"30k-49k",IF(Workforce[[#This Row],[Salary]]&lt;70000,"50k-69k",IF(Workforce[[#This Row],[Salary]]&lt;90000,"70k-89k","90k+")))</f>
        <v>30k-49k</v>
      </c>
      <c r="M2312" t="s">
        <v>15964</v>
      </c>
      <c r="N2312">
        <f t="shared" ca="1" si="146"/>
        <v>9</v>
      </c>
      <c r="O2312" t="str">
        <f t="shared" ca="1" si="147"/>
        <v>Senior level</v>
      </c>
    </row>
    <row r="2313" spans="1:15" x14ac:dyDescent="0.3">
      <c r="A2313" t="s">
        <v>15965</v>
      </c>
      <c r="B2313" t="s">
        <v>15966</v>
      </c>
      <c r="C2313" t="s">
        <v>351</v>
      </c>
      <c r="D2313" t="s">
        <v>15967</v>
      </c>
      <c r="E2313" t="s">
        <v>15968</v>
      </c>
      <c r="F2313" t="s">
        <v>5293</v>
      </c>
      <c r="G2313" t="s">
        <v>1427</v>
      </c>
      <c r="H2313" t="s">
        <v>15969</v>
      </c>
      <c r="I2313">
        <f t="shared" ca="1" si="144"/>
        <v>23</v>
      </c>
      <c r="J2313" t="str">
        <f t="shared" ca="1" si="145"/>
        <v>18-29</v>
      </c>
      <c r="K2313">
        <v>44224.95</v>
      </c>
      <c r="L2313" t="str">
        <f>IF(Workforce[[#This Row],[Salary]]&lt;50000,"30k-49k",IF(Workforce[[#This Row],[Salary]]&lt;70000,"50k-69k",IF(Workforce[[#This Row],[Salary]]&lt;90000,"70k-89k","90k+")))</f>
        <v>30k-49k</v>
      </c>
      <c r="M2313" t="s">
        <v>15970</v>
      </c>
      <c r="N2313">
        <f t="shared" ca="1" si="146"/>
        <v>5</v>
      </c>
      <c r="O2313" t="str">
        <f t="shared" ca="1" si="147"/>
        <v>Intermediate level</v>
      </c>
    </row>
    <row r="2314" spans="1:15" x14ac:dyDescent="0.3">
      <c r="A2314" t="s">
        <v>15971</v>
      </c>
      <c r="B2314" t="s">
        <v>15972</v>
      </c>
      <c r="C2314" t="s">
        <v>124</v>
      </c>
      <c r="D2314" t="s">
        <v>15973</v>
      </c>
      <c r="E2314" t="s">
        <v>15974</v>
      </c>
      <c r="F2314" t="s">
        <v>3111</v>
      </c>
      <c r="G2314" t="s">
        <v>15975</v>
      </c>
      <c r="H2314" t="s">
        <v>15976</v>
      </c>
      <c r="I2314">
        <f t="shared" ca="1" si="144"/>
        <v>48</v>
      </c>
      <c r="J2314" t="str">
        <f t="shared" ca="1" si="145"/>
        <v>40-49</v>
      </c>
      <c r="K2314">
        <v>91337.51</v>
      </c>
      <c r="L2314" t="str">
        <f>IF(Workforce[[#This Row],[Salary]]&lt;50000,"30k-49k",IF(Workforce[[#This Row],[Salary]]&lt;70000,"50k-69k",IF(Workforce[[#This Row],[Salary]]&lt;90000,"70k-89k","90k+")))</f>
        <v>90k+</v>
      </c>
      <c r="M2314" t="s">
        <v>5836</v>
      </c>
      <c r="N2314">
        <f t="shared" ca="1" si="146"/>
        <v>5</v>
      </c>
      <c r="O2314" t="str">
        <f t="shared" ca="1" si="147"/>
        <v>Intermediate level</v>
      </c>
    </row>
    <row r="2315" spans="1:15" x14ac:dyDescent="0.3">
      <c r="A2315" t="s">
        <v>15977</v>
      </c>
      <c r="B2315" t="s">
        <v>15978</v>
      </c>
      <c r="C2315" t="s">
        <v>482</v>
      </c>
      <c r="D2315" t="s">
        <v>15979</v>
      </c>
      <c r="E2315" t="s">
        <v>15980</v>
      </c>
      <c r="F2315" t="s">
        <v>5902</v>
      </c>
      <c r="G2315" t="s">
        <v>15981</v>
      </c>
      <c r="H2315" t="s">
        <v>15982</v>
      </c>
      <c r="I2315">
        <f t="shared" ca="1" si="144"/>
        <v>28</v>
      </c>
      <c r="J2315" t="str">
        <f t="shared" ca="1" si="145"/>
        <v>18-29</v>
      </c>
      <c r="K2315">
        <v>96828.800000000003</v>
      </c>
      <c r="L2315" t="str">
        <f>IF(Workforce[[#This Row],[Salary]]&lt;50000,"30k-49k",IF(Workforce[[#This Row],[Salary]]&lt;70000,"50k-69k",IF(Workforce[[#This Row],[Salary]]&lt;90000,"70k-89k","90k+")))</f>
        <v>90k+</v>
      </c>
      <c r="M2315" t="s">
        <v>1118</v>
      </c>
      <c r="N2315">
        <f t="shared" ca="1" si="146"/>
        <v>2</v>
      </c>
      <c r="O2315" t="str">
        <f t="shared" ca="1" si="147"/>
        <v>Beginner</v>
      </c>
    </row>
    <row r="2316" spans="1:15" x14ac:dyDescent="0.3">
      <c r="A2316" t="s">
        <v>15983</v>
      </c>
      <c r="B2316" t="s">
        <v>15984</v>
      </c>
      <c r="C2316" t="s">
        <v>275</v>
      </c>
      <c r="D2316" t="s">
        <v>15985</v>
      </c>
      <c r="E2316" t="s">
        <v>15986</v>
      </c>
      <c r="F2316" t="s">
        <v>1473</v>
      </c>
      <c r="G2316" t="s">
        <v>15987</v>
      </c>
      <c r="H2316" t="s">
        <v>15988</v>
      </c>
      <c r="I2316">
        <f t="shared" ca="1" si="144"/>
        <v>54</v>
      </c>
      <c r="J2316" t="str">
        <f t="shared" ca="1" si="145"/>
        <v>50-59</v>
      </c>
      <c r="K2316">
        <v>30742.37</v>
      </c>
      <c r="L2316" t="str">
        <f>IF(Workforce[[#This Row],[Salary]]&lt;50000,"30k-49k",IF(Workforce[[#This Row],[Salary]]&lt;70000,"50k-69k",IF(Workforce[[#This Row],[Salary]]&lt;90000,"70k-89k","90k+")))</f>
        <v>30k-49k</v>
      </c>
      <c r="M2316" t="s">
        <v>15989</v>
      </c>
      <c r="N2316">
        <f t="shared" ca="1" si="146"/>
        <v>6</v>
      </c>
      <c r="O2316" t="str">
        <f t="shared" ca="1" si="147"/>
        <v>Intermediate level</v>
      </c>
    </row>
    <row r="2317" spans="1:15" x14ac:dyDescent="0.3">
      <c r="A2317" t="s">
        <v>15990</v>
      </c>
      <c r="B2317" t="s">
        <v>15991</v>
      </c>
      <c r="C2317" t="s">
        <v>151</v>
      </c>
      <c r="D2317" t="s">
        <v>15992</v>
      </c>
      <c r="E2317" t="s">
        <v>15993</v>
      </c>
      <c r="F2317" t="s">
        <v>1849</v>
      </c>
      <c r="G2317" t="s">
        <v>15994</v>
      </c>
      <c r="H2317" t="s">
        <v>15995</v>
      </c>
      <c r="I2317">
        <f t="shared" ca="1" si="144"/>
        <v>62</v>
      </c>
      <c r="J2317" t="str">
        <f t="shared" ca="1" si="145"/>
        <v>60+</v>
      </c>
      <c r="K2317">
        <v>33474.769999999997</v>
      </c>
      <c r="L2317" t="str">
        <f>IF(Workforce[[#This Row],[Salary]]&lt;50000,"30k-49k",IF(Workforce[[#This Row],[Salary]]&lt;70000,"50k-69k",IF(Workforce[[#This Row],[Salary]]&lt;90000,"70k-89k","90k+")))</f>
        <v>30k-49k</v>
      </c>
      <c r="M2317" t="s">
        <v>6707</v>
      </c>
      <c r="N2317">
        <f t="shared" ca="1" si="146"/>
        <v>6</v>
      </c>
      <c r="O2317" t="str">
        <f t="shared" ca="1" si="147"/>
        <v>Intermediate level</v>
      </c>
    </row>
    <row r="2318" spans="1:15" x14ac:dyDescent="0.3">
      <c r="A2318" t="s">
        <v>15996</v>
      </c>
      <c r="B2318" t="s">
        <v>15997</v>
      </c>
      <c r="C2318" t="s">
        <v>1223</v>
      </c>
      <c r="D2318" t="s">
        <v>15998</v>
      </c>
      <c r="E2318" t="s">
        <v>15999</v>
      </c>
      <c r="F2318" t="s">
        <v>533</v>
      </c>
      <c r="G2318" t="s">
        <v>6947</v>
      </c>
      <c r="H2318" t="s">
        <v>16000</v>
      </c>
      <c r="I2318">
        <f t="shared" ca="1" si="144"/>
        <v>57</v>
      </c>
      <c r="J2318" t="str">
        <f t="shared" ca="1" si="145"/>
        <v>50-59</v>
      </c>
      <c r="K2318">
        <v>75218.070000000007</v>
      </c>
      <c r="L2318" t="str">
        <f>IF(Workforce[[#This Row],[Salary]]&lt;50000,"30k-49k",IF(Workforce[[#This Row],[Salary]]&lt;70000,"50k-69k",IF(Workforce[[#This Row],[Salary]]&lt;90000,"70k-89k","90k+")))</f>
        <v>70k-89k</v>
      </c>
      <c r="M2318" t="s">
        <v>16001</v>
      </c>
      <c r="N2318">
        <f t="shared" ca="1" si="146"/>
        <v>3</v>
      </c>
      <c r="O2318" t="str">
        <f t="shared" ca="1" si="147"/>
        <v>Intermediate level</v>
      </c>
    </row>
    <row r="2319" spans="1:15" x14ac:dyDescent="0.3">
      <c r="A2319" t="s">
        <v>16002</v>
      </c>
      <c r="B2319" t="s">
        <v>16003</v>
      </c>
      <c r="C2319" t="s">
        <v>26</v>
      </c>
      <c r="D2319" t="s">
        <v>16004</v>
      </c>
      <c r="E2319" t="s">
        <v>16005</v>
      </c>
      <c r="F2319" t="s">
        <v>16006</v>
      </c>
      <c r="G2319" t="s">
        <v>16007</v>
      </c>
      <c r="H2319" t="s">
        <v>16008</v>
      </c>
      <c r="I2319">
        <f t="shared" ca="1" si="144"/>
        <v>49</v>
      </c>
      <c r="J2319" t="str">
        <f t="shared" ca="1" si="145"/>
        <v>40-49</v>
      </c>
      <c r="K2319">
        <v>111523.75</v>
      </c>
      <c r="L2319" t="str">
        <f>IF(Workforce[[#This Row],[Salary]]&lt;50000,"30k-49k",IF(Workforce[[#This Row],[Salary]]&lt;70000,"50k-69k",IF(Workforce[[#This Row],[Salary]]&lt;90000,"70k-89k","90k+")))</f>
        <v>90k+</v>
      </c>
      <c r="M2319" t="s">
        <v>16009</v>
      </c>
      <c r="N2319">
        <f t="shared" ca="1" si="146"/>
        <v>10</v>
      </c>
      <c r="O2319" t="str">
        <f t="shared" ca="1" si="147"/>
        <v>Senior level</v>
      </c>
    </row>
    <row r="2320" spans="1:15" x14ac:dyDescent="0.3">
      <c r="A2320" t="s">
        <v>16010</v>
      </c>
      <c r="B2320" t="s">
        <v>16011</v>
      </c>
      <c r="C2320" t="s">
        <v>757</v>
      </c>
      <c r="D2320" t="s">
        <v>16012</v>
      </c>
      <c r="E2320" t="s">
        <v>16013</v>
      </c>
      <c r="F2320" t="s">
        <v>5293</v>
      </c>
      <c r="G2320" t="s">
        <v>16014</v>
      </c>
      <c r="H2320" t="s">
        <v>16015</v>
      </c>
      <c r="I2320">
        <f t="shared" ca="1" si="144"/>
        <v>28</v>
      </c>
      <c r="J2320" t="str">
        <f t="shared" ca="1" si="145"/>
        <v>18-29</v>
      </c>
      <c r="K2320">
        <v>99276.79</v>
      </c>
      <c r="L2320" t="str">
        <f>IF(Workforce[[#This Row],[Salary]]&lt;50000,"30k-49k",IF(Workforce[[#This Row],[Salary]]&lt;70000,"50k-69k",IF(Workforce[[#This Row],[Salary]]&lt;90000,"70k-89k","90k+")))</f>
        <v>90k+</v>
      </c>
      <c r="M2320" t="s">
        <v>16016</v>
      </c>
      <c r="N2320">
        <f t="shared" ca="1" si="146"/>
        <v>1</v>
      </c>
      <c r="O2320" t="str">
        <f t="shared" ca="1" si="147"/>
        <v>Beginner</v>
      </c>
    </row>
    <row r="2321" spans="1:15" x14ac:dyDescent="0.3">
      <c r="A2321" t="s">
        <v>16017</v>
      </c>
      <c r="B2321" t="s">
        <v>16018</v>
      </c>
      <c r="C2321" t="s">
        <v>284</v>
      </c>
      <c r="D2321" t="s">
        <v>16019</v>
      </c>
      <c r="E2321" t="s">
        <v>16020</v>
      </c>
      <c r="F2321" t="s">
        <v>871</v>
      </c>
      <c r="G2321" t="s">
        <v>16021</v>
      </c>
      <c r="H2321" t="s">
        <v>16022</v>
      </c>
      <c r="I2321">
        <f t="shared" ca="1" si="144"/>
        <v>57</v>
      </c>
      <c r="J2321" t="str">
        <f t="shared" ca="1" si="145"/>
        <v>50-59</v>
      </c>
      <c r="K2321">
        <v>80286.19</v>
      </c>
      <c r="L2321" t="str">
        <f>IF(Workforce[[#This Row],[Salary]]&lt;50000,"30k-49k",IF(Workforce[[#This Row],[Salary]]&lt;70000,"50k-69k",IF(Workforce[[#This Row],[Salary]]&lt;90000,"70k-89k","90k+")))</f>
        <v>70k-89k</v>
      </c>
      <c r="M2321" t="s">
        <v>16023</v>
      </c>
      <c r="N2321">
        <f t="shared" ca="1" si="146"/>
        <v>9</v>
      </c>
      <c r="O2321" t="str">
        <f t="shared" ca="1" si="147"/>
        <v>Senior level</v>
      </c>
    </row>
    <row r="2322" spans="1:15" x14ac:dyDescent="0.3">
      <c r="A2322" t="s">
        <v>16024</v>
      </c>
      <c r="B2322" t="s">
        <v>16025</v>
      </c>
      <c r="C2322" t="s">
        <v>604</v>
      </c>
      <c r="D2322" t="s">
        <v>16026</v>
      </c>
      <c r="E2322" t="s">
        <v>16027</v>
      </c>
      <c r="F2322" t="s">
        <v>2066</v>
      </c>
      <c r="G2322" t="s">
        <v>16028</v>
      </c>
      <c r="H2322" t="s">
        <v>8396</v>
      </c>
      <c r="I2322">
        <f t="shared" ca="1" si="144"/>
        <v>50</v>
      </c>
      <c r="J2322" t="str">
        <f t="shared" ca="1" si="145"/>
        <v>50-59</v>
      </c>
      <c r="K2322">
        <v>43419.18</v>
      </c>
      <c r="L2322" t="str">
        <f>IF(Workforce[[#This Row],[Salary]]&lt;50000,"30k-49k",IF(Workforce[[#This Row],[Salary]]&lt;70000,"50k-69k",IF(Workforce[[#This Row],[Salary]]&lt;90000,"70k-89k","90k+")))</f>
        <v>30k-49k</v>
      </c>
      <c r="M2322" t="s">
        <v>16029</v>
      </c>
      <c r="N2322">
        <f t="shared" ca="1" si="146"/>
        <v>7</v>
      </c>
      <c r="O2322" t="str">
        <f t="shared" ca="1" si="147"/>
        <v>Senior level</v>
      </c>
    </row>
    <row r="2323" spans="1:15" x14ac:dyDescent="0.3">
      <c r="A2323" t="s">
        <v>16030</v>
      </c>
      <c r="B2323" t="s">
        <v>16031</v>
      </c>
      <c r="C2323" t="s">
        <v>604</v>
      </c>
      <c r="D2323" t="s">
        <v>16032</v>
      </c>
      <c r="E2323" t="s">
        <v>16033</v>
      </c>
      <c r="F2323" t="s">
        <v>4089</v>
      </c>
      <c r="G2323" t="s">
        <v>16034</v>
      </c>
      <c r="H2323" t="s">
        <v>16035</v>
      </c>
      <c r="I2323">
        <f t="shared" ca="1" si="144"/>
        <v>20</v>
      </c>
      <c r="J2323" t="str">
        <f t="shared" ca="1" si="145"/>
        <v>18-29</v>
      </c>
      <c r="K2323">
        <v>119412.07</v>
      </c>
      <c r="L2323" t="str">
        <f>IF(Workforce[[#This Row],[Salary]]&lt;50000,"30k-49k",IF(Workforce[[#This Row],[Salary]]&lt;70000,"50k-69k",IF(Workforce[[#This Row],[Salary]]&lt;90000,"70k-89k","90k+")))</f>
        <v>90k+</v>
      </c>
      <c r="M2323" t="s">
        <v>16036</v>
      </c>
      <c r="N2323">
        <f t="shared" ca="1" si="146"/>
        <v>9</v>
      </c>
      <c r="O2323" t="str">
        <f t="shared" ca="1" si="147"/>
        <v>Senior level</v>
      </c>
    </row>
    <row r="2324" spans="1:15" x14ac:dyDescent="0.3">
      <c r="A2324" t="s">
        <v>16037</v>
      </c>
      <c r="B2324" t="s">
        <v>16038</v>
      </c>
      <c r="C2324" t="s">
        <v>133</v>
      </c>
      <c r="D2324" t="s">
        <v>16039</v>
      </c>
      <c r="E2324" t="s">
        <v>16040</v>
      </c>
      <c r="F2324" t="s">
        <v>2585</v>
      </c>
      <c r="G2324" t="s">
        <v>16041</v>
      </c>
      <c r="H2324" t="s">
        <v>16042</v>
      </c>
      <c r="I2324">
        <f t="shared" ca="1" si="144"/>
        <v>43</v>
      </c>
      <c r="J2324" t="str">
        <f t="shared" ca="1" si="145"/>
        <v>40-49</v>
      </c>
      <c r="K2324">
        <v>95602.91</v>
      </c>
      <c r="L2324" t="str">
        <f>IF(Workforce[[#This Row],[Salary]]&lt;50000,"30k-49k",IF(Workforce[[#This Row],[Salary]]&lt;70000,"50k-69k",IF(Workforce[[#This Row],[Salary]]&lt;90000,"70k-89k","90k+")))</f>
        <v>90k+</v>
      </c>
      <c r="M2324" t="s">
        <v>2227</v>
      </c>
      <c r="N2324">
        <f t="shared" ca="1" si="146"/>
        <v>10</v>
      </c>
      <c r="O2324" t="str">
        <f t="shared" ca="1" si="147"/>
        <v>Senior level</v>
      </c>
    </row>
    <row r="2325" spans="1:15" x14ac:dyDescent="0.3">
      <c r="A2325" t="s">
        <v>16043</v>
      </c>
      <c r="B2325" t="s">
        <v>16044</v>
      </c>
      <c r="C2325" t="s">
        <v>284</v>
      </c>
      <c r="D2325" t="s">
        <v>16045</v>
      </c>
      <c r="E2325" t="s">
        <v>16046</v>
      </c>
      <c r="F2325" t="s">
        <v>4787</v>
      </c>
      <c r="G2325" t="s">
        <v>16047</v>
      </c>
      <c r="H2325" t="s">
        <v>1659</v>
      </c>
      <c r="I2325">
        <f t="shared" ca="1" si="144"/>
        <v>38</v>
      </c>
      <c r="J2325" t="str">
        <f t="shared" ca="1" si="145"/>
        <v>30-39</v>
      </c>
      <c r="K2325">
        <v>111250.76</v>
      </c>
      <c r="L2325" t="str">
        <f>IF(Workforce[[#This Row],[Salary]]&lt;50000,"30k-49k",IF(Workforce[[#This Row],[Salary]]&lt;70000,"50k-69k",IF(Workforce[[#This Row],[Salary]]&lt;90000,"70k-89k","90k+")))</f>
        <v>90k+</v>
      </c>
      <c r="M2325" t="s">
        <v>16048</v>
      </c>
      <c r="N2325">
        <f t="shared" ca="1" si="146"/>
        <v>7</v>
      </c>
      <c r="O2325" t="str">
        <f t="shared" ca="1" si="147"/>
        <v>Senior level</v>
      </c>
    </row>
    <row r="2326" spans="1:15" x14ac:dyDescent="0.3">
      <c r="A2326" t="s">
        <v>16049</v>
      </c>
      <c r="B2326" t="s">
        <v>16050</v>
      </c>
      <c r="C2326" t="s">
        <v>88</v>
      </c>
      <c r="D2326" t="s">
        <v>16051</v>
      </c>
      <c r="E2326" t="s">
        <v>16052</v>
      </c>
      <c r="F2326" t="s">
        <v>11077</v>
      </c>
      <c r="G2326" t="s">
        <v>16053</v>
      </c>
      <c r="H2326" t="s">
        <v>16054</v>
      </c>
      <c r="I2326">
        <f t="shared" ca="1" si="144"/>
        <v>35</v>
      </c>
      <c r="J2326" t="str">
        <f t="shared" ca="1" si="145"/>
        <v>30-39</v>
      </c>
      <c r="K2326">
        <v>108662.22</v>
      </c>
      <c r="L2326" t="str">
        <f>IF(Workforce[[#This Row],[Salary]]&lt;50000,"30k-49k",IF(Workforce[[#This Row],[Salary]]&lt;70000,"50k-69k",IF(Workforce[[#This Row],[Salary]]&lt;90000,"70k-89k","90k+")))</f>
        <v>90k+</v>
      </c>
      <c r="M2326" t="s">
        <v>3996</v>
      </c>
      <c r="N2326">
        <f t="shared" ca="1" si="146"/>
        <v>1</v>
      </c>
      <c r="O2326" t="str">
        <f t="shared" ca="1" si="147"/>
        <v>Beginner</v>
      </c>
    </row>
    <row r="2327" spans="1:15" x14ac:dyDescent="0.3">
      <c r="A2327" t="s">
        <v>16055</v>
      </c>
      <c r="B2327" t="s">
        <v>16056</v>
      </c>
      <c r="C2327" t="s">
        <v>160</v>
      </c>
      <c r="D2327" t="s">
        <v>16057</v>
      </c>
      <c r="E2327" t="s">
        <v>16058</v>
      </c>
      <c r="F2327" t="s">
        <v>2731</v>
      </c>
      <c r="G2327" t="s">
        <v>16059</v>
      </c>
      <c r="H2327" t="s">
        <v>16060</v>
      </c>
      <c r="I2327">
        <f t="shared" ca="1" si="144"/>
        <v>57</v>
      </c>
      <c r="J2327" t="str">
        <f t="shared" ca="1" si="145"/>
        <v>50-59</v>
      </c>
      <c r="K2327">
        <v>67793.23</v>
      </c>
      <c r="L2327" t="str">
        <f>IF(Workforce[[#This Row],[Salary]]&lt;50000,"30k-49k",IF(Workforce[[#This Row],[Salary]]&lt;70000,"50k-69k",IF(Workforce[[#This Row],[Salary]]&lt;90000,"70k-89k","90k+")))</f>
        <v>50k-69k</v>
      </c>
      <c r="M2327" t="s">
        <v>16061</v>
      </c>
      <c r="N2327">
        <f t="shared" ca="1" si="146"/>
        <v>2</v>
      </c>
      <c r="O2327" t="str">
        <f t="shared" ca="1" si="147"/>
        <v>Beginner</v>
      </c>
    </row>
    <row r="2328" spans="1:15" x14ac:dyDescent="0.3">
      <c r="A2328" t="s">
        <v>16062</v>
      </c>
      <c r="B2328" t="s">
        <v>16063</v>
      </c>
      <c r="C2328" t="s">
        <v>115</v>
      </c>
      <c r="D2328" t="s">
        <v>16064</v>
      </c>
      <c r="E2328" t="s">
        <v>16065</v>
      </c>
      <c r="F2328" t="s">
        <v>5394</v>
      </c>
      <c r="G2328" t="s">
        <v>16066</v>
      </c>
      <c r="H2328" t="s">
        <v>16067</v>
      </c>
      <c r="I2328">
        <f t="shared" ca="1" si="144"/>
        <v>43</v>
      </c>
      <c r="J2328" t="str">
        <f t="shared" ca="1" si="145"/>
        <v>40-49</v>
      </c>
      <c r="K2328">
        <v>110989.39</v>
      </c>
      <c r="L2328" t="str">
        <f>IF(Workforce[[#This Row],[Salary]]&lt;50000,"30k-49k",IF(Workforce[[#This Row],[Salary]]&lt;70000,"50k-69k",IF(Workforce[[#This Row],[Salary]]&lt;90000,"70k-89k","90k+")))</f>
        <v>90k+</v>
      </c>
      <c r="M2328" t="s">
        <v>3144</v>
      </c>
      <c r="N2328">
        <f t="shared" ca="1" si="146"/>
        <v>1</v>
      </c>
      <c r="O2328" t="str">
        <f t="shared" ca="1" si="147"/>
        <v>Beginner</v>
      </c>
    </row>
    <row r="2329" spans="1:15" x14ac:dyDescent="0.3">
      <c r="A2329" t="s">
        <v>16068</v>
      </c>
      <c r="B2329" t="s">
        <v>16069</v>
      </c>
      <c r="C2329" t="s">
        <v>178</v>
      </c>
      <c r="D2329" t="s">
        <v>16070</v>
      </c>
      <c r="E2329" t="s">
        <v>16071</v>
      </c>
      <c r="F2329" t="s">
        <v>3943</v>
      </c>
      <c r="G2329" t="s">
        <v>16072</v>
      </c>
      <c r="H2329" t="s">
        <v>16073</v>
      </c>
      <c r="I2329">
        <f t="shared" ca="1" si="144"/>
        <v>47</v>
      </c>
      <c r="J2329" t="str">
        <f t="shared" ca="1" si="145"/>
        <v>40-49</v>
      </c>
      <c r="K2329">
        <v>34824.42</v>
      </c>
      <c r="L2329" t="str">
        <f>IF(Workforce[[#This Row],[Salary]]&lt;50000,"30k-49k",IF(Workforce[[#This Row],[Salary]]&lt;70000,"50k-69k",IF(Workforce[[#This Row],[Salary]]&lt;90000,"70k-89k","90k+")))</f>
        <v>30k-49k</v>
      </c>
      <c r="M2329" t="s">
        <v>16074</v>
      </c>
      <c r="N2329">
        <f t="shared" ca="1" si="146"/>
        <v>2</v>
      </c>
      <c r="O2329" t="str">
        <f t="shared" ca="1" si="147"/>
        <v>Beginner</v>
      </c>
    </row>
    <row r="2330" spans="1:15" x14ac:dyDescent="0.3">
      <c r="A2330" t="s">
        <v>16075</v>
      </c>
      <c r="B2330" t="s">
        <v>16076</v>
      </c>
      <c r="C2330" t="s">
        <v>284</v>
      </c>
      <c r="D2330" t="s">
        <v>16077</v>
      </c>
      <c r="E2330" t="s">
        <v>16078</v>
      </c>
      <c r="F2330" t="s">
        <v>5322</v>
      </c>
      <c r="G2330" t="s">
        <v>16079</v>
      </c>
      <c r="H2330" t="s">
        <v>1659</v>
      </c>
      <c r="I2330">
        <f t="shared" ca="1" si="144"/>
        <v>38</v>
      </c>
      <c r="J2330" t="str">
        <f t="shared" ca="1" si="145"/>
        <v>30-39</v>
      </c>
      <c r="K2330">
        <v>71763.649999999994</v>
      </c>
      <c r="L2330" t="str">
        <f>IF(Workforce[[#This Row],[Salary]]&lt;50000,"30k-49k",IF(Workforce[[#This Row],[Salary]]&lt;70000,"50k-69k",IF(Workforce[[#This Row],[Salary]]&lt;90000,"70k-89k","90k+")))</f>
        <v>70k-89k</v>
      </c>
      <c r="M2330" t="s">
        <v>10673</v>
      </c>
      <c r="N2330">
        <f t="shared" ca="1" si="146"/>
        <v>5</v>
      </c>
      <c r="O2330" t="str">
        <f t="shared" ca="1" si="147"/>
        <v>Intermediate level</v>
      </c>
    </row>
    <row r="2331" spans="1:15" x14ac:dyDescent="0.3">
      <c r="A2331" t="s">
        <v>16080</v>
      </c>
      <c r="B2331" t="s">
        <v>16081</v>
      </c>
      <c r="C2331" t="s">
        <v>284</v>
      </c>
      <c r="D2331" t="s">
        <v>16082</v>
      </c>
      <c r="E2331" t="s">
        <v>16083</v>
      </c>
      <c r="F2331" t="s">
        <v>3028</v>
      </c>
      <c r="G2331" t="s">
        <v>16084</v>
      </c>
      <c r="H2331" t="s">
        <v>16085</v>
      </c>
      <c r="I2331">
        <f t="shared" ca="1" si="144"/>
        <v>23</v>
      </c>
      <c r="J2331" t="str">
        <f t="shared" ca="1" si="145"/>
        <v>18-29</v>
      </c>
      <c r="K2331">
        <v>91698.3</v>
      </c>
      <c r="L2331" t="str">
        <f>IF(Workforce[[#This Row],[Salary]]&lt;50000,"30k-49k",IF(Workforce[[#This Row],[Salary]]&lt;70000,"50k-69k",IF(Workforce[[#This Row],[Salary]]&lt;90000,"70k-89k","90k+")))</f>
        <v>90k+</v>
      </c>
      <c r="M2331" t="s">
        <v>12209</v>
      </c>
      <c r="N2331">
        <f t="shared" ca="1" si="146"/>
        <v>4</v>
      </c>
      <c r="O2331" t="str">
        <f t="shared" ca="1" si="147"/>
        <v>Intermediate level</v>
      </c>
    </row>
    <row r="2332" spans="1:15" x14ac:dyDescent="0.3">
      <c r="A2332" t="s">
        <v>16086</v>
      </c>
      <c r="B2332" t="s">
        <v>16087</v>
      </c>
      <c r="C2332" t="s">
        <v>326</v>
      </c>
      <c r="D2332" t="s">
        <v>16088</v>
      </c>
      <c r="E2332" t="s">
        <v>16089</v>
      </c>
      <c r="F2332" t="s">
        <v>4772</v>
      </c>
      <c r="G2332" t="s">
        <v>16090</v>
      </c>
      <c r="H2332" t="s">
        <v>16091</v>
      </c>
      <c r="I2332">
        <f t="shared" ca="1" si="144"/>
        <v>45</v>
      </c>
      <c r="J2332" t="str">
        <f t="shared" ca="1" si="145"/>
        <v>40-49</v>
      </c>
      <c r="K2332">
        <v>107596.82</v>
      </c>
      <c r="L2332" t="str">
        <f>IF(Workforce[[#This Row],[Salary]]&lt;50000,"30k-49k",IF(Workforce[[#This Row],[Salary]]&lt;70000,"50k-69k",IF(Workforce[[#This Row],[Salary]]&lt;90000,"70k-89k","90k+")))</f>
        <v>90k+</v>
      </c>
      <c r="M2332" t="s">
        <v>5582</v>
      </c>
      <c r="N2332">
        <f t="shared" ca="1" si="146"/>
        <v>9</v>
      </c>
      <c r="O2332" t="str">
        <f t="shared" ca="1" si="147"/>
        <v>Senior level</v>
      </c>
    </row>
    <row r="2333" spans="1:15" x14ac:dyDescent="0.3">
      <c r="A2333" t="s">
        <v>16092</v>
      </c>
      <c r="B2333" t="s">
        <v>16093</v>
      </c>
      <c r="C2333" t="s">
        <v>844</v>
      </c>
      <c r="D2333" t="s">
        <v>16094</v>
      </c>
      <c r="E2333" t="s">
        <v>16095</v>
      </c>
      <c r="F2333" t="s">
        <v>2036</v>
      </c>
      <c r="G2333" t="s">
        <v>16096</v>
      </c>
      <c r="H2333" t="s">
        <v>16097</v>
      </c>
      <c r="I2333">
        <f t="shared" ca="1" si="144"/>
        <v>29</v>
      </c>
      <c r="J2333" t="str">
        <f t="shared" ca="1" si="145"/>
        <v>18-29</v>
      </c>
      <c r="K2333">
        <v>99820.1</v>
      </c>
      <c r="L2333" t="str">
        <f>IF(Workforce[[#This Row],[Salary]]&lt;50000,"30k-49k",IF(Workforce[[#This Row],[Salary]]&lt;70000,"50k-69k",IF(Workforce[[#This Row],[Salary]]&lt;90000,"70k-89k","90k+")))</f>
        <v>90k+</v>
      </c>
      <c r="M2333" t="s">
        <v>16098</v>
      </c>
      <c r="N2333">
        <f t="shared" ca="1" si="146"/>
        <v>10</v>
      </c>
      <c r="O2333" t="str">
        <f t="shared" ca="1" si="147"/>
        <v>Senior level</v>
      </c>
    </row>
    <row r="2334" spans="1:15" x14ac:dyDescent="0.3">
      <c r="A2334" t="s">
        <v>16099</v>
      </c>
      <c r="B2334" t="s">
        <v>16100</v>
      </c>
      <c r="C2334" t="s">
        <v>124</v>
      </c>
      <c r="D2334" t="s">
        <v>16101</v>
      </c>
      <c r="E2334" t="s">
        <v>16102</v>
      </c>
      <c r="F2334" t="s">
        <v>3111</v>
      </c>
      <c r="G2334" t="s">
        <v>16103</v>
      </c>
      <c r="H2334" t="s">
        <v>16104</v>
      </c>
      <c r="I2334">
        <f t="shared" ca="1" si="144"/>
        <v>22</v>
      </c>
      <c r="J2334" t="str">
        <f t="shared" ca="1" si="145"/>
        <v>18-29</v>
      </c>
      <c r="K2334">
        <v>105202.34</v>
      </c>
      <c r="L2334" t="str">
        <f>IF(Workforce[[#This Row],[Salary]]&lt;50000,"30k-49k",IF(Workforce[[#This Row],[Salary]]&lt;70000,"50k-69k",IF(Workforce[[#This Row],[Salary]]&lt;90000,"70k-89k","90k+")))</f>
        <v>90k+</v>
      </c>
      <c r="M2334" t="s">
        <v>9655</v>
      </c>
      <c r="N2334">
        <f t="shared" ca="1" si="146"/>
        <v>9</v>
      </c>
      <c r="O2334" t="str">
        <f t="shared" ca="1" si="147"/>
        <v>Senior level</v>
      </c>
    </row>
    <row r="2335" spans="1:15" x14ac:dyDescent="0.3">
      <c r="A2335" t="s">
        <v>16105</v>
      </c>
      <c r="B2335" t="s">
        <v>16106</v>
      </c>
      <c r="C2335" t="s">
        <v>187</v>
      </c>
      <c r="D2335" t="s">
        <v>16107</v>
      </c>
      <c r="E2335" t="s">
        <v>16108</v>
      </c>
      <c r="F2335" t="s">
        <v>647</v>
      </c>
      <c r="G2335" t="s">
        <v>16109</v>
      </c>
      <c r="H2335" t="s">
        <v>16110</v>
      </c>
      <c r="I2335">
        <f t="shared" ca="1" si="144"/>
        <v>47</v>
      </c>
      <c r="J2335" t="str">
        <f t="shared" ca="1" si="145"/>
        <v>40-49</v>
      </c>
      <c r="K2335">
        <v>96938.15</v>
      </c>
      <c r="L2335" t="str">
        <f>IF(Workforce[[#This Row],[Salary]]&lt;50000,"30k-49k",IF(Workforce[[#This Row],[Salary]]&lt;70000,"50k-69k",IF(Workforce[[#This Row],[Salary]]&lt;90000,"70k-89k","90k+")))</f>
        <v>90k+</v>
      </c>
      <c r="M2335" t="s">
        <v>1244</v>
      </c>
      <c r="N2335">
        <f t="shared" ca="1" si="146"/>
        <v>3</v>
      </c>
      <c r="O2335" t="str">
        <f t="shared" ca="1" si="147"/>
        <v>Intermediate level</v>
      </c>
    </row>
    <row r="2336" spans="1:15" x14ac:dyDescent="0.3">
      <c r="A2336" t="s">
        <v>16111</v>
      </c>
      <c r="B2336" t="s">
        <v>16112</v>
      </c>
      <c r="C2336" t="s">
        <v>142</v>
      </c>
      <c r="D2336" t="s">
        <v>16113</v>
      </c>
      <c r="E2336" t="s">
        <v>16114</v>
      </c>
      <c r="F2336" t="s">
        <v>8934</v>
      </c>
      <c r="G2336" t="s">
        <v>16115</v>
      </c>
      <c r="H2336" t="s">
        <v>16116</v>
      </c>
      <c r="I2336">
        <f t="shared" ca="1" si="144"/>
        <v>47</v>
      </c>
      <c r="J2336" t="str">
        <f t="shared" ca="1" si="145"/>
        <v>40-49</v>
      </c>
      <c r="K2336">
        <v>87663.28</v>
      </c>
      <c r="L2336" t="str">
        <f>IF(Workforce[[#This Row],[Salary]]&lt;50000,"30k-49k",IF(Workforce[[#This Row],[Salary]]&lt;70000,"50k-69k",IF(Workforce[[#This Row],[Salary]]&lt;90000,"70k-89k","90k+")))</f>
        <v>70k-89k</v>
      </c>
      <c r="M2336" t="s">
        <v>6451</v>
      </c>
      <c r="N2336">
        <f t="shared" ca="1" si="146"/>
        <v>3</v>
      </c>
      <c r="O2336" t="str">
        <f t="shared" ca="1" si="147"/>
        <v>Intermediate level</v>
      </c>
    </row>
    <row r="2337" spans="1:15" x14ac:dyDescent="0.3">
      <c r="A2337" t="s">
        <v>16117</v>
      </c>
      <c r="B2337" t="s">
        <v>16118</v>
      </c>
      <c r="C2337" t="s">
        <v>604</v>
      </c>
      <c r="D2337" t="s">
        <v>16119</v>
      </c>
      <c r="E2337" t="s">
        <v>16120</v>
      </c>
      <c r="F2337" t="s">
        <v>426</v>
      </c>
      <c r="G2337" t="s">
        <v>16121</v>
      </c>
      <c r="H2337" t="s">
        <v>16122</v>
      </c>
      <c r="I2337">
        <f t="shared" ca="1" si="144"/>
        <v>37</v>
      </c>
      <c r="J2337" t="str">
        <f t="shared" ca="1" si="145"/>
        <v>30-39</v>
      </c>
      <c r="K2337">
        <v>64069.68</v>
      </c>
      <c r="L2337" t="str">
        <f>IF(Workforce[[#This Row],[Salary]]&lt;50000,"30k-49k",IF(Workforce[[#This Row],[Salary]]&lt;70000,"50k-69k",IF(Workforce[[#This Row],[Salary]]&lt;90000,"70k-89k","90k+")))</f>
        <v>50k-69k</v>
      </c>
      <c r="M2337" t="s">
        <v>16123</v>
      </c>
      <c r="N2337">
        <f t="shared" ca="1" si="146"/>
        <v>1</v>
      </c>
      <c r="O2337" t="str">
        <f t="shared" ca="1" si="147"/>
        <v>Beginner</v>
      </c>
    </row>
    <row r="2338" spans="1:15" x14ac:dyDescent="0.3">
      <c r="A2338" t="s">
        <v>16124</v>
      </c>
      <c r="B2338" t="s">
        <v>16125</v>
      </c>
      <c r="C2338" t="s">
        <v>317</v>
      </c>
      <c r="D2338" t="s">
        <v>16126</v>
      </c>
      <c r="E2338" t="s">
        <v>16127</v>
      </c>
      <c r="F2338" t="s">
        <v>16128</v>
      </c>
      <c r="G2338" t="s">
        <v>16129</v>
      </c>
      <c r="H2338" t="s">
        <v>16130</v>
      </c>
      <c r="I2338">
        <f t="shared" ca="1" si="144"/>
        <v>37</v>
      </c>
      <c r="J2338" t="str">
        <f t="shared" ca="1" si="145"/>
        <v>30-39</v>
      </c>
      <c r="K2338">
        <v>33825.660000000003</v>
      </c>
      <c r="L2338" t="str">
        <f>IF(Workforce[[#This Row],[Salary]]&lt;50000,"30k-49k",IF(Workforce[[#This Row],[Salary]]&lt;70000,"50k-69k",IF(Workforce[[#This Row],[Salary]]&lt;90000,"70k-89k","90k+")))</f>
        <v>30k-49k</v>
      </c>
      <c r="M2338" t="s">
        <v>11243</v>
      </c>
      <c r="N2338">
        <f t="shared" ca="1" si="146"/>
        <v>7</v>
      </c>
      <c r="O2338" t="str">
        <f t="shared" ca="1" si="147"/>
        <v>Senior level</v>
      </c>
    </row>
    <row r="2339" spans="1:15" x14ac:dyDescent="0.3">
      <c r="A2339" t="s">
        <v>16131</v>
      </c>
      <c r="B2339" t="s">
        <v>16132</v>
      </c>
      <c r="C2339" t="s">
        <v>133</v>
      </c>
      <c r="D2339" t="s">
        <v>16133</v>
      </c>
      <c r="E2339" t="s">
        <v>16134</v>
      </c>
      <c r="F2339" t="s">
        <v>362</v>
      </c>
      <c r="G2339" t="s">
        <v>16135</v>
      </c>
      <c r="H2339" t="s">
        <v>16136</v>
      </c>
      <c r="I2339">
        <f t="shared" ca="1" si="144"/>
        <v>60</v>
      </c>
      <c r="J2339" t="str">
        <f t="shared" ca="1" si="145"/>
        <v>60+</v>
      </c>
      <c r="K2339">
        <v>116615.34</v>
      </c>
      <c r="L2339" t="str">
        <f>IF(Workforce[[#This Row],[Salary]]&lt;50000,"30k-49k",IF(Workforce[[#This Row],[Salary]]&lt;70000,"50k-69k",IF(Workforce[[#This Row],[Salary]]&lt;90000,"70k-89k","90k+")))</f>
        <v>90k+</v>
      </c>
      <c r="M2339" t="s">
        <v>12233</v>
      </c>
      <c r="N2339">
        <f t="shared" ca="1" si="146"/>
        <v>8</v>
      </c>
      <c r="O2339" t="str">
        <f t="shared" ca="1" si="147"/>
        <v>Senior level</v>
      </c>
    </row>
    <row r="2340" spans="1:15" x14ac:dyDescent="0.3">
      <c r="A2340" t="s">
        <v>16137</v>
      </c>
      <c r="B2340" t="s">
        <v>16138</v>
      </c>
      <c r="C2340" t="s">
        <v>440</v>
      </c>
      <c r="D2340" t="s">
        <v>16139</v>
      </c>
      <c r="E2340" t="s">
        <v>16140</v>
      </c>
      <c r="F2340" t="s">
        <v>5010</v>
      </c>
      <c r="G2340" t="s">
        <v>16141</v>
      </c>
      <c r="H2340" t="s">
        <v>16142</v>
      </c>
      <c r="I2340">
        <f t="shared" ca="1" si="144"/>
        <v>42</v>
      </c>
      <c r="J2340" t="str">
        <f t="shared" ca="1" si="145"/>
        <v>40-49</v>
      </c>
      <c r="K2340">
        <v>58696.45</v>
      </c>
      <c r="L2340" t="str">
        <f>IF(Workforce[[#This Row],[Salary]]&lt;50000,"30k-49k",IF(Workforce[[#This Row],[Salary]]&lt;70000,"50k-69k",IF(Workforce[[#This Row],[Salary]]&lt;90000,"70k-89k","90k+")))</f>
        <v>50k-69k</v>
      </c>
      <c r="M2340" t="s">
        <v>6339</v>
      </c>
      <c r="N2340">
        <f t="shared" ca="1" si="146"/>
        <v>1</v>
      </c>
      <c r="O2340" t="str">
        <f t="shared" ca="1" si="147"/>
        <v>Beginner</v>
      </c>
    </row>
    <row r="2341" spans="1:15" x14ac:dyDescent="0.3">
      <c r="A2341" t="s">
        <v>16143</v>
      </c>
      <c r="B2341" t="s">
        <v>16144</v>
      </c>
      <c r="C2341" t="s">
        <v>1223</v>
      </c>
      <c r="D2341" t="s">
        <v>16145</v>
      </c>
      <c r="E2341" t="s">
        <v>16146</v>
      </c>
      <c r="F2341" t="s">
        <v>509</v>
      </c>
      <c r="G2341" t="s">
        <v>16147</v>
      </c>
      <c r="H2341" t="s">
        <v>16148</v>
      </c>
      <c r="I2341">
        <f t="shared" ca="1" si="144"/>
        <v>46</v>
      </c>
      <c r="J2341" t="str">
        <f t="shared" ca="1" si="145"/>
        <v>40-49</v>
      </c>
      <c r="K2341">
        <v>108746.86</v>
      </c>
      <c r="L2341" t="str">
        <f>IF(Workforce[[#This Row],[Salary]]&lt;50000,"30k-49k",IF(Workforce[[#This Row],[Salary]]&lt;70000,"50k-69k",IF(Workforce[[#This Row],[Salary]]&lt;90000,"70k-89k","90k+")))</f>
        <v>90k+</v>
      </c>
      <c r="M2341" t="s">
        <v>237</v>
      </c>
      <c r="N2341">
        <f t="shared" ca="1" si="146"/>
        <v>6</v>
      </c>
      <c r="O2341" t="str">
        <f t="shared" ca="1" si="147"/>
        <v>Intermediate level</v>
      </c>
    </row>
    <row r="2342" spans="1:15" x14ac:dyDescent="0.3">
      <c r="A2342" t="s">
        <v>16149</v>
      </c>
      <c r="B2342" t="s">
        <v>16150</v>
      </c>
      <c r="C2342" t="s">
        <v>2086</v>
      </c>
      <c r="D2342" t="s">
        <v>16151</v>
      </c>
      <c r="E2342" t="s">
        <v>16152</v>
      </c>
      <c r="F2342" t="s">
        <v>7305</v>
      </c>
      <c r="G2342" t="s">
        <v>16153</v>
      </c>
      <c r="H2342" t="s">
        <v>16154</v>
      </c>
      <c r="I2342">
        <f t="shared" ca="1" si="144"/>
        <v>54</v>
      </c>
      <c r="J2342" t="str">
        <f t="shared" ca="1" si="145"/>
        <v>50-59</v>
      </c>
      <c r="K2342">
        <v>95287.76</v>
      </c>
      <c r="L2342" t="str">
        <f>IF(Workforce[[#This Row],[Salary]]&lt;50000,"30k-49k",IF(Workforce[[#This Row],[Salary]]&lt;70000,"50k-69k",IF(Workforce[[#This Row],[Salary]]&lt;90000,"70k-89k","90k+")))</f>
        <v>90k+</v>
      </c>
      <c r="M2342" t="s">
        <v>1323</v>
      </c>
      <c r="N2342">
        <f t="shared" ca="1" si="146"/>
        <v>10</v>
      </c>
      <c r="O2342" t="str">
        <f t="shared" ca="1" si="147"/>
        <v>Senior level</v>
      </c>
    </row>
    <row r="2343" spans="1:15" x14ac:dyDescent="0.3">
      <c r="A2343" t="s">
        <v>16155</v>
      </c>
      <c r="B2343" t="s">
        <v>16156</v>
      </c>
      <c r="C2343" t="s">
        <v>151</v>
      </c>
      <c r="D2343" t="s">
        <v>16157</v>
      </c>
      <c r="E2343" t="s">
        <v>16158</v>
      </c>
      <c r="F2343" t="s">
        <v>989</v>
      </c>
      <c r="G2343" t="s">
        <v>16159</v>
      </c>
      <c r="H2343" t="s">
        <v>16160</v>
      </c>
      <c r="I2343">
        <f t="shared" ca="1" si="144"/>
        <v>23</v>
      </c>
      <c r="J2343" t="str">
        <f t="shared" ca="1" si="145"/>
        <v>18-29</v>
      </c>
      <c r="K2343">
        <v>39941.69</v>
      </c>
      <c r="L2343" t="str">
        <f>IF(Workforce[[#This Row],[Salary]]&lt;50000,"30k-49k",IF(Workforce[[#This Row],[Salary]]&lt;70000,"50k-69k",IF(Workforce[[#This Row],[Salary]]&lt;90000,"70k-89k","90k+")))</f>
        <v>30k-49k</v>
      </c>
      <c r="M2343" t="s">
        <v>16161</v>
      </c>
      <c r="N2343">
        <f t="shared" ca="1" si="146"/>
        <v>5</v>
      </c>
      <c r="O2343" t="str">
        <f t="shared" ca="1" si="147"/>
        <v>Intermediate level</v>
      </c>
    </row>
    <row r="2344" spans="1:15" x14ac:dyDescent="0.3">
      <c r="A2344" t="s">
        <v>16162</v>
      </c>
      <c r="B2344" t="s">
        <v>16163</v>
      </c>
      <c r="C2344" t="s">
        <v>240</v>
      </c>
      <c r="D2344" t="s">
        <v>16164</v>
      </c>
      <c r="E2344" t="s">
        <v>16165</v>
      </c>
      <c r="F2344" t="s">
        <v>16166</v>
      </c>
      <c r="G2344" t="s">
        <v>16167</v>
      </c>
      <c r="H2344" t="s">
        <v>4418</v>
      </c>
      <c r="I2344">
        <f t="shared" ca="1" si="144"/>
        <v>29</v>
      </c>
      <c r="J2344" t="str">
        <f t="shared" ca="1" si="145"/>
        <v>18-29</v>
      </c>
      <c r="K2344">
        <v>87903.51</v>
      </c>
      <c r="L2344" t="str">
        <f>IF(Workforce[[#This Row],[Salary]]&lt;50000,"30k-49k",IF(Workforce[[#This Row],[Salary]]&lt;70000,"50k-69k",IF(Workforce[[#This Row],[Salary]]&lt;90000,"70k-89k","90k+")))</f>
        <v>70k-89k</v>
      </c>
      <c r="M2344" t="s">
        <v>16168</v>
      </c>
      <c r="N2344">
        <f t="shared" ca="1" si="146"/>
        <v>1</v>
      </c>
      <c r="O2344" t="str">
        <f t="shared" ca="1" si="147"/>
        <v>Beginner</v>
      </c>
    </row>
    <row r="2345" spans="1:15" x14ac:dyDescent="0.3">
      <c r="A2345" t="s">
        <v>16169</v>
      </c>
      <c r="B2345" t="s">
        <v>16170</v>
      </c>
      <c r="C2345" t="s">
        <v>275</v>
      </c>
      <c r="D2345" t="s">
        <v>16171</v>
      </c>
      <c r="E2345" t="s">
        <v>16172</v>
      </c>
      <c r="F2345" t="s">
        <v>1249</v>
      </c>
      <c r="G2345" t="s">
        <v>16173</v>
      </c>
      <c r="H2345" t="s">
        <v>16174</v>
      </c>
      <c r="I2345">
        <f t="shared" ca="1" si="144"/>
        <v>28</v>
      </c>
      <c r="J2345" t="str">
        <f t="shared" ca="1" si="145"/>
        <v>18-29</v>
      </c>
      <c r="K2345">
        <v>114334.6</v>
      </c>
      <c r="L2345" t="str">
        <f>IF(Workforce[[#This Row],[Salary]]&lt;50000,"30k-49k",IF(Workforce[[#This Row],[Salary]]&lt;70000,"50k-69k",IF(Workforce[[#This Row],[Salary]]&lt;90000,"70k-89k","90k+")))</f>
        <v>90k+</v>
      </c>
      <c r="M2345" t="s">
        <v>10342</v>
      </c>
      <c r="N2345">
        <f t="shared" ca="1" si="146"/>
        <v>3</v>
      </c>
      <c r="O2345" t="str">
        <f t="shared" ca="1" si="147"/>
        <v>Intermediate level</v>
      </c>
    </row>
    <row r="2346" spans="1:15" x14ac:dyDescent="0.3">
      <c r="A2346" t="s">
        <v>16175</v>
      </c>
      <c r="B2346" t="s">
        <v>16176</v>
      </c>
      <c r="C2346" t="s">
        <v>124</v>
      </c>
      <c r="D2346" t="s">
        <v>16177</v>
      </c>
      <c r="E2346" t="s">
        <v>16178</v>
      </c>
      <c r="F2346" t="s">
        <v>118</v>
      </c>
      <c r="G2346" t="s">
        <v>16179</v>
      </c>
      <c r="H2346" t="s">
        <v>16180</v>
      </c>
      <c r="I2346">
        <f t="shared" ca="1" si="144"/>
        <v>56</v>
      </c>
      <c r="J2346" t="str">
        <f t="shared" ca="1" si="145"/>
        <v>50-59</v>
      </c>
      <c r="K2346">
        <v>61695.75</v>
      </c>
      <c r="L2346" t="str">
        <f>IF(Workforce[[#This Row],[Salary]]&lt;50000,"30k-49k",IF(Workforce[[#This Row],[Salary]]&lt;70000,"50k-69k",IF(Workforce[[#This Row],[Salary]]&lt;90000,"70k-89k","90k+")))</f>
        <v>50k-69k</v>
      </c>
      <c r="M2346" t="s">
        <v>16181</v>
      </c>
      <c r="N2346">
        <f t="shared" ca="1" si="146"/>
        <v>2</v>
      </c>
      <c r="O2346" t="str">
        <f t="shared" ca="1" si="147"/>
        <v>Beginner</v>
      </c>
    </row>
    <row r="2347" spans="1:15" x14ac:dyDescent="0.3">
      <c r="A2347" t="s">
        <v>16182</v>
      </c>
      <c r="B2347" t="s">
        <v>16183</v>
      </c>
      <c r="C2347" t="s">
        <v>257</v>
      </c>
      <c r="D2347" t="s">
        <v>16184</v>
      </c>
      <c r="E2347" t="s">
        <v>16185</v>
      </c>
      <c r="F2347" t="s">
        <v>1580</v>
      </c>
      <c r="G2347" t="s">
        <v>16186</v>
      </c>
      <c r="H2347" t="s">
        <v>16187</v>
      </c>
      <c r="I2347">
        <f t="shared" ca="1" si="144"/>
        <v>50</v>
      </c>
      <c r="J2347" t="str">
        <f t="shared" ca="1" si="145"/>
        <v>50-59</v>
      </c>
      <c r="K2347">
        <v>72787.34</v>
      </c>
      <c r="L2347" t="str">
        <f>IF(Workforce[[#This Row],[Salary]]&lt;50000,"30k-49k",IF(Workforce[[#This Row],[Salary]]&lt;70000,"50k-69k",IF(Workforce[[#This Row],[Salary]]&lt;90000,"70k-89k","90k+")))</f>
        <v>70k-89k</v>
      </c>
      <c r="M2347" t="s">
        <v>16188</v>
      </c>
      <c r="N2347">
        <f t="shared" ca="1" si="146"/>
        <v>4</v>
      </c>
      <c r="O2347" t="str">
        <f t="shared" ca="1" si="147"/>
        <v>Intermediate level</v>
      </c>
    </row>
    <row r="2348" spans="1:15" x14ac:dyDescent="0.3">
      <c r="A2348" t="s">
        <v>7997</v>
      </c>
      <c r="B2348" t="s">
        <v>16189</v>
      </c>
      <c r="C2348" t="s">
        <v>151</v>
      </c>
      <c r="D2348" t="s">
        <v>16190</v>
      </c>
      <c r="E2348" t="s">
        <v>16191</v>
      </c>
      <c r="F2348" t="s">
        <v>1210</v>
      </c>
      <c r="G2348" t="s">
        <v>16192</v>
      </c>
      <c r="H2348" t="s">
        <v>16193</v>
      </c>
      <c r="I2348">
        <f t="shared" ca="1" si="144"/>
        <v>26</v>
      </c>
      <c r="J2348" t="str">
        <f t="shared" ca="1" si="145"/>
        <v>18-29</v>
      </c>
      <c r="K2348">
        <v>100342.19</v>
      </c>
      <c r="L2348" t="str">
        <f>IF(Workforce[[#This Row],[Salary]]&lt;50000,"30k-49k",IF(Workforce[[#This Row],[Salary]]&lt;70000,"50k-69k",IF(Workforce[[#This Row],[Salary]]&lt;90000,"70k-89k","90k+")))</f>
        <v>90k+</v>
      </c>
      <c r="M2348" t="s">
        <v>10442</v>
      </c>
      <c r="N2348">
        <f t="shared" ca="1" si="146"/>
        <v>3</v>
      </c>
      <c r="O2348" t="str">
        <f t="shared" ca="1" si="147"/>
        <v>Intermediate level</v>
      </c>
    </row>
    <row r="2349" spans="1:15" x14ac:dyDescent="0.3">
      <c r="A2349" t="s">
        <v>16194</v>
      </c>
      <c r="B2349" t="s">
        <v>16195</v>
      </c>
      <c r="C2349" t="s">
        <v>44</v>
      </c>
      <c r="D2349" t="s">
        <v>16196</v>
      </c>
      <c r="E2349" t="s">
        <v>16197</v>
      </c>
      <c r="F2349" t="s">
        <v>5439</v>
      </c>
      <c r="G2349" t="s">
        <v>16198</v>
      </c>
      <c r="H2349" t="s">
        <v>16199</v>
      </c>
      <c r="I2349">
        <f t="shared" ca="1" si="144"/>
        <v>27</v>
      </c>
      <c r="J2349" t="str">
        <f t="shared" ca="1" si="145"/>
        <v>18-29</v>
      </c>
      <c r="K2349">
        <v>67016.800000000003</v>
      </c>
      <c r="L2349" t="str">
        <f>IF(Workforce[[#This Row],[Salary]]&lt;50000,"30k-49k",IF(Workforce[[#This Row],[Salary]]&lt;70000,"50k-69k",IF(Workforce[[#This Row],[Salary]]&lt;90000,"70k-89k","90k+")))</f>
        <v>50k-69k</v>
      </c>
      <c r="M2349" t="s">
        <v>12240</v>
      </c>
      <c r="N2349">
        <f t="shared" ca="1" si="146"/>
        <v>1</v>
      </c>
      <c r="O2349" t="str">
        <f t="shared" ca="1" si="147"/>
        <v>Beginner</v>
      </c>
    </row>
    <row r="2350" spans="1:15" x14ac:dyDescent="0.3">
      <c r="A2350" t="s">
        <v>16200</v>
      </c>
      <c r="B2350" t="s">
        <v>16201</v>
      </c>
      <c r="C2350" t="s">
        <v>35</v>
      </c>
      <c r="D2350" t="s">
        <v>16202</v>
      </c>
      <c r="E2350" t="s">
        <v>16203</v>
      </c>
      <c r="F2350" t="s">
        <v>225</v>
      </c>
      <c r="G2350" t="s">
        <v>16204</v>
      </c>
      <c r="H2350" t="s">
        <v>16205</v>
      </c>
      <c r="I2350">
        <f t="shared" ca="1" si="144"/>
        <v>22</v>
      </c>
      <c r="J2350" t="str">
        <f t="shared" ca="1" si="145"/>
        <v>18-29</v>
      </c>
      <c r="K2350">
        <v>100519.37</v>
      </c>
      <c r="L2350" t="str">
        <f>IF(Workforce[[#This Row],[Salary]]&lt;50000,"30k-49k",IF(Workforce[[#This Row],[Salary]]&lt;70000,"50k-69k",IF(Workforce[[#This Row],[Salary]]&lt;90000,"70k-89k","90k+")))</f>
        <v>90k+</v>
      </c>
      <c r="M2350" t="s">
        <v>5151</v>
      </c>
      <c r="N2350">
        <f t="shared" ca="1" si="146"/>
        <v>0</v>
      </c>
      <c r="O2350" t="str">
        <f t="shared" ca="1" si="147"/>
        <v>Beginner</v>
      </c>
    </row>
    <row r="2351" spans="1:15" x14ac:dyDescent="0.3">
      <c r="A2351" t="s">
        <v>16206</v>
      </c>
      <c r="B2351" t="s">
        <v>16207</v>
      </c>
      <c r="C2351" t="s">
        <v>266</v>
      </c>
      <c r="D2351" t="s">
        <v>16208</v>
      </c>
      <c r="E2351" t="s">
        <v>16209</v>
      </c>
      <c r="F2351" t="s">
        <v>831</v>
      </c>
      <c r="G2351" t="s">
        <v>16210</v>
      </c>
      <c r="H2351" t="s">
        <v>16211</v>
      </c>
      <c r="I2351">
        <f t="shared" ca="1" si="144"/>
        <v>21</v>
      </c>
      <c r="J2351" t="str">
        <f t="shared" ca="1" si="145"/>
        <v>18-29</v>
      </c>
      <c r="K2351">
        <v>43316.18</v>
      </c>
      <c r="L2351" t="str">
        <f>IF(Workforce[[#This Row],[Salary]]&lt;50000,"30k-49k",IF(Workforce[[#This Row],[Salary]]&lt;70000,"50k-69k",IF(Workforce[[#This Row],[Salary]]&lt;90000,"70k-89k","90k+")))</f>
        <v>30k-49k</v>
      </c>
      <c r="M2351" t="s">
        <v>16212</v>
      </c>
      <c r="N2351">
        <f t="shared" ca="1" si="146"/>
        <v>3</v>
      </c>
      <c r="O2351" t="str">
        <f t="shared" ca="1" si="147"/>
        <v>Intermediate level</v>
      </c>
    </row>
    <row r="2352" spans="1:15" x14ac:dyDescent="0.3">
      <c r="A2352" t="s">
        <v>16213</v>
      </c>
      <c r="B2352" t="s">
        <v>16214</v>
      </c>
      <c r="C2352" t="s">
        <v>275</v>
      </c>
      <c r="D2352" t="s">
        <v>16215</v>
      </c>
      <c r="E2352" t="s">
        <v>16216</v>
      </c>
      <c r="F2352" t="s">
        <v>8200</v>
      </c>
      <c r="G2352" t="s">
        <v>16217</v>
      </c>
      <c r="H2352" t="s">
        <v>16218</v>
      </c>
      <c r="I2352">
        <f t="shared" ca="1" si="144"/>
        <v>34</v>
      </c>
      <c r="J2352" t="str">
        <f t="shared" ca="1" si="145"/>
        <v>30-39</v>
      </c>
      <c r="K2352">
        <v>112418.01</v>
      </c>
      <c r="L2352" t="str">
        <f>IF(Workforce[[#This Row],[Salary]]&lt;50000,"30k-49k",IF(Workforce[[#This Row],[Salary]]&lt;70000,"50k-69k",IF(Workforce[[#This Row],[Salary]]&lt;90000,"70k-89k","90k+")))</f>
        <v>90k+</v>
      </c>
      <c r="M2352" t="s">
        <v>16219</v>
      </c>
      <c r="N2352">
        <f t="shared" ca="1" si="146"/>
        <v>9</v>
      </c>
      <c r="O2352" t="str">
        <f t="shared" ca="1" si="147"/>
        <v>Senior level</v>
      </c>
    </row>
    <row r="2353" spans="1:15" x14ac:dyDescent="0.3">
      <c r="A2353" t="s">
        <v>16220</v>
      </c>
      <c r="B2353" t="s">
        <v>16221</v>
      </c>
      <c r="C2353" t="s">
        <v>1004</v>
      </c>
      <c r="D2353" t="s">
        <v>16222</v>
      </c>
      <c r="E2353" t="s">
        <v>16223</v>
      </c>
      <c r="F2353" t="s">
        <v>6124</v>
      </c>
      <c r="G2353" t="s">
        <v>16224</v>
      </c>
      <c r="H2353" t="s">
        <v>16225</v>
      </c>
      <c r="I2353">
        <f t="shared" ca="1" si="144"/>
        <v>30</v>
      </c>
      <c r="J2353" t="str">
        <f t="shared" ca="1" si="145"/>
        <v>30-39</v>
      </c>
      <c r="K2353">
        <v>38129.03</v>
      </c>
      <c r="L2353" t="str">
        <f>IF(Workforce[[#This Row],[Salary]]&lt;50000,"30k-49k",IF(Workforce[[#This Row],[Salary]]&lt;70000,"50k-69k",IF(Workforce[[#This Row],[Salary]]&lt;90000,"70k-89k","90k+")))</f>
        <v>30k-49k</v>
      </c>
      <c r="M2353" t="s">
        <v>16226</v>
      </c>
      <c r="N2353">
        <f t="shared" ca="1" si="146"/>
        <v>10</v>
      </c>
      <c r="O2353" t="str">
        <f t="shared" ca="1" si="147"/>
        <v>Senior level</v>
      </c>
    </row>
    <row r="2354" spans="1:15" x14ac:dyDescent="0.3">
      <c r="A2354" t="s">
        <v>16227</v>
      </c>
      <c r="B2354" t="s">
        <v>16228</v>
      </c>
      <c r="C2354" t="s">
        <v>142</v>
      </c>
      <c r="D2354" t="s">
        <v>16229</v>
      </c>
      <c r="E2354" t="s">
        <v>16230</v>
      </c>
      <c r="F2354" t="s">
        <v>800</v>
      </c>
      <c r="G2354" t="s">
        <v>16231</v>
      </c>
      <c r="H2354" t="s">
        <v>16232</v>
      </c>
      <c r="I2354">
        <f t="shared" ca="1" si="144"/>
        <v>62</v>
      </c>
      <c r="J2354" t="str">
        <f t="shared" ca="1" si="145"/>
        <v>60+</v>
      </c>
      <c r="K2354">
        <v>67337.78</v>
      </c>
      <c r="L2354" t="str">
        <f>IF(Workforce[[#This Row],[Salary]]&lt;50000,"30k-49k",IF(Workforce[[#This Row],[Salary]]&lt;70000,"50k-69k",IF(Workforce[[#This Row],[Salary]]&lt;90000,"70k-89k","90k+")))</f>
        <v>50k-69k</v>
      </c>
      <c r="M2354" t="s">
        <v>5526</v>
      </c>
      <c r="N2354">
        <f t="shared" ca="1" si="146"/>
        <v>7</v>
      </c>
      <c r="O2354" t="str">
        <f t="shared" ca="1" si="147"/>
        <v>Senior level</v>
      </c>
    </row>
    <row r="2355" spans="1:15" x14ac:dyDescent="0.3">
      <c r="A2355" t="s">
        <v>16233</v>
      </c>
      <c r="B2355" t="s">
        <v>16234</v>
      </c>
      <c r="C2355" t="s">
        <v>178</v>
      </c>
      <c r="D2355" t="s">
        <v>16235</v>
      </c>
      <c r="E2355" t="s">
        <v>16236</v>
      </c>
      <c r="F2355" t="s">
        <v>6008</v>
      </c>
      <c r="G2355" t="s">
        <v>16237</v>
      </c>
      <c r="H2355" t="s">
        <v>16238</v>
      </c>
      <c r="I2355">
        <f t="shared" ca="1" si="144"/>
        <v>58</v>
      </c>
      <c r="J2355" t="str">
        <f t="shared" ca="1" si="145"/>
        <v>50-59</v>
      </c>
      <c r="K2355">
        <v>45270.14</v>
      </c>
      <c r="L2355" t="str">
        <f>IF(Workforce[[#This Row],[Salary]]&lt;50000,"30k-49k",IF(Workforce[[#This Row],[Salary]]&lt;70000,"50k-69k",IF(Workforce[[#This Row],[Salary]]&lt;90000,"70k-89k","90k+")))</f>
        <v>30k-49k</v>
      </c>
      <c r="M2355" t="s">
        <v>16239</v>
      </c>
      <c r="N2355">
        <f t="shared" ca="1" si="146"/>
        <v>3</v>
      </c>
      <c r="O2355" t="str">
        <f t="shared" ca="1" si="147"/>
        <v>Intermediate level</v>
      </c>
    </row>
    <row r="2356" spans="1:15" x14ac:dyDescent="0.3">
      <c r="A2356" t="s">
        <v>16240</v>
      </c>
      <c r="B2356" t="s">
        <v>16241</v>
      </c>
      <c r="C2356" t="s">
        <v>317</v>
      </c>
      <c r="D2356" t="s">
        <v>16242</v>
      </c>
      <c r="E2356" t="s">
        <v>16243</v>
      </c>
      <c r="F2356" t="s">
        <v>2282</v>
      </c>
      <c r="G2356" t="s">
        <v>16244</v>
      </c>
      <c r="H2356" t="s">
        <v>16245</v>
      </c>
      <c r="I2356">
        <f t="shared" ca="1" si="144"/>
        <v>22</v>
      </c>
      <c r="J2356" t="str">
        <f t="shared" ca="1" si="145"/>
        <v>18-29</v>
      </c>
      <c r="K2356">
        <v>77368.850000000006</v>
      </c>
      <c r="L2356" t="str">
        <f>IF(Workforce[[#This Row],[Salary]]&lt;50000,"30k-49k",IF(Workforce[[#This Row],[Salary]]&lt;70000,"50k-69k",IF(Workforce[[#This Row],[Salary]]&lt;90000,"70k-89k","90k+")))</f>
        <v>70k-89k</v>
      </c>
      <c r="M2356" t="s">
        <v>16246</v>
      </c>
      <c r="N2356">
        <f t="shared" ca="1" si="146"/>
        <v>9</v>
      </c>
      <c r="O2356" t="str">
        <f t="shared" ca="1" si="147"/>
        <v>Senior level</v>
      </c>
    </row>
    <row r="2357" spans="1:15" x14ac:dyDescent="0.3">
      <c r="A2357" t="s">
        <v>16247</v>
      </c>
      <c r="B2357" t="s">
        <v>16248</v>
      </c>
      <c r="C2357" t="s">
        <v>266</v>
      </c>
      <c r="D2357" t="s">
        <v>16249</v>
      </c>
      <c r="E2357" t="s">
        <v>16250</v>
      </c>
      <c r="F2357" t="s">
        <v>12743</v>
      </c>
      <c r="G2357" t="s">
        <v>16251</v>
      </c>
      <c r="H2357" t="s">
        <v>16252</v>
      </c>
      <c r="I2357">
        <f t="shared" ca="1" si="144"/>
        <v>46</v>
      </c>
      <c r="J2357" t="str">
        <f t="shared" ca="1" si="145"/>
        <v>40-49</v>
      </c>
      <c r="K2357">
        <v>80001.16</v>
      </c>
      <c r="L2357" t="str">
        <f>IF(Workforce[[#This Row],[Salary]]&lt;50000,"30k-49k",IF(Workforce[[#This Row],[Salary]]&lt;70000,"50k-69k",IF(Workforce[[#This Row],[Salary]]&lt;90000,"70k-89k","90k+")))</f>
        <v>70k-89k</v>
      </c>
      <c r="M2357" t="s">
        <v>4986</v>
      </c>
      <c r="N2357">
        <f t="shared" ca="1" si="146"/>
        <v>7</v>
      </c>
      <c r="O2357" t="str">
        <f t="shared" ca="1" si="147"/>
        <v>Senior level</v>
      </c>
    </row>
    <row r="2358" spans="1:15" x14ac:dyDescent="0.3">
      <c r="A2358" t="s">
        <v>16253</v>
      </c>
      <c r="B2358" t="s">
        <v>16254</v>
      </c>
      <c r="C2358" t="s">
        <v>142</v>
      </c>
      <c r="D2358" t="s">
        <v>16255</v>
      </c>
      <c r="E2358" t="s">
        <v>16256</v>
      </c>
      <c r="F2358" t="s">
        <v>16257</v>
      </c>
      <c r="G2358" t="s">
        <v>16258</v>
      </c>
      <c r="H2358" t="s">
        <v>16259</v>
      </c>
      <c r="I2358">
        <f t="shared" ca="1" si="144"/>
        <v>21</v>
      </c>
      <c r="J2358" t="str">
        <f t="shared" ca="1" si="145"/>
        <v>18-29</v>
      </c>
      <c r="K2358">
        <v>75935.88</v>
      </c>
      <c r="L2358" t="str">
        <f>IF(Workforce[[#This Row],[Salary]]&lt;50000,"30k-49k",IF(Workforce[[#This Row],[Salary]]&lt;70000,"50k-69k",IF(Workforce[[#This Row],[Salary]]&lt;90000,"70k-89k","90k+")))</f>
        <v>70k-89k</v>
      </c>
      <c r="M2358" t="s">
        <v>16029</v>
      </c>
      <c r="N2358">
        <f t="shared" ca="1" si="146"/>
        <v>7</v>
      </c>
      <c r="O2358" t="str">
        <f t="shared" ca="1" si="147"/>
        <v>Senior level</v>
      </c>
    </row>
    <row r="2359" spans="1:15" x14ac:dyDescent="0.3">
      <c r="A2359" t="s">
        <v>16260</v>
      </c>
      <c r="B2359" t="s">
        <v>16261</v>
      </c>
      <c r="C2359" t="s">
        <v>88</v>
      </c>
      <c r="D2359" t="s">
        <v>16262</v>
      </c>
      <c r="E2359" t="s">
        <v>16263</v>
      </c>
      <c r="F2359" t="s">
        <v>863</v>
      </c>
      <c r="G2359" t="s">
        <v>16264</v>
      </c>
      <c r="H2359" t="s">
        <v>16265</v>
      </c>
      <c r="I2359">
        <f t="shared" ca="1" si="144"/>
        <v>24</v>
      </c>
      <c r="J2359" t="str">
        <f t="shared" ca="1" si="145"/>
        <v>18-29</v>
      </c>
      <c r="K2359">
        <v>49090.63</v>
      </c>
      <c r="L2359" t="str">
        <f>IF(Workforce[[#This Row],[Salary]]&lt;50000,"30k-49k",IF(Workforce[[#This Row],[Salary]]&lt;70000,"50k-69k",IF(Workforce[[#This Row],[Salary]]&lt;90000,"70k-89k","90k+")))</f>
        <v>30k-49k</v>
      </c>
      <c r="M2359" t="s">
        <v>16266</v>
      </c>
      <c r="N2359">
        <f t="shared" ca="1" si="146"/>
        <v>5</v>
      </c>
      <c r="O2359" t="str">
        <f t="shared" ca="1" si="147"/>
        <v>Intermediate level</v>
      </c>
    </row>
    <row r="2360" spans="1:15" x14ac:dyDescent="0.3">
      <c r="A2360" t="s">
        <v>16267</v>
      </c>
      <c r="B2360" t="s">
        <v>16268</v>
      </c>
      <c r="C2360" t="s">
        <v>88</v>
      </c>
      <c r="D2360" t="s">
        <v>16269</v>
      </c>
      <c r="E2360" t="s">
        <v>16270</v>
      </c>
      <c r="F2360" t="s">
        <v>4538</v>
      </c>
      <c r="G2360" t="s">
        <v>16271</v>
      </c>
      <c r="H2360" t="s">
        <v>16272</v>
      </c>
      <c r="I2360">
        <f t="shared" ca="1" si="144"/>
        <v>66</v>
      </c>
      <c r="J2360" t="str">
        <f t="shared" ca="1" si="145"/>
        <v>60+</v>
      </c>
      <c r="K2360">
        <v>42693.78</v>
      </c>
      <c r="L2360" t="str">
        <f>IF(Workforce[[#This Row],[Salary]]&lt;50000,"30k-49k",IF(Workforce[[#This Row],[Salary]]&lt;70000,"50k-69k",IF(Workforce[[#This Row],[Salary]]&lt;90000,"70k-89k","90k+")))</f>
        <v>30k-49k</v>
      </c>
      <c r="M2360" t="s">
        <v>16273</v>
      </c>
      <c r="N2360">
        <f t="shared" ca="1" si="146"/>
        <v>0</v>
      </c>
      <c r="O2360" t="str">
        <f t="shared" ca="1" si="147"/>
        <v>Beginner</v>
      </c>
    </row>
    <row r="2361" spans="1:15" x14ac:dyDescent="0.3">
      <c r="A2361" t="s">
        <v>16274</v>
      </c>
      <c r="B2361" t="s">
        <v>16275</v>
      </c>
      <c r="C2361" t="s">
        <v>222</v>
      </c>
      <c r="D2361" t="s">
        <v>16276</v>
      </c>
      <c r="E2361" t="s">
        <v>16277</v>
      </c>
      <c r="F2361" t="s">
        <v>460</v>
      </c>
      <c r="G2361" t="s">
        <v>16278</v>
      </c>
      <c r="H2361" t="s">
        <v>14849</v>
      </c>
      <c r="I2361">
        <f t="shared" ca="1" si="144"/>
        <v>58</v>
      </c>
      <c r="J2361" t="str">
        <f t="shared" ca="1" si="145"/>
        <v>50-59</v>
      </c>
      <c r="K2361">
        <v>68026.59</v>
      </c>
      <c r="L2361" t="str">
        <f>IF(Workforce[[#This Row],[Salary]]&lt;50000,"30k-49k",IF(Workforce[[#This Row],[Salary]]&lt;70000,"50k-69k",IF(Workforce[[#This Row],[Salary]]&lt;90000,"70k-89k","90k+")))</f>
        <v>50k-69k</v>
      </c>
      <c r="M2361" t="s">
        <v>3756</v>
      </c>
      <c r="N2361">
        <f t="shared" ca="1" si="146"/>
        <v>10</v>
      </c>
      <c r="O2361" t="str">
        <f t="shared" ca="1" si="147"/>
        <v>Senior level</v>
      </c>
    </row>
    <row r="2362" spans="1:15" x14ac:dyDescent="0.3">
      <c r="A2362" t="s">
        <v>16279</v>
      </c>
      <c r="B2362" t="s">
        <v>16280</v>
      </c>
      <c r="C2362" t="s">
        <v>70</v>
      </c>
      <c r="D2362" t="s">
        <v>16281</v>
      </c>
      <c r="E2362" t="s">
        <v>16282</v>
      </c>
      <c r="F2362" t="s">
        <v>10284</v>
      </c>
      <c r="G2362" t="s">
        <v>16283</v>
      </c>
      <c r="H2362" t="s">
        <v>16284</v>
      </c>
      <c r="I2362">
        <f t="shared" ca="1" si="144"/>
        <v>30</v>
      </c>
      <c r="J2362" t="str">
        <f t="shared" ca="1" si="145"/>
        <v>30-39</v>
      </c>
      <c r="K2362">
        <v>98729.69</v>
      </c>
      <c r="L2362" t="str">
        <f>IF(Workforce[[#This Row],[Salary]]&lt;50000,"30k-49k",IF(Workforce[[#This Row],[Salary]]&lt;70000,"50k-69k",IF(Workforce[[#This Row],[Salary]]&lt;90000,"70k-89k","90k+")))</f>
        <v>90k+</v>
      </c>
      <c r="M2362" t="s">
        <v>2189</v>
      </c>
      <c r="N2362">
        <f t="shared" ca="1" si="146"/>
        <v>4</v>
      </c>
      <c r="O2362" t="str">
        <f t="shared" ca="1" si="147"/>
        <v>Intermediate level</v>
      </c>
    </row>
    <row r="2363" spans="1:15" x14ac:dyDescent="0.3">
      <c r="A2363" t="s">
        <v>16285</v>
      </c>
      <c r="B2363" t="s">
        <v>16286</v>
      </c>
      <c r="C2363" t="s">
        <v>231</v>
      </c>
      <c r="D2363" t="s">
        <v>16287</v>
      </c>
      <c r="E2363" t="s">
        <v>16288</v>
      </c>
      <c r="F2363" t="s">
        <v>362</v>
      </c>
      <c r="G2363" t="s">
        <v>16289</v>
      </c>
      <c r="H2363" t="s">
        <v>16290</v>
      </c>
      <c r="I2363">
        <f t="shared" ca="1" si="144"/>
        <v>51</v>
      </c>
      <c r="J2363" t="str">
        <f t="shared" ca="1" si="145"/>
        <v>50-59</v>
      </c>
      <c r="K2363">
        <v>65565.070000000007</v>
      </c>
      <c r="L2363" t="str">
        <f>IF(Workforce[[#This Row],[Salary]]&lt;50000,"30k-49k",IF(Workforce[[#This Row],[Salary]]&lt;70000,"50k-69k",IF(Workforce[[#This Row],[Salary]]&lt;90000,"70k-89k","90k+")))</f>
        <v>50k-69k</v>
      </c>
      <c r="M2363" t="s">
        <v>16291</v>
      </c>
      <c r="N2363">
        <f t="shared" ca="1" si="146"/>
        <v>3</v>
      </c>
      <c r="O2363" t="str">
        <f t="shared" ca="1" si="147"/>
        <v>Intermediate level</v>
      </c>
    </row>
    <row r="2364" spans="1:15" x14ac:dyDescent="0.3">
      <c r="A2364" t="s">
        <v>16292</v>
      </c>
      <c r="B2364" t="s">
        <v>16293</v>
      </c>
      <c r="C2364" t="s">
        <v>124</v>
      </c>
      <c r="D2364" t="s">
        <v>16294</v>
      </c>
      <c r="E2364" t="s">
        <v>16295</v>
      </c>
      <c r="F2364" t="s">
        <v>2401</v>
      </c>
      <c r="G2364" t="s">
        <v>16296</v>
      </c>
      <c r="H2364" t="s">
        <v>16297</v>
      </c>
      <c r="I2364">
        <f t="shared" ca="1" si="144"/>
        <v>63</v>
      </c>
      <c r="J2364" t="str">
        <f t="shared" ca="1" si="145"/>
        <v>60+</v>
      </c>
      <c r="K2364">
        <v>30569.19</v>
      </c>
      <c r="L2364" t="str">
        <f>IF(Workforce[[#This Row],[Salary]]&lt;50000,"30k-49k",IF(Workforce[[#This Row],[Salary]]&lt;70000,"50k-69k",IF(Workforce[[#This Row],[Salary]]&lt;90000,"70k-89k","90k+")))</f>
        <v>30k-49k</v>
      </c>
      <c r="M2364" t="s">
        <v>1094</v>
      </c>
      <c r="N2364">
        <f t="shared" ca="1" si="146"/>
        <v>2</v>
      </c>
      <c r="O2364" t="str">
        <f t="shared" ca="1" si="147"/>
        <v>Beginner</v>
      </c>
    </row>
    <row r="2365" spans="1:15" x14ac:dyDescent="0.3">
      <c r="A2365" t="s">
        <v>16298</v>
      </c>
      <c r="B2365" t="s">
        <v>16299</v>
      </c>
      <c r="C2365" t="s">
        <v>757</v>
      </c>
      <c r="D2365" t="s">
        <v>16300</v>
      </c>
      <c r="E2365" t="s">
        <v>16301</v>
      </c>
      <c r="F2365" t="s">
        <v>13117</v>
      </c>
      <c r="G2365" t="s">
        <v>16302</v>
      </c>
      <c r="H2365" t="s">
        <v>13618</v>
      </c>
      <c r="I2365">
        <f t="shared" ca="1" si="144"/>
        <v>65</v>
      </c>
      <c r="J2365" t="str">
        <f t="shared" ca="1" si="145"/>
        <v>60+</v>
      </c>
      <c r="K2365">
        <v>65541.440000000002</v>
      </c>
      <c r="L2365" t="str">
        <f>IF(Workforce[[#This Row],[Salary]]&lt;50000,"30k-49k",IF(Workforce[[#This Row],[Salary]]&lt;70000,"50k-69k",IF(Workforce[[#This Row],[Salary]]&lt;90000,"70k-89k","90k+")))</f>
        <v>50k-69k</v>
      </c>
      <c r="M2365" t="s">
        <v>16303</v>
      </c>
      <c r="N2365">
        <f t="shared" ca="1" si="146"/>
        <v>7</v>
      </c>
      <c r="O2365" t="str">
        <f t="shared" ca="1" si="147"/>
        <v>Senior level</v>
      </c>
    </row>
    <row r="2366" spans="1:15" x14ac:dyDescent="0.3">
      <c r="A2366" t="s">
        <v>16304</v>
      </c>
      <c r="B2366" t="s">
        <v>16305</v>
      </c>
      <c r="C2366" t="s">
        <v>160</v>
      </c>
      <c r="D2366" t="s">
        <v>16306</v>
      </c>
      <c r="E2366" t="s">
        <v>16307</v>
      </c>
      <c r="F2366" t="s">
        <v>16308</v>
      </c>
      <c r="G2366" t="s">
        <v>16309</v>
      </c>
      <c r="H2366" t="s">
        <v>16310</v>
      </c>
      <c r="I2366">
        <f t="shared" ca="1" si="144"/>
        <v>40</v>
      </c>
      <c r="J2366" t="str">
        <f t="shared" ca="1" si="145"/>
        <v>40-49</v>
      </c>
      <c r="K2366">
        <v>50070.55</v>
      </c>
      <c r="L2366" t="str">
        <f>IF(Workforce[[#This Row],[Salary]]&lt;50000,"30k-49k",IF(Workforce[[#This Row],[Salary]]&lt;70000,"50k-69k",IF(Workforce[[#This Row],[Salary]]&lt;90000,"70k-89k","90k+")))</f>
        <v>50k-69k</v>
      </c>
      <c r="M2366" t="s">
        <v>16311</v>
      </c>
      <c r="N2366">
        <f t="shared" ca="1" si="146"/>
        <v>10</v>
      </c>
      <c r="O2366" t="str">
        <f t="shared" ca="1" si="147"/>
        <v>Senior level</v>
      </c>
    </row>
    <row r="2367" spans="1:15" x14ac:dyDescent="0.3">
      <c r="A2367" t="s">
        <v>16312</v>
      </c>
      <c r="B2367" t="s">
        <v>16313</v>
      </c>
      <c r="C2367" t="s">
        <v>124</v>
      </c>
      <c r="D2367" t="s">
        <v>16314</v>
      </c>
      <c r="E2367" t="s">
        <v>16315</v>
      </c>
      <c r="F2367" t="s">
        <v>1511</v>
      </c>
      <c r="G2367" t="s">
        <v>16316</v>
      </c>
      <c r="H2367" t="s">
        <v>16317</v>
      </c>
      <c r="I2367">
        <f t="shared" ca="1" si="144"/>
        <v>46</v>
      </c>
      <c r="J2367" t="str">
        <f t="shared" ca="1" si="145"/>
        <v>40-49</v>
      </c>
      <c r="K2367">
        <v>65155.74</v>
      </c>
      <c r="L2367" t="str">
        <f>IF(Workforce[[#This Row],[Salary]]&lt;50000,"30k-49k",IF(Workforce[[#This Row],[Salary]]&lt;70000,"50k-69k",IF(Workforce[[#This Row],[Salary]]&lt;90000,"70k-89k","90k+")))</f>
        <v>50k-69k</v>
      </c>
      <c r="M2367" t="s">
        <v>16318</v>
      </c>
      <c r="N2367">
        <f t="shared" ca="1" si="146"/>
        <v>7</v>
      </c>
      <c r="O2367" t="str">
        <f t="shared" ca="1" si="147"/>
        <v>Senior level</v>
      </c>
    </row>
    <row r="2368" spans="1:15" x14ac:dyDescent="0.3">
      <c r="A2368" t="s">
        <v>16319</v>
      </c>
      <c r="B2368" t="s">
        <v>16320</v>
      </c>
      <c r="C2368" t="s">
        <v>61</v>
      </c>
      <c r="D2368" t="s">
        <v>16321</v>
      </c>
      <c r="E2368" t="s">
        <v>16322</v>
      </c>
      <c r="F2368" t="s">
        <v>639</v>
      </c>
      <c r="G2368" t="s">
        <v>16323</v>
      </c>
      <c r="H2368" t="s">
        <v>16324</v>
      </c>
      <c r="I2368">
        <f t="shared" ca="1" si="144"/>
        <v>35</v>
      </c>
      <c r="J2368" t="str">
        <f t="shared" ca="1" si="145"/>
        <v>30-39</v>
      </c>
      <c r="K2368">
        <v>112930.68</v>
      </c>
      <c r="L2368" t="str">
        <f>IF(Workforce[[#This Row],[Salary]]&lt;50000,"30k-49k",IF(Workforce[[#This Row],[Salary]]&lt;70000,"50k-69k",IF(Workforce[[#This Row],[Salary]]&lt;90000,"70k-89k","90k+")))</f>
        <v>90k+</v>
      </c>
      <c r="M2368" t="s">
        <v>16325</v>
      </c>
      <c r="N2368">
        <f t="shared" ca="1" si="146"/>
        <v>8</v>
      </c>
      <c r="O2368" t="str">
        <f t="shared" ca="1" si="147"/>
        <v>Senior level</v>
      </c>
    </row>
    <row r="2369" spans="1:15" x14ac:dyDescent="0.3">
      <c r="A2369" t="s">
        <v>16326</v>
      </c>
      <c r="B2369" t="s">
        <v>16327</v>
      </c>
      <c r="C2369" t="s">
        <v>580</v>
      </c>
      <c r="D2369" t="s">
        <v>16328</v>
      </c>
      <c r="E2369" t="s">
        <v>16329</v>
      </c>
      <c r="F2369" t="s">
        <v>4991</v>
      </c>
      <c r="G2369" t="s">
        <v>16330</v>
      </c>
      <c r="H2369" t="s">
        <v>16331</v>
      </c>
      <c r="I2369">
        <f t="shared" ca="1" si="144"/>
        <v>48</v>
      </c>
      <c r="J2369" t="str">
        <f t="shared" ca="1" si="145"/>
        <v>40-49</v>
      </c>
      <c r="K2369">
        <v>63315.71</v>
      </c>
      <c r="L2369" t="str">
        <f>IF(Workforce[[#This Row],[Salary]]&lt;50000,"30k-49k",IF(Workforce[[#This Row],[Salary]]&lt;70000,"50k-69k",IF(Workforce[[#This Row],[Salary]]&lt;90000,"70k-89k","90k+")))</f>
        <v>50k-69k</v>
      </c>
      <c r="M2369" t="s">
        <v>16332</v>
      </c>
      <c r="N2369">
        <f t="shared" ca="1" si="146"/>
        <v>7</v>
      </c>
      <c r="O2369" t="str">
        <f t="shared" ca="1" si="147"/>
        <v>Senior level</v>
      </c>
    </row>
    <row r="2370" spans="1:15" x14ac:dyDescent="0.3">
      <c r="A2370" t="s">
        <v>16333</v>
      </c>
      <c r="B2370" t="s">
        <v>16334</v>
      </c>
      <c r="C2370" t="s">
        <v>151</v>
      </c>
      <c r="D2370" t="s">
        <v>16335</v>
      </c>
      <c r="E2370" t="s">
        <v>16336</v>
      </c>
      <c r="F2370" t="s">
        <v>1864</v>
      </c>
      <c r="G2370" t="s">
        <v>16337</v>
      </c>
      <c r="H2370" t="s">
        <v>9924</v>
      </c>
      <c r="I2370">
        <f t="shared" ref="I2370:I2433" ca="1" si="148">DATEDIF(H2370,TODAY(),"y")</f>
        <v>35</v>
      </c>
      <c r="J2370" t="str">
        <f t="shared" ref="J2370:J2433" ca="1" si="149">IF(I2370&lt;30,"18-29",IF(I2370&lt;40,"30-39",IF(I2370&lt;50,"40-49",IF(I2370&lt;60,"50-59","60+"))))</f>
        <v>30-39</v>
      </c>
      <c r="K2370">
        <v>77993.45</v>
      </c>
      <c r="L2370" t="str">
        <f>IF(Workforce[[#This Row],[Salary]]&lt;50000,"30k-49k",IF(Workforce[[#This Row],[Salary]]&lt;70000,"50k-69k",IF(Workforce[[#This Row],[Salary]]&lt;90000,"70k-89k","90k+")))</f>
        <v>70k-89k</v>
      </c>
      <c r="M2370" t="s">
        <v>16338</v>
      </c>
      <c r="N2370">
        <f t="shared" ref="N2370:N2433" ca="1" si="150">DATEDIF(M2370,TODAY(),"y")</f>
        <v>1</v>
      </c>
      <c r="O2370" t="str">
        <f t="shared" ref="O2370:O2433" ca="1" si="151">IF(N2370&lt;=2,"Beginner",IF(N2370&lt;=6,"Intermediate level","Senior level"))</f>
        <v>Beginner</v>
      </c>
    </row>
    <row r="2371" spans="1:15" x14ac:dyDescent="0.3">
      <c r="A2371" t="s">
        <v>16339</v>
      </c>
      <c r="B2371" t="s">
        <v>16340</v>
      </c>
      <c r="C2371" t="s">
        <v>1223</v>
      </c>
      <c r="D2371" t="s">
        <v>16341</v>
      </c>
      <c r="E2371" t="s">
        <v>16342</v>
      </c>
      <c r="F2371" t="s">
        <v>1099</v>
      </c>
      <c r="G2371" t="s">
        <v>16343</v>
      </c>
      <c r="H2371" t="s">
        <v>16344</v>
      </c>
      <c r="I2371">
        <f t="shared" ca="1" si="148"/>
        <v>38</v>
      </c>
      <c r="J2371" t="str">
        <f t="shared" ca="1" si="149"/>
        <v>30-39</v>
      </c>
      <c r="K2371">
        <v>103808.59</v>
      </c>
      <c r="L2371" t="str">
        <f>IF(Workforce[[#This Row],[Salary]]&lt;50000,"30k-49k",IF(Workforce[[#This Row],[Salary]]&lt;70000,"50k-69k",IF(Workforce[[#This Row],[Salary]]&lt;90000,"70k-89k","90k+")))</f>
        <v>90k+</v>
      </c>
      <c r="M2371" t="s">
        <v>16345</v>
      </c>
      <c r="N2371">
        <f t="shared" ca="1" si="150"/>
        <v>10</v>
      </c>
      <c r="O2371" t="str">
        <f t="shared" ca="1" si="151"/>
        <v>Senior level</v>
      </c>
    </row>
    <row r="2372" spans="1:15" x14ac:dyDescent="0.3">
      <c r="A2372" t="s">
        <v>16346</v>
      </c>
      <c r="B2372" t="s">
        <v>16347</v>
      </c>
      <c r="C2372" t="s">
        <v>995</v>
      </c>
      <c r="D2372" t="s">
        <v>16348</v>
      </c>
      <c r="E2372" t="s">
        <v>16349</v>
      </c>
      <c r="F2372" t="s">
        <v>10306</v>
      </c>
      <c r="G2372" t="s">
        <v>16350</v>
      </c>
      <c r="H2372" t="s">
        <v>16351</v>
      </c>
      <c r="I2372">
        <f t="shared" ca="1" si="148"/>
        <v>19</v>
      </c>
      <c r="J2372" t="str">
        <f t="shared" ca="1" si="149"/>
        <v>18-29</v>
      </c>
      <c r="K2372">
        <v>58108.39</v>
      </c>
      <c r="L2372" t="str">
        <f>IF(Workforce[[#This Row],[Salary]]&lt;50000,"30k-49k",IF(Workforce[[#This Row],[Salary]]&lt;70000,"50k-69k",IF(Workforce[[#This Row],[Salary]]&lt;90000,"70k-89k","90k+")))</f>
        <v>50k-69k</v>
      </c>
      <c r="M2372" t="s">
        <v>7556</v>
      </c>
      <c r="N2372">
        <f t="shared" ca="1" si="150"/>
        <v>7</v>
      </c>
      <c r="O2372" t="str">
        <f t="shared" ca="1" si="151"/>
        <v>Senior level</v>
      </c>
    </row>
    <row r="2373" spans="1:15" x14ac:dyDescent="0.3">
      <c r="A2373" t="s">
        <v>16352</v>
      </c>
      <c r="B2373" t="s">
        <v>16353</v>
      </c>
      <c r="C2373" t="s">
        <v>124</v>
      </c>
      <c r="D2373" t="s">
        <v>16354</v>
      </c>
      <c r="E2373" t="s">
        <v>16355</v>
      </c>
      <c r="F2373" t="s">
        <v>11273</v>
      </c>
      <c r="G2373" t="s">
        <v>16356</v>
      </c>
      <c r="H2373" t="s">
        <v>16357</v>
      </c>
      <c r="I2373">
        <f t="shared" ca="1" si="148"/>
        <v>56</v>
      </c>
      <c r="J2373" t="str">
        <f t="shared" ca="1" si="149"/>
        <v>50-59</v>
      </c>
      <c r="K2373">
        <v>42735.68</v>
      </c>
      <c r="L2373" t="str">
        <f>IF(Workforce[[#This Row],[Salary]]&lt;50000,"30k-49k",IF(Workforce[[#This Row],[Salary]]&lt;70000,"50k-69k",IF(Workforce[[#This Row],[Salary]]&lt;90000,"70k-89k","90k+")))</f>
        <v>30k-49k</v>
      </c>
      <c r="M2373" t="s">
        <v>16358</v>
      </c>
      <c r="N2373">
        <f t="shared" ca="1" si="150"/>
        <v>2</v>
      </c>
      <c r="O2373" t="str">
        <f t="shared" ca="1" si="151"/>
        <v>Beginner</v>
      </c>
    </row>
    <row r="2374" spans="1:15" x14ac:dyDescent="0.3">
      <c r="A2374" t="s">
        <v>16359</v>
      </c>
      <c r="B2374" t="s">
        <v>16360</v>
      </c>
      <c r="C2374" t="s">
        <v>151</v>
      </c>
      <c r="D2374" t="s">
        <v>16361</v>
      </c>
      <c r="E2374" t="s">
        <v>16362</v>
      </c>
      <c r="F2374" t="s">
        <v>5940</v>
      </c>
      <c r="G2374" t="s">
        <v>16363</v>
      </c>
      <c r="H2374" t="s">
        <v>16364</v>
      </c>
      <c r="I2374">
        <f t="shared" ca="1" si="148"/>
        <v>42</v>
      </c>
      <c r="J2374" t="str">
        <f t="shared" ca="1" si="149"/>
        <v>40-49</v>
      </c>
      <c r="K2374">
        <v>34425.33</v>
      </c>
      <c r="L2374" t="str">
        <f>IF(Workforce[[#This Row],[Salary]]&lt;50000,"30k-49k",IF(Workforce[[#This Row],[Salary]]&lt;70000,"50k-69k",IF(Workforce[[#This Row],[Salary]]&lt;90000,"70k-89k","90k+")))</f>
        <v>30k-49k</v>
      </c>
      <c r="M2374" t="s">
        <v>16365</v>
      </c>
      <c r="N2374">
        <f t="shared" ca="1" si="150"/>
        <v>3</v>
      </c>
      <c r="O2374" t="str">
        <f t="shared" ca="1" si="151"/>
        <v>Intermediate level</v>
      </c>
    </row>
    <row r="2375" spans="1:15" x14ac:dyDescent="0.3">
      <c r="A2375" t="s">
        <v>16366</v>
      </c>
      <c r="B2375" t="s">
        <v>16367</v>
      </c>
      <c r="C2375" t="s">
        <v>1159</v>
      </c>
      <c r="D2375" t="s">
        <v>16368</v>
      </c>
      <c r="E2375" t="s">
        <v>16369</v>
      </c>
      <c r="F2375" t="s">
        <v>1950</v>
      </c>
      <c r="G2375" t="s">
        <v>7647</v>
      </c>
      <c r="H2375" t="s">
        <v>9626</v>
      </c>
      <c r="I2375">
        <f t="shared" ca="1" si="148"/>
        <v>19</v>
      </c>
      <c r="J2375" t="str">
        <f t="shared" ca="1" si="149"/>
        <v>18-29</v>
      </c>
      <c r="K2375">
        <v>67136.52</v>
      </c>
      <c r="L2375" t="str">
        <f>IF(Workforce[[#This Row],[Salary]]&lt;50000,"30k-49k",IF(Workforce[[#This Row],[Salary]]&lt;70000,"50k-69k",IF(Workforce[[#This Row],[Salary]]&lt;90000,"70k-89k","90k+")))</f>
        <v>50k-69k</v>
      </c>
      <c r="M2375" t="s">
        <v>16370</v>
      </c>
      <c r="N2375">
        <f t="shared" ca="1" si="150"/>
        <v>3</v>
      </c>
      <c r="O2375" t="str">
        <f t="shared" ca="1" si="151"/>
        <v>Intermediate level</v>
      </c>
    </row>
    <row r="2376" spans="1:15" x14ac:dyDescent="0.3">
      <c r="A2376" t="s">
        <v>16371</v>
      </c>
      <c r="B2376" t="s">
        <v>16372</v>
      </c>
      <c r="C2376" t="s">
        <v>457</v>
      </c>
      <c r="D2376" t="s">
        <v>16373</v>
      </c>
      <c r="E2376" t="s">
        <v>16374</v>
      </c>
      <c r="F2376" t="s">
        <v>14233</v>
      </c>
      <c r="G2376" t="s">
        <v>16375</v>
      </c>
      <c r="H2376" t="s">
        <v>16376</v>
      </c>
      <c r="I2376">
        <f t="shared" ca="1" si="148"/>
        <v>21</v>
      </c>
      <c r="J2376" t="str">
        <f t="shared" ca="1" si="149"/>
        <v>18-29</v>
      </c>
      <c r="K2376">
        <v>49364.66</v>
      </c>
      <c r="L2376" t="str">
        <f>IF(Workforce[[#This Row],[Salary]]&lt;50000,"30k-49k",IF(Workforce[[#This Row],[Salary]]&lt;70000,"50k-69k",IF(Workforce[[#This Row],[Salary]]&lt;90000,"70k-89k","90k+")))</f>
        <v>30k-49k</v>
      </c>
      <c r="M2376" t="s">
        <v>16377</v>
      </c>
      <c r="N2376">
        <f t="shared" ca="1" si="150"/>
        <v>1</v>
      </c>
      <c r="O2376" t="str">
        <f t="shared" ca="1" si="151"/>
        <v>Beginner</v>
      </c>
    </row>
    <row r="2377" spans="1:15" x14ac:dyDescent="0.3">
      <c r="A2377" t="s">
        <v>16378</v>
      </c>
      <c r="B2377" t="s">
        <v>16379</v>
      </c>
      <c r="C2377" t="s">
        <v>124</v>
      </c>
      <c r="D2377" t="s">
        <v>16380</v>
      </c>
      <c r="E2377" t="s">
        <v>16381</v>
      </c>
      <c r="F2377" t="s">
        <v>443</v>
      </c>
      <c r="G2377" t="s">
        <v>16382</v>
      </c>
      <c r="H2377" t="s">
        <v>16383</v>
      </c>
      <c r="I2377">
        <f t="shared" ca="1" si="148"/>
        <v>52</v>
      </c>
      <c r="J2377" t="str">
        <f t="shared" ca="1" si="149"/>
        <v>50-59</v>
      </c>
      <c r="K2377">
        <v>62166.29</v>
      </c>
      <c r="L2377" t="str">
        <f>IF(Workforce[[#This Row],[Salary]]&lt;50000,"30k-49k",IF(Workforce[[#This Row],[Salary]]&lt;70000,"50k-69k",IF(Workforce[[#This Row],[Salary]]&lt;90000,"70k-89k","90k+")))</f>
        <v>50k-69k</v>
      </c>
      <c r="M2377" t="s">
        <v>16384</v>
      </c>
      <c r="N2377">
        <f t="shared" ca="1" si="150"/>
        <v>5</v>
      </c>
      <c r="O2377" t="str">
        <f t="shared" ca="1" si="151"/>
        <v>Intermediate level</v>
      </c>
    </row>
    <row r="2378" spans="1:15" x14ac:dyDescent="0.3">
      <c r="A2378" t="s">
        <v>16385</v>
      </c>
      <c r="B2378" t="s">
        <v>16386</v>
      </c>
      <c r="C2378" t="s">
        <v>1004</v>
      </c>
      <c r="D2378" t="s">
        <v>16387</v>
      </c>
      <c r="E2378" t="s">
        <v>16388</v>
      </c>
      <c r="F2378" t="s">
        <v>4103</v>
      </c>
      <c r="G2378" t="s">
        <v>16389</v>
      </c>
      <c r="H2378" t="s">
        <v>16390</v>
      </c>
      <c r="I2378">
        <f t="shared" ca="1" si="148"/>
        <v>34</v>
      </c>
      <c r="J2378" t="str">
        <f t="shared" ca="1" si="149"/>
        <v>30-39</v>
      </c>
      <c r="K2378">
        <v>85553.45</v>
      </c>
      <c r="L2378" t="str">
        <f>IF(Workforce[[#This Row],[Salary]]&lt;50000,"30k-49k",IF(Workforce[[#This Row],[Salary]]&lt;70000,"50k-69k",IF(Workforce[[#This Row],[Salary]]&lt;90000,"70k-89k","90k+")))</f>
        <v>70k-89k</v>
      </c>
      <c r="M2378" t="s">
        <v>16391</v>
      </c>
      <c r="N2378">
        <f t="shared" ca="1" si="150"/>
        <v>1</v>
      </c>
      <c r="O2378" t="str">
        <f t="shared" ca="1" si="151"/>
        <v>Beginner</v>
      </c>
    </row>
    <row r="2379" spans="1:15" x14ac:dyDescent="0.3">
      <c r="A2379" t="s">
        <v>16392</v>
      </c>
      <c r="B2379" t="s">
        <v>16393</v>
      </c>
      <c r="C2379" t="s">
        <v>142</v>
      </c>
      <c r="D2379" t="s">
        <v>16394</v>
      </c>
      <c r="E2379" t="s">
        <v>16395</v>
      </c>
      <c r="F2379" t="s">
        <v>14409</v>
      </c>
      <c r="G2379" t="s">
        <v>16396</v>
      </c>
      <c r="H2379" t="s">
        <v>16397</v>
      </c>
      <c r="I2379">
        <f t="shared" ca="1" si="148"/>
        <v>55</v>
      </c>
      <c r="J2379" t="str">
        <f t="shared" ca="1" si="149"/>
        <v>50-59</v>
      </c>
      <c r="K2379">
        <v>48405.760000000002</v>
      </c>
      <c r="L2379" t="str">
        <f>IF(Workforce[[#This Row],[Salary]]&lt;50000,"30k-49k",IF(Workforce[[#This Row],[Salary]]&lt;70000,"50k-69k",IF(Workforce[[#This Row],[Salary]]&lt;90000,"70k-89k","90k+")))</f>
        <v>30k-49k</v>
      </c>
      <c r="M2379" t="s">
        <v>16398</v>
      </c>
      <c r="N2379">
        <f t="shared" ca="1" si="150"/>
        <v>2</v>
      </c>
      <c r="O2379" t="str">
        <f t="shared" ca="1" si="151"/>
        <v>Beginner</v>
      </c>
    </row>
    <row r="2380" spans="1:15" x14ac:dyDescent="0.3">
      <c r="A2380" t="s">
        <v>16399</v>
      </c>
      <c r="B2380" t="s">
        <v>16400</v>
      </c>
      <c r="C2380" t="s">
        <v>335</v>
      </c>
      <c r="D2380" t="s">
        <v>16401</v>
      </c>
      <c r="E2380" t="s">
        <v>16402</v>
      </c>
      <c r="F2380" t="s">
        <v>14433</v>
      </c>
      <c r="G2380" t="s">
        <v>16403</v>
      </c>
      <c r="H2380" t="s">
        <v>16404</v>
      </c>
      <c r="I2380">
        <f t="shared" ca="1" si="148"/>
        <v>37</v>
      </c>
      <c r="J2380" t="str">
        <f t="shared" ca="1" si="149"/>
        <v>30-39</v>
      </c>
      <c r="K2380">
        <v>79563.44</v>
      </c>
      <c r="L2380" t="str">
        <f>IF(Workforce[[#This Row],[Salary]]&lt;50000,"30k-49k",IF(Workforce[[#This Row],[Salary]]&lt;70000,"50k-69k",IF(Workforce[[#This Row],[Salary]]&lt;90000,"70k-89k","90k+")))</f>
        <v>70k-89k</v>
      </c>
      <c r="M2380" t="s">
        <v>16405</v>
      </c>
      <c r="N2380">
        <f t="shared" ca="1" si="150"/>
        <v>6</v>
      </c>
      <c r="O2380" t="str">
        <f t="shared" ca="1" si="151"/>
        <v>Intermediate level</v>
      </c>
    </row>
    <row r="2381" spans="1:15" x14ac:dyDescent="0.3">
      <c r="A2381" t="s">
        <v>16406</v>
      </c>
      <c r="B2381" t="s">
        <v>16407</v>
      </c>
      <c r="C2381" t="s">
        <v>539</v>
      </c>
      <c r="D2381" t="s">
        <v>16408</v>
      </c>
      <c r="E2381" t="s">
        <v>16409</v>
      </c>
      <c r="F2381" t="s">
        <v>886</v>
      </c>
      <c r="G2381" t="s">
        <v>16410</v>
      </c>
      <c r="H2381" t="s">
        <v>16411</v>
      </c>
      <c r="I2381">
        <f t="shared" ca="1" si="148"/>
        <v>18</v>
      </c>
      <c r="J2381" t="str">
        <f t="shared" ca="1" si="149"/>
        <v>18-29</v>
      </c>
      <c r="K2381">
        <v>109626.4</v>
      </c>
      <c r="L2381" t="str">
        <f>IF(Workforce[[#This Row],[Salary]]&lt;50000,"30k-49k",IF(Workforce[[#This Row],[Salary]]&lt;70000,"50k-69k",IF(Workforce[[#This Row],[Salary]]&lt;90000,"70k-89k","90k+")))</f>
        <v>90k+</v>
      </c>
      <c r="M2381" t="s">
        <v>12483</v>
      </c>
      <c r="N2381">
        <f t="shared" ca="1" si="150"/>
        <v>3</v>
      </c>
      <c r="O2381" t="str">
        <f t="shared" ca="1" si="151"/>
        <v>Intermediate level</v>
      </c>
    </row>
    <row r="2382" spans="1:15" x14ac:dyDescent="0.3">
      <c r="A2382" t="s">
        <v>16412</v>
      </c>
      <c r="B2382" t="s">
        <v>16413</v>
      </c>
      <c r="C2382" t="s">
        <v>151</v>
      </c>
      <c r="D2382" t="s">
        <v>16414</v>
      </c>
      <c r="E2382" t="s">
        <v>16415</v>
      </c>
      <c r="F2382" t="s">
        <v>5424</v>
      </c>
      <c r="G2382" t="s">
        <v>16416</v>
      </c>
      <c r="H2382" t="s">
        <v>16417</v>
      </c>
      <c r="I2382">
        <f t="shared" ca="1" si="148"/>
        <v>58</v>
      </c>
      <c r="J2382" t="str">
        <f t="shared" ca="1" si="149"/>
        <v>50-59</v>
      </c>
      <c r="K2382">
        <v>87227.99</v>
      </c>
      <c r="L2382" t="str">
        <f>IF(Workforce[[#This Row],[Salary]]&lt;50000,"30k-49k",IF(Workforce[[#This Row],[Salary]]&lt;70000,"50k-69k",IF(Workforce[[#This Row],[Salary]]&lt;90000,"70k-89k","90k+")))</f>
        <v>70k-89k</v>
      </c>
      <c r="M2382" t="s">
        <v>15989</v>
      </c>
      <c r="N2382">
        <f t="shared" ca="1" si="150"/>
        <v>6</v>
      </c>
      <c r="O2382" t="str">
        <f t="shared" ca="1" si="151"/>
        <v>Intermediate level</v>
      </c>
    </row>
    <row r="2383" spans="1:15" x14ac:dyDescent="0.3">
      <c r="A2383" t="s">
        <v>16418</v>
      </c>
      <c r="B2383" t="s">
        <v>16419</v>
      </c>
      <c r="C2383" t="s">
        <v>757</v>
      </c>
      <c r="D2383" t="s">
        <v>16420</v>
      </c>
      <c r="E2383" t="s">
        <v>16421</v>
      </c>
      <c r="F2383" t="s">
        <v>5637</v>
      </c>
      <c r="G2383" t="s">
        <v>16422</v>
      </c>
      <c r="H2383" t="s">
        <v>16423</v>
      </c>
      <c r="I2383">
        <f t="shared" ca="1" si="148"/>
        <v>42</v>
      </c>
      <c r="J2383" t="str">
        <f t="shared" ca="1" si="149"/>
        <v>40-49</v>
      </c>
      <c r="K2383">
        <v>112029.68</v>
      </c>
      <c r="L2383" t="str">
        <f>IF(Workforce[[#This Row],[Salary]]&lt;50000,"30k-49k",IF(Workforce[[#This Row],[Salary]]&lt;70000,"50k-69k",IF(Workforce[[#This Row],[Salary]]&lt;90000,"70k-89k","90k+")))</f>
        <v>90k+</v>
      </c>
      <c r="M2383" t="s">
        <v>16424</v>
      </c>
      <c r="N2383">
        <f t="shared" ca="1" si="150"/>
        <v>4</v>
      </c>
      <c r="O2383" t="str">
        <f t="shared" ca="1" si="151"/>
        <v>Intermediate level</v>
      </c>
    </row>
    <row r="2384" spans="1:15" x14ac:dyDescent="0.3">
      <c r="A2384" t="s">
        <v>16425</v>
      </c>
      <c r="B2384" t="s">
        <v>16426</v>
      </c>
      <c r="C2384" t="s">
        <v>70</v>
      </c>
      <c r="D2384" t="s">
        <v>16427</v>
      </c>
      <c r="E2384" t="s">
        <v>16428</v>
      </c>
      <c r="F2384" t="s">
        <v>16006</v>
      </c>
      <c r="G2384" t="s">
        <v>16429</v>
      </c>
      <c r="H2384" t="s">
        <v>10698</v>
      </c>
      <c r="I2384">
        <f t="shared" ca="1" si="148"/>
        <v>26</v>
      </c>
      <c r="J2384" t="str">
        <f t="shared" ca="1" si="149"/>
        <v>18-29</v>
      </c>
      <c r="K2384">
        <v>102297.62</v>
      </c>
      <c r="L2384" t="str">
        <f>IF(Workforce[[#This Row],[Salary]]&lt;50000,"30k-49k",IF(Workforce[[#This Row],[Salary]]&lt;70000,"50k-69k",IF(Workforce[[#This Row],[Salary]]&lt;90000,"70k-89k","90k+")))</f>
        <v>90k+</v>
      </c>
      <c r="M2384" t="s">
        <v>16430</v>
      </c>
      <c r="N2384">
        <f t="shared" ca="1" si="150"/>
        <v>4</v>
      </c>
      <c r="O2384" t="str">
        <f t="shared" ca="1" si="151"/>
        <v>Intermediate level</v>
      </c>
    </row>
    <row r="2385" spans="1:15" x14ac:dyDescent="0.3">
      <c r="A2385" t="s">
        <v>16431</v>
      </c>
      <c r="B2385" t="s">
        <v>16432</v>
      </c>
      <c r="C2385" t="s">
        <v>317</v>
      </c>
      <c r="D2385" t="s">
        <v>16433</v>
      </c>
      <c r="E2385" t="s">
        <v>16434</v>
      </c>
      <c r="F2385" t="s">
        <v>2665</v>
      </c>
      <c r="G2385" t="s">
        <v>16435</v>
      </c>
      <c r="H2385" t="s">
        <v>16436</v>
      </c>
      <c r="I2385">
        <f t="shared" ca="1" si="148"/>
        <v>26</v>
      </c>
      <c r="J2385" t="str">
        <f t="shared" ca="1" si="149"/>
        <v>18-29</v>
      </c>
      <c r="K2385">
        <v>93970.82</v>
      </c>
      <c r="L2385" t="str">
        <f>IF(Workforce[[#This Row],[Salary]]&lt;50000,"30k-49k",IF(Workforce[[#This Row],[Salary]]&lt;70000,"50k-69k",IF(Workforce[[#This Row],[Salary]]&lt;90000,"70k-89k","90k+")))</f>
        <v>90k+</v>
      </c>
      <c r="M2385" t="s">
        <v>16437</v>
      </c>
      <c r="N2385">
        <f t="shared" ca="1" si="150"/>
        <v>7</v>
      </c>
      <c r="O2385" t="str">
        <f t="shared" ca="1" si="151"/>
        <v>Senior level</v>
      </c>
    </row>
    <row r="2386" spans="1:15" x14ac:dyDescent="0.3">
      <c r="A2386" t="s">
        <v>16438</v>
      </c>
      <c r="B2386" t="s">
        <v>16439</v>
      </c>
      <c r="C2386" t="s">
        <v>351</v>
      </c>
      <c r="D2386" t="s">
        <v>16440</v>
      </c>
      <c r="E2386" t="s">
        <v>16441</v>
      </c>
      <c r="F2386" t="s">
        <v>16442</v>
      </c>
      <c r="G2386" t="s">
        <v>16443</v>
      </c>
      <c r="H2386" t="s">
        <v>16444</v>
      </c>
      <c r="I2386">
        <f t="shared" ca="1" si="148"/>
        <v>51</v>
      </c>
      <c r="J2386" t="str">
        <f t="shared" ca="1" si="149"/>
        <v>50-59</v>
      </c>
      <c r="K2386">
        <v>85812.57</v>
      </c>
      <c r="L2386" t="str">
        <f>IF(Workforce[[#This Row],[Salary]]&lt;50000,"30k-49k",IF(Workforce[[#This Row],[Salary]]&lt;70000,"50k-69k",IF(Workforce[[#This Row],[Salary]]&lt;90000,"70k-89k","90k+")))</f>
        <v>70k-89k</v>
      </c>
      <c r="M2386" t="s">
        <v>16445</v>
      </c>
      <c r="N2386">
        <f t="shared" ca="1" si="150"/>
        <v>7</v>
      </c>
      <c r="O2386" t="str">
        <f t="shared" ca="1" si="151"/>
        <v>Senior level</v>
      </c>
    </row>
    <row r="2387" spans="1:15" x14ac:dyDescent="0.3">
      <c r="A2387" t="s">
        <v>16446</v>
      </c>
      <c r="B2387" t="s">
        <v>16447</v>
      </c>
      <c r="C2387" t="s">
        <v>440</v>
      </c>
      <c r="D2387" t="s">
        <v>16448</v>
      </c>
      <c r="E2387" t="s">
        <v>16449</v>
      </c>
      <c r="F2387" t="s">
        <v>16450</v>
      </c>
      <c r="G2387" t="s">
        <v>16451</v>
      </c>
      <c r="H2387" t="s">
        <v>16452</v>
      </c>
      <c r="I2387">
        <f t="shared" ca="1" si="148"/>
        <v>65</v>
      </c>
      <c r="J2387" t="str">
        <f t="shared" ca="1" si="149"/>
        <v>60+</v>
      </c>
      <c r="K2387">
        <v>36090.99</v>
      </c>
      <c r="L2387" t="str">
        <f>IF(Workforce[[#This Row],[Salary]]&lt;50000,"30k-49k",IF(Workforce[[#This Row],[Salary]]&lt;70000,"50k-69k",IF(Workforce[[#This Row],[Salary]]&lt;90000,"70k-89k","90k+")))</f>
        <v>30k-49k</v>
      </c>
      <c r="M2387" t="s">
        <v>16453</v>
      </c>
      <c r="N2387">
        <f t="shared" ca="1" si="150"/>
        <v>1</v>
      </c>
      <c r="O2387" t="str">
        <f t="shared" ca="1" si="151"/>
        <v>Beginner</v>
      </c>
    </row>
    <row r="2388" spans="1:15" x14ac:dyDescent="0.3">
      <c r="A2388" t="s">
        <v>16454</v>
      </c>
      <c r="B2388" t="s">
        <v>16455</v>
      </c>
      <c r="C2388" t="s">
        <v>580</v>
      </c>
      <c r="D2388" t="s">
        <v>16456</v>
      </c>
      <c r="E2388" t="s">
        <v>16457</v>
      </c>
      <c r="F2388" t="s">
        <v>2020</v>
      </c>
      <c r="G2388" t="s">
        <v>16458</v>
      </c>
      <c r="H2388" t="s">
        <v>16459</v>
      </c>
      <c r="I2388">
        <f t="shared" ca="1" si="148"/>
        <v>50</v>
      </c>
      <c r="J2388" t="str">
        <f t="shared" ca="1" si="149"/>
        <v>50-59</v>
      </c>
      <c r="K2388">
        <v>117423.24</v>
      </c>
      <c r="L2388" t="str">
        <f>IF(Workforce[[#This Row],[Salary]]&lt;50000,"30k-49k",IF(Workforce[[#This Row],[Salary]]&lt;70000,"50k-69k",IF(Workforce[[#This Row],[Salary]]&lt;90000,"70k-89k","90k+")))</f>
        <v>90k+</v>
      </c>
      <c r="M2388" t="s">
        <v>9286</v>
      </c>
      <c r="N2388">
        <f t="shared" ca="1" si="150"/>
        <v>4</v>
      </c>
      <c r="O2388" t="str">
        <f t="shared" ca="1" si="151"/>
        <v>Intermediate level</v>
      </c>
    </row>
    <row r="2389" spans="1:15" x14ac:dyDescent="0.3">
      <c r="A2389" t="s">
        <v>16460</v>
      </c>
      <c r="B2389" t="s">
        <v>16461</v>
      </c>
      <c r="C2389" t="s">
        <v>257</v>
      </c>
      <c r="D2389" t="s">
        <v>16462</v>
      </c>
      <c r="E2389" t="s">
        <v>16463</v>
      </c>
      <c r="F2389" t="s">
        <v>199</v>
      </c>
      <c r="G2389" t="s">
        <v>16464</v>
      </c>
      <c r="H2389" t="s">
        <v>8545</v>
      </c>
      <c r="I2389">
        <f t="shared" ca="1" si="148"/>
        <v>62</v>
      </c>
      <c r="J2389" t="str">
        <f t="shared" ca="1" si="149"/>
        <v>60+</v>
      </c>
      <c r="K2389">
        <v>87999.81</v>
      </c>
      <c r="L2389" t="str">
        <f>IF(Workforce[[#This Row],[Salary]]&lt;50000,"30k-49k",IF(Workforce[[#This Row],[Salary]]&lt;70000,"50k-69k",IF(Workforce[[#This Row],[Salary]]&lt;90000,"70k-89k","90k+")))</f>
        <v>70k-89k</v>
      </c>
      <c r="M2389" t="s">
        <v>11156</v>
      </c>
      <c r="N2389">
        <f t="shared" ca="1" si="150"/>
        <v>8</v>
      </c>
      <c r="O2389" t="str">
        <f t="shared" ca="1" si="151"/>
        <v>Senior level</v>
      </c>
    </row>
    <row r="2390" spans="1:15" x14ac:dyDescent="0.3">
      <c r="A2390" t="s">
        <v>16465</v>
      </c>
      <c r="B2390" t="s">
        <v>16466</v>
      </c>
      <c r="C2390" t="s">
        <v>351</v>
      </c>
      <c r="D2390" t="s">
        <v>16467</v>
      </c>
      <c r="E2390" t="s">
        <v>16468</v>
      </c>
      <c r="F2390" t="s">
        <v>2036</v>
      </c>
      <c r="G2390" t="s">
        <v>16469</v>
      </c>
      <c r="H2390" t="s">
        <v>16470</v>
      </c>
      <c r="I2390">
        <f t="shared" ca="1" si="148"/>
        <v>26</v>
      </c>
      <c r="J2390" t="str">
        <f t="shared" ca="1" si="149"/>
        <v>18-29</v>
      </c>
      <c r="K2390">
        <v>104806.48</v>
      </c>
      <c r="L2390" t="str">
        <f>IF(Workforce[[#This Row],[Salary]]&lt;50000,"30k-49k",IF(Workforce[[#This Row],[Salary]]&lt;70000,"50k-69k",IF(Workforce[[#This Row],[Salary]]&lt;90000,"70k-89k","90k+")))</f>
        <v>90k+</v>
      </c>
      <c r="M2390" t="s">
        <v>16471</v>
      </c>
      <c r="N2390">
        <f t="shared" ca="1" si="150"/>
        <v>6</v>
      </c>
      <c r="O2390" t="str">
        <f t="shared" ca="1" si="151"/>
        <v>Intermediate level</v>
      </c>
    </row>
    <row r="2391" spans="1:15" x14ac:dyDescent="0.3">
      <c r="A2391" t="s">
        <v>16472</v>
      </c>
      <c r="B2391" t="s">
        <v>16473</v>
      </c>
      <c r="C2391" t="s">
        <v>351</v>
      </c>
      <c r="D2391" t="s">
        <v>16474</v>
      </c>
      <c r="E2391" t="s">
        <v>16475</v>
      </c>
      <c r="F2391" t="s">
        <v>4030</v>
      </c>
      <c r="G2391" t="s">
        <v>16476</v>
      </c>
      <c r="H2391" t="s">
        <v>16477</v>
      </c>
      <c r="I2391">
        <f t="shared" ca="1" si="148"/>
        <v>20</v>
      </c>
      <c r="J2391" t="str">
        <f t="shared" ca="1" si="149"/>
        <v>18-29</v>
      </c>
      <c r="K2391">
        <v>41514.839999999997</v>
      </c>
      <c r="L2391" t="str">
        <f>IF(Workforce[[#This Row],[Salary]]&lt;50000,"30k-49k",IF(Workforce[[#This Row],[Salary]]&lt;70000,"50k-69k",IF(Workforce[[#This Row],[Salary]]&lt;90000,"70k-89k","90k+")))</f>
        <v>30k-49k</v>
      </c>
      <c r="M2391" t="s">
        <v>16478</v>
      </c>
      <c r="N2391">
        <f t="shared" ca="1" si="150"/>
        <v>1</v>
      </c>
      <c r="O2391" t="str">
        <f t="shared" ca="1" si="151"/>
        <v>Beginner</v>
      </c>
    </row>
    <row r="2392" spans="1:15" x14ac:dyDescent="0.3">
      <c r="A2392" t="s">
        <v>16479</v>
      </c>
      <c r="B2392" t="s">
        <v>16480</v>
      </c>
      <c r="C2392" t="s">
        <v>284</v>
      </c>
      <c r="D2392" t="s">
        <v>16481</v>
      </c>
      <c r="E2392" t="s">
        <v>16482</v>
      </c>
      <c r="F2392" t="s">
        <v>4802</v>
      </c>
      <c r="G2392" t="s">
        <v>16483</v>
      </c>
      <c r="H2392" t="s">
        <v>16484</v>
      </c>
      <c r="I2392">
        <f t="shared" ca="1" si="148"/>
        <v>61</v>
      </c>
      <c r="J2392" t="str">
        <f t="shared" ca="1" si="149"/>
        <v>60+</v>
      </c>
      <c r="K2392">
        <v>112420.59</v>
      </c>
      <c r="L2392" t="str">
        <f>IF(Workforce[[#This Row],[Salary]]&lt;50000,"30k-49k",IF(Workforce[[#This Row],[Salary]]&lt;70000,"50k-69k",IF(Workforce[[#This Row],[Salary]]&lt;90000,"70k-89k","90k+")))</f>
        <v>90k+</v>
      </c>
      <c r="M2392" t="s">
        <v>16485</v>
      </c>
      <c r="N2392">
        <f t="shared" ca="1" si="150"/>
        <v>6</v>
      </c>
      <c r="O2392" t="str">
        <f t="shared" ca="1" si="151"/>
        <v>Intermediate level</v>
      </c>
    </row>
    <row r="2393" spans="1:15" x14ac:dyDescent="0.3">
      <c r="A2393" t="s">
        <v>16486</v>
      </c>
      <c r="B2393" t="s">
        <v>16487</v>
      </c>
      <c r="C2393" t="s">
        <v>351</v>
      </c>
      <c r="D2393" t="s">
        <v>16488</v>
      </c>
      <c r="E2393" t="s">
        <v>16489</v>
      </c>
      <c r="F2393" t="s">
        <v>5651</v>
      </c>
      <c r="G2393" t="s">
        <v>16490</v>
      </c>
      <c r="H2393" t="s">
        <v>16491</v>
      </c>
      <c r="I2393">
        <f t="shared" ca="1" si="148"/>
        <v>52</v>
      </c>
      <c r="J2393" t="str">
        <f t="shared" ca="1" si="149"/>
        <v>50-59</v>
      </c>
      <c r="K2393">
        <v>68251.009999999995</v>
      </c>
      <c r="L2393" t="str">
        <f>IF(Workforce[[#This Row],[Salary]]&lt;50000,"30k-49k",IF(Workforce[[#This Row],[Salary]]&lt;70000,"50k-69k",IF(Workforce[[#This Row],[Salary]]&lt;90000,"70k-89k","90k+")))</f>
        <v>50k-69k</v>
      </c>
      <c r="M2393" t="s">
        <v>11163</v>
      </c>
      <c r="N2393">
        <f t="shared" ca="1" si="150"/>
        <v>8</v>
      </c>
      <c r="O2393" t="str">
        <f t="shared" ca="1" si="151"/>
        <v>Senior level</v>
      </c>
    </row>
    <row r="2394" spans="1:15" x14ac:dyDescent="0.3">
      <c r="A2394" t="s">
        <v>16492</v>
      </c>
      <c r="B2394" t="s">
        <v>16493</v>
      </c>
      <c r="C2394" t="s">
        <v>97</v>
      </c>
      <c r="D2394" t="s">
        <v>16494</v>
      </c>
      <c r="E2394" t="s">
        <v>16495</v>
      </c>
      <c r="F2394" t="s">
        <v>831</v>
      </c>
      <c r="G2394" t="s">
        <v>16496</v>
      </c>
      <c r="H2394" t="s">
        <v>16497</v>
      </c>
      <c r="I2394">
        <f t="shared" ca="1" si="148"/>
        <v>19</v>
      </c>
      <c r="J2394" t="str">
        <f t="shared" ca="1" si="149"/>
        <v>18-29</v>
      </c>
      <c r="K2394">
        <v>33893.82</v>
      </c>
      <c r="L2394" t="str">
        <f>IF(Workforce[[#This Row],[Salary]]&lt;50000,"30k-49k",IF(Workforce[[#This Row],[Salary]]&lt;70000,"50k-69k",IF(Workforce[[#This Row],[Salary]]&lt;90000,"70k-89k","90k+")))</f>
        <v>30k-49k</v>
      </c>
      <c r="M2394" t="s">
        <v>16498</v>
      </c>
      <c r="N2394">
        <f t="shared" ca="1" si="150"/>
        <v>8</v>
      </c>
      <c r="O2394" t="str">
        <f t="shared" ca="1" si="151"/>
        <v>Senior level</v>
      </c>
    </row>
    <row r="2395" spans="1:15" x14ac:dyDescent="0.3">
      <c r="A2395" t="s">
        <v>16499</v>
      </c>
      <c r="B2395" t="s">
        <v>16500</v>
      </c>
      <c r="C2395" t="s">
        <v>748</v>
      </c>
      <c r="D2395" t="s">
        <v>16501</v>
      </c>
      <c r="E2395" t="s">
        <v>16502</v>
      </c>
      <c r="F2395" t="s">
        <v>3412</v>
      </c>
      <c r="G2395" t="s">
        <v>16503</v>
      </c>
      <c r="H2395" t="s">
        <v>16504</v>
      </c>
      <c r="I2395">
        <f t="shared" ca="1" si="148"/>
        <v>58</v>
      </c>
      <c r="J2395" t="str">
        <f t="shared" ca="1" si="149"/>
        <v>50-59</v>
      </c>
      <c r="K2395">
        <v>95458.13</v>
      </c>
      <c r="L2395" t="str">
        <f>IF(Workforce[[#This Row],[Salary]]&lt;50000,"30k-49k",IF(Workforce[[#This Row],[Salary]]&lt;70000,"50k-69k",IF(Workforce[[#This Row],[Salary]]&lt;90000,"70k-89k","90k+")))</f>
        <v>90k+</v>
      </c>
      <c r="M2395" t="s">
        <v>16505</v>
      </c>
      <c r="N2395">
        <f t="shared" ca="1" si="150"/>
        <v>4</v>
      </c>
      <c r="O2395" t="str">
        <f t="shared" ca="1" si="151"/>
        <v>Intermediate level</v>
      </c>
    </row>
    <row r="2396" spans="1:15" x14ac:dyDescent="0.3">
      <c r="A2396" t="s">
        <v>16117</v>
      </c>
      <c r="B2396" t="s">
        <v>16506</v>
      </c>
      <c r="C2396" t="s">
        <v>317</v>
      </c>
      <c r="D2396" t="s">
        <v>16507</v>
      </c>
      <c r="E2396" t="s">
        <v>16508</v>
      </c>
      <c r="F2396" t="s">
        <v>501</v>
      </c>
      <c r="G2396" t="s">
        <v>16509</v>
      </c>
      <c r="H2396" t="s">
        <v>16510</v>
      </c>
      <c r="I2396">
        <f t="shared" ca="1" si="148"/>
        <v>27</v>
      </c>
      <c r="J2396" t="str">
        <f t="shared" ca="1" si="149"/>
        <v>18-29</v>
      </c>
      <c r="K2396">
        <v>117446.04</v>
      </c>
      <c r="L2396" t="str">
        <f>IF(Workforce[[#This Row],[Salary]]&lt;50000,"30k-49k",IF(Workforce[[#This Row],[Salary]]&lt;70000,"50k-69k",IF(Workforce[[#This Row],[Salary]]&lt;90000,"70k-89k","90k+")))</f>
        <v>90k+</v>
      </c>
      <c r="M2396" t="s">
        <v>16511</v>
      </c>
      <c r="N2396">
        <f t="shared" ca="1" si="150"/>
        <v>3</v>
      </c>
      <c r="O2396" t="str">
        <f t="shared" ca="1" si="151"/>
        <v>Intermediate level</v>
      </c>
    </row>
    <row r="2397" spans="1:15" x14ac:dyDescent="0.3">
      <c r="A2397" t="s">
        <v>16512</v>
      </c>
      <c r="B2397" t="s">
        <v>16513</v>
      </c>
      <c r="C2397" t="s">
        <v>151</v>
      </c>
      <c r="D2397" t="s">
        <v>16514</v>
      </c>
      <c r="E2397" t="s">
        <v>16515</v>
      </c>
      <c r="F2397" t="s">
        <v>1503</v>
      </c>
      <c r="G2397" t="s">
        <v>16516</v>
      </c>
      <c r="H2397" t="s">
        <v>16517</v>
      </c>
      <c r="I2397">
        <f t="shared" ca="1" si="148"/>
        <v>41</v>
      </c>
      <c r="J2397" t="str">
        <f t="shared" ca="1" si="149"/>
        <v>40-49</v>
      </c>
      <c r="K2397">
        <v>34639.35</v>
      </c>
      <c r="L2397" t="str">
        <f>IF(Workforce[[#This Row],[Salary]]&lt;50000,"30k-49k",IF(Workforce[[#This Row],[Salary]]&lt;70000,"50k-69k",IF(Workforce[[#This Row],[Salary]]&lt;90000,"70k-89k","90k+")))</f>
        <v>30k-49k</v>
      </c>
      <c r="M2397" t="s">
        <v>16518</v>
      </c>
      <c r="N2397">
        <f t="shared" ca="1" si="150"/>
        <v>10</v>
      </c>
      <c r="O2397" t="str">
        <f t="shared" ca="1" si="151"/>
        <v>Senior level</v>
      </c>
    </row>
    <row r="2398" spans="1:15" x14ac:dyDescent="0.3">
      <c r="A2398" t="s">
        <v>16519</v>
      </c>
      <c r="B2398" t="s">
        <v>16520</v>
      </c>
      <c r="C2398" t="s">
        <v>133</v>
      </c>
      <c r="D2398" t="s">
        <v>16521</v>
      </c>
      <c r="E2398" t="s">
        <v>16522</v>
      </c>
      <c r="F2398" t="s">
        <v>6876</v>
      </c>
      <c r="G2398" t="s">
        <v>11872</v>
      </c>
      <c r="H2398" t="s">
        <v>4389</v>
      </c>
      <c r="I2398">
        <f t="shared" ca="1" si="148"/>
        <v>37</v>
      </c>
      <c r="J2398" t="str">
        <f t="shared" ca="1" si="149"/>
        <v>30-39</v>
      </c>
      <c r="K2398">
        <v>68422.28</v>
      </c>
      <c r="L2398" t="str">
        <f>IF(Workforce[[#This Row],[Salary]]&lt;50000,"30k-49k",IF(Workforce[[#This Row],[Salary]]&lt;70000,"50k-69k",IF(Workforce[[#This Row],[Salary]]&lt;90000,"70k-89k","90k+")))</f>
        <v>50k-69k</v>
      </c>
      <c r="M2398" t="s">
        <v>16523</v>
      </c>
      <c r="N2398">
        <f t="shared" ca="1" si="150"/>
        <v>3</v>
      </c>
      <c r="O2398" t="str">
        <f t="shared" ca="1" si="151"/>
        <v>Intermediate level</v>
      </c>
    </row>
    <row r="2399" spans="1:15" x14ac:dyDescent="0.3">
      <c r="A2399" t="s">
        <v>5740</v>
      </c>
      <c r="B2399" t="s">
        <v>16524</v>
      </c>
      <c r="C2399" t="s">
        <v>213</v>
      </c>
      <c r="D2399" t="s">
        <v>16525</v>
      </c>
      <c r="E2399" t="s">
        <v>16526</v>
      </c>
      <c r="F2399" t="s">
        <v>894</v>
      </c>
      <c r="G2399" t="s">
        <v>16527</v>
      </c>
      <c r="H2399" t="s">
        <v>6864</v>
      </c>
      <c r="I2399">
        <f t="shared" ca="1" si="148"/>
        <v>60</v>
      </c>
      <c r="J2399" t="str">
        <f t="shared" ca="1" si="149"/>
        <v>60+</v>
      </c>
      <c r="K2399">
        <v>111501.04</v>
      </c>
      <c r="L2399" t="str">
        <f>IF(Workforce[[#This Row],[Salary]]&lt;50000,"30k-49k",IF(Workforce[[#This Row],[Salary]]&lt;70000,"50k-69k",IF(Workforce[[#This Row],[Salary]]&lt;90000,"70k-89k","90k+")))</f>
        <v>90k+</v>
      </c>
      <c r="M2399" t="s">
        <v>8626</v>
      </c>
      <c r="N2399">
        <f t="shared" ca="1" si="150"/>
        <v>4</v>
      </c>
      <c r="O2399" t="str">
        <f t="shared" ca="1" si="151"/>
        <v>Intermediate level</v>
      </c>
    </row>
    <row r="2400" spans="1:15" x14ac:dyDescent="0.3">
      <c r="A2400" t="s">
        <v>16528</v>
      </c>
      <c r="B2400" t="s">
        <v>16529</v>
      </c>
      <c r="C2400" t="s">
        <v>240</v>
      </c>
      <c r="D2400" t="s">
        <v>16530</v>
      </c>
      <c r="E2400" t="s">
        <v>16531</v>
      </c>
      <c r="F2400" t="s">
        <v>4060</v>
      </c>
      <c r="G2400" t="s">
        <v>12445</v>
      </c>
      <c r="H2400" t="s">
        <v>16532</v>
      </c>
      <c r="I2400">
        <f t="shared" ca="1" si="148"/>
        <v>23</v>
      </c>
      <c r="J2400" t="str">
        <f t="shared" ca="1" si="149"/>
        <v>18-29</v>
      </c>
      <c r="K2400">
        <v>53032.36</v>
      </c>
      <c r="L2400" t="str">
        <f>IF(Workforce[[#This Row],[Salary]]&lt;50000,"30k-49k",IF(Workforce[[#This Row],[Salary]]&lt;70000,"50k-69k",IF(Workforce[[#This Row],[Salary]]&lt;90000,"70k-89k","90k+")))</f>
        <v>50k-69k</v>
      </c>
      <c r="M2400" t="s">
        <v>16533</v>
      </c>
      <c r="N2400">
        <f t="shared" ca="1" si="150"/>
        <v>6</v>
      </c>
      <c r="O2400" t="str">
        <f t="shared" ca="1" si="151"/>
        <v>Intermediate level</v>
      </c>
    </row>
    <row r="2401" spans="1:15" x14ac:dyDescent="0.3">
      <c r="A2401" t="s">
        <v>16534</v>
      </c>
      <c r="B2401" t="s">
        <v>16535</v>
      </c>
      <c r="C2401" t="s">
        <v>284</v>
      </c>
      <c r="D2401" t="s">
        <v>16536</v>
      </c>
      <c r="E2401" t="s">
        <v>16537</v>
      </c>
      <c r="F2401" t="s">
        <v>631</v>
      </c>
      <c r="G2401" t="s">
        <v>16538</v>
      </c>
      <c r="H2401" t="s">
        <v>14307</v>
      </c>
      <c r="I2401">
        <f t="shared" ca="1" si="148"/>
        <v>36</v>
      </c>
      <c r="J2401" t="str">
        <f t="shared" ca="1" si="149"/>
        <v>30-39</v>
      </c>
      <c r="K2401">
        <v>50533.279999999999</v>
      </c>
      <c r="L2401" t="str">
        <f>IF(Workforce[[#This Row],[Salary]]&lt;50000,"30k-49k",IF(Workforce[[#This Row],[Salary]]&lt;70000,"50k-69k",IF(Workforce[[#This Row],[Salary]]&lt;90000,"70k-89k","90k+")))</f>
        <v>50k-69k</v>
      </c>
      <c r="M2401" t="s">
        <v>175</v>
      </c>
      <c r="N2401">
        <f t="shared" ca="1" si="150"/>
        <v>5</v>
      </c>
      <c r="O2401" t="str">
        <f t="shared" ca="1" si="151"/>
        <v>Intermediate level</v>
      </c>
    </row>
    <row r="2402" spans="1:15" x14ac:dyDescent="0.3">
      <c r="A2402" t="s">
        <v>16539</v>
      </c>
      <c r="B2402" t="s">
        <v>16540</v>
      </c>
      <c r="C2402" t="s">
        <v>335</v>
      </c>
      <c r="D2402" t="s">
        <v>16541</v>
      </c>
      <c r="E2402" t="s">
        <v>16542</v>
      </c>
      <c r="F2402" t="s">
        <v>1153</v>
      </c>
      <c r="G2402" t="s">
        <v>16543</v>
      </c>
      <c r="H2402" t="s">
        <v>11819</v>
      </c>
      <c r="I2402">
        <f t="shared" ca="1" si="148"/>
        <v>36</v>
      </c>
      <c r="J2402" t="str">
        <f t="shared" ca="1" si="149"/>
        <v>30-39</v>
      </c>
      <c r="K2402">
        <v>109983.01</v>
      </c>
      <c r="L2402" t="str">
        <f>IF(Workforce[[#This Row],[Salary]]&lt;50000,"30k-49k",IF(Workforce[[#This Row],[Salary]]&lt;70000,"50k-69k",IF(Workforce[[#This Row],[Salary]]&lt;90000,"70k-89k","90k+")))</f>
        <v>90k+</v>
      </c>
      <c r="M2402" t="s">
        <v>16544</v>
      </c>
      <c r="N2402">
        <f t="shared" ca="1" si="150"/>
        <v>6</v>
      </c>
      <c r="O2402" t="str">
        <f t="shared" ca="1" si="151"/>
        <v>Intermediate level</v>
      </c>
    </row>
    <row r="2403" spans="1:15" x14ac:dyDescent="0.3">
      <c r="A2403" t="s">
        <v>16545</v>
      </c>
      <c r="B2403" t="s">
        <v>16546</v>
      </c>
      <c r="C2403" t="s">
        <v>2086</v>
      </c>
      <c r="D2403" t="s">
        <v>16547</v>
      </c>
      <c r="E2403" t="s">
        <v>16548</v>
      </c>
      <c r="F2403" t="s">
        <v>4082</v>
      </c>
      <c r="G2403" t="s">
        <v>16549</v>
      </c>
      <c r="H2403" t="s">
        <v>16550</v>
      </c>
      <c r="I2403">
        <f t="shared" ca="1" si="148"/>
        <v>41</v>
      </c>
      <c r="J2403" t="str">
        <f t="shared" ca="1" si="149"/>
        <v>40-49</v>
      </c>
      <c r="K2403">
        <v>67526.61</v>
      </c>
      <c r="L2403" t="str">
        <f>IF(Workforce[[#This Row],[Salary]]&lt;50000,"30k-49k",IF(Workforce[[#This Row],[Salary]]&lt;70000,"50k-69k",IF(Workforce[[#This Row],[Salary]]&lt;90000,"70k-89k","90k+")))</f>
        <v>50k-69k</v>
      </c>
      <c r="M2403" t="s">
        <v>103</v>
      </c>
      <c r="N2403">
        <f t="shared" ca="1" si="150"/>
        <v>9</v>
      </c>
      <c r="O2403" t="str">
        <f t="shared" ca="1" si="151"/>
        <v>Senior level</v>
      </c>
    </row>
    <row r="2404" spans="1:15" x14ac:dyDescent="0.3">
      <c r="A2404" t="s">
        <v>16551</v>
      </c>
      <c r="B2404" t="s">
        <v>16552</v>
      </c>
      <c r="C2404" t="s">
        <v>26</v>
      </c>
      <c r="D2404" t="s">
        <v>16553</v>
      </c>
      <c r="E2404" t="s">
        <v>16554</v>
      </c>
      <c r="F2404" t="s">
        <v>3753</v>
      </c>
      <c r="G2404" t="s">
        <v>30</v>
      </c>
      <c r="H2404" t="s">
        <v>16555</v>
      </c>
      <c r="I2404">
        <f t="shared" ca="1" si="148"/>
        <v>49</v>
      </c>
      <c r="J2404" t="str">
        <f t="shared" ca="1" si="149"/>
        <v>40-49</v>
      </c>
      <c r="K2404">
        <v>49705.39</v>
      </c>
      <c r="L2404" t="str">
        <f>IF(Workforce[[#This Row],[Salary]]&lt;50000,"30k-49k",IF(Workforce[[#This Row],[Salary]]&lt;70000,"50k-69k",IF(Workforce[[#This Row],[Salary]]&lt;90000,"70k-89k","90k+")))</f>
        <v>30k-49k</v>
      </c>
      <c r="M2404" t="s">
        <v>16556</v>
      </c>
      <c r="N2404">
        <f t="shared" ca="1" si="150"/>
        <v>6</v>
      </c>
      <c r="O2404" t="str">
        <f t="shared" ca="1" si="151"/>
        <v>Intermediate level</v>
      </c>
    </row>
    <row r="2405" spans="1:15" x14ac:dyDescent="0.3">
      <c r="A2405" t="s">
        <v>16557</v>
      </c>
      <c r="B2405" t="s">
        <v>16558</v>
      </c>
      <c r="C2405" t="s">
        <v>106</v>
      </c>
      <c r="D2405" t="s">
        <v>16559</v>
      </c>
      <c r="E2405" t="s">
        <v>16560</v>
      </c>
      <c r="F2405" t="s">
        <v>1488</v>
      </c>
      <c r="G2405" t="s">
        <v>16561</v>
      </c>
      <c r="H2405" t="s">
        <v>16562</v>
      </c>
      <c r="I2405">
        <f t="shared" ca="1" si="148"/>
        <v>21</v>
      </c>
      <c r="J2405" t="str">
        <f t="shared" ca="1" si="149"/>
        <v>18-29</v>
      </c>
      <c r="K2405">
        <v>47330.01</v>
      </c>
      <c r="L2405" t="str">
        <f>IF(Workforce[[#This Row],[Salary]]&lt;50000,"30k-49k",IF(Workforce[[#This Row],[Salary]]&lt;70000,"50k-69k",IF(Workforce[[#This Row],[Salary]]&lt;90000,"70k-89k","90k+")))</f>
        <v>30k-49k</v>
      </c>
      <c r="M2405" t="s">
        <v>16563</v>
      </c>
      <c r="N2405">
        <f t="shared" ca="1" si="150"/>
        <v>3</v>
      </c>
      <c r="O2405" t="str">
        <f t="shared" ca="1" si="151"/>
        <v>Intermediate level</v>
      </c>
    </row>
    <row r="2406" spans="1:15" x14ac:dyDescent="0.3">
      <c r="A2406" t="s">
        <v>16564</v>
      </c>
      <c r="B2406" t="s">
        <v>16565</v>
      </c>
      <c r="C2406" t="s">
        <v>187</v>
      </c>
      <c r="D2406" t="s">
        <v>16566</v>
      </c>
      <c r="E2406" t="s">
        <v>16567</v>
      </c>
      <c r="F2406" t="s">
        <v>1712</v>
      </c>
      <c r="G2406" t="s">
        <v>16568</v>
      </c>
      <c r="H2406" t="s">
        <v>16569</v>
      </c>
      <c r="I2406">
        <f t="shared" ca="1" si="148"/>
        <v>65</v>
      </c>
      <c r="J2406" t="str">
        <f t="shared" ca="1" si="149"/>
        <v>60+</v>
      </c>
      <c r="K2406">
        <v>70346.899999999994</v>
      </c>
      <c r="L2406" t="str">
        <f>IF(Workforce[[#This Row],[Salary]]&lt;50000,"30k-49k",IF(Workforce[[#This Row],[Salary]]&lt;70000,"50k-69k",IF(Workforce[[#This Row],[Salary]]&lt;90000,"70k-89k","90k+")))</f>
        <v>70k-89k</v>
      </c>
      <c r="M2406" t="s">
        <v>16570</v>
      </c>
      <c r="N2406">
        <f t="shared" ca="1" si="150"/>
        <v>4</v>
      </c>
      <c r="O2406" t="str">
        <f t="shared" ca="1" si="151"/>
        <v>Intermediate level</v>
      </c>
    </row>
    <row r="2407" spans="1:15" x14ac:dyDescent="0.3">
      <c r="A2407" t="s">
        <v>16571</v>
      </c>
      <c r="B2407" t="s">
        <v>16572</v>
      </c>
      <c r="C2407" t="s">
        <v>317</v>
      </c>
      <c r="D2407" t="s">
        <v>16573</v>
      </c>
      <c r="E2407" t="s">
        <v>16574</v>
      </c>
      <c r="F2407" t="s">
        <v>6391</v>
      </c>
      <c r="G2407" t="s">
        <v>16575</v>
      </c>
      <c r="H2407" t="s">
        <v>16576</v>
      </c>
      <c r="I2407">
        <f t="shared" ca="1" si="148"/>
        <v>37</v>
      </c>
      <c r="J2407" t="str">
        <f t="shared" ca="1" si="149"/>
        <v>30-39</v>
      </c>
      <c r="K2407">
        <v>106498.52</v>
      </c>
      <c r="L2407" t="str">
        <f>IF(Workforce[[#This Row],[Salary]]&lt;50000,"30k-49k",IF(Workforce[[#This Row],[Salary]]&lt;70000,"50k-69k",IF(Workforce[[#This Row],[Salary]]&lt;90000,"70k-89k","90k+")))</f>
        <v>90k+</v>
      </c>
      <c r="M2407" t="s">
        <v>10287</v>
      </c>
      <c r="N2407">
        <f t="shared" ca="1" si="150"/>
        <v>3</v>
      </c>
      <c r="O2407" t="str">
        <f t="shared" ca="1" si="151"/>
        <v>Intermediate level</v>
      </c>
    </row>
    <row r="2408" spans="1:15" x14ac:dyDescent="0.3">
      <c r="A2408" t="s">
        <v>16577</v>
      </c>
      <c r="B2408" t="s">
        <v>16578</v>
      </c>
      <c r="C2408" t="s">
        <v>213</v>
      </c>
      <c r="D2408" t="s">
        <v>16579</v>
      </c>
      <c r="E2408" t="s">
        <v>16580</v>
      </c>
      <c r="F2408" t="s">
        <v>1265</v>
      </c>
      <c r="G2408" t="s">
        <v>16581</v>
      </c>
      <c r="H2408" t="s">
        <v>16582</v>
      </c>
      <c r="I2408">
        <f t="shared" ca="1" si="148"/>
        <v>19</v>
      </c>
      <c r="J2408" t="str">
        <f t="shared" ca="1" si="149"/>
        <v>18-29</v>
      </c>
      <c r="K2408">
        <v>69492.19</v>
      </c>
      <c r="L2408" t="str">
        <f>IF(Workforce[[#This Row],[Salary]]&lt;50000,"30k-49k",IF(Workforce[[#This Row],[Salary]]&lt;70000,"50k-69k",IF(Workforce[[#This Row],[Salary]]&lt;90000,"70k-89k","90k+")))</f>
        <v>50k-69k</v>
      </c>
      <c r="M2408" t="s">
        <v>8189</v>
      </c>
      <c r="N2408">
        <f t="shared" ca="1" si="150"/>
        <v>6</v>
      </c>
      <c r="O2408" t="str">
        <f t="shared" ca="1" si="151"/>
        <v>Intermediate level</v>
      </c>
    </row>
    <row r="2409" spans="1:15" x14ac:dyDescent="0.3">
      <c r="A2409" t="s">
        <v>16583</v>
      </c>
      <c r="B2409" t="s">
        <v>16584</v>
      </c>
      <c r="C2409" t="s">
        <v>70</v>
      </c>
      <c r="D2409" t="s">
        <v>16585</v>
      </c>
      <c r="E2409" t="s">
        <v>16586</v>
      </c>
      <c r="F2409" t="s">
        <v>7845</v>
      </c>
      <c r="G2409" t="s">
        <v>16587</v>
      </c>
      <c r="H2409" t="s">
        <v>16588</v>
      </c>
      <c r="I2409">
        <f t="shared" ca="1" si="148"/>
        <v>65</v>
      </c>
      <c r="J2409" t="str">
        <f t="shared" ca="1" si="149"/>
        <v>60+</v>
      </c>
      <c r="K2409">
        <v>93847.47</v>
      </c>
      <c r="L2409" t="str">
        <f>IF(Workforce[[#This Row],[Salary]]&lt;50000,"30k-49k",IF(Workforce[[#This Row],[Salary]]&lt;70000,"50k-69k",IF(Workforce[[#This Row],[Salary]]&lt;90000,"70k-89k","90k+")))</f>
        <v>90k+</v>
      </c>
      <c r="M2409" t="s">
        <v>16589</v>
      </c>
      <c r="N2409">
        <f t="shared" ca="1" si="150"/>
        <v>2</v>
      </c>
      <c r="O2409" t="str">
        <f t="shared" ca="1" si="151"/>
        <v>Beginner</v>
      </c>
    </row>
    <row r="2410" spans="1:15" x14ac:dyDescent="0.3">
      <c r="A2410" t="s">
        <v>16590</v>
      </c>
      <c r="B2410" t="s">
        <v>16591</v>
      </c>
      <c r="C2410" t="s">
        <v>275</v>
      </c>
      <c r="D2410" t="s">
        <v>16592</v>
      </c>
      <c r="E2410" t="s">
        <v>16593</v>
      </c>
      <c r="F2410" t="s">
        <v>4321</v>
      </c>
      <c r="G2410" t="s">
        <v>16594</v>
      </c>
      <c r="H2410" t="s">
        <v>8837</v>
      </c>
      <c r="I2410">
        <f t="shared" ca="1" si="148"/>
        <v>47</v>
      </c>
      <c r="J2410" t="str">
        <f t="shared" ca="1" si="149"/>
        <v>40-49</v>
      </c>
      <c r="K2410">
        <v>113319.99</v>
      </c>
      <c r="L2410" t="str">
        <f>IF(Workforce[[#This Row],[Salary]]&lt;50000,"30k-49k",IF(Workforce[[#This Row],[Salary]]&lt;70000,"50k-69k",IF(Workforce[[#This Row],[Salary]]&lt;90000,"70k-89k","90k+")))</f>
        <v>90k+</v>
      </c>
      <c r="M2410" t="s">
        <v>16595</v>
      </c>
      <c r="N2410">
        <f t="shared" ca="1" si="150"/>
        <v>6</v>
      </c>
      <c r="O2410" t="str">
        <f t="shared" ca="1" si="151"/>
        <v>Intermediate level</v>
      </c>
    </row>
    <row r="2411" spans="1:15" x14ac:dyDescent="0.3">
      <c r="A2411" t="s">
        <v>16596</v>
      </c>
      <c r="B2411" t="s">
        <v>16597</v>
      </c>
      <c r="C2411" t="s">
        <v>26</v>
      </c>
      <c r="D2411" t="s">
        <v>16598</v>
      </c>
      <c r="E2411" t="s">
        <v>16599</v>
      </c>
      <c r="F2411" t="s">
        <v>8249</v>
      </c>
      <c r="G2411" t="s">
        <v>1658</v>
      </c>
      <c r="H2411" t="s">
        <v>16600</v>
      </c>
      <c r="I2411">
        <f t="shared" ca="1" si="148"/>
        <v>28</v>
      </c>
      <c r="J2411" t="str">
        <f t="shared" ca="1" si="149"/>
        <v>18-29</v>
      </c>
      <c r="K2411">
        <v>44221.72</v>
      </c>
      <c r="L2411" t="str">
        <f>IF(Workforce[[#This Row],[Salary]]&lt;50000,"30k-49k",IF(Workforce[[#This Row],[Salary]]&lt;70000,"50k-69k",IF(Workforce[[#This Row],[Salary]]&lt;90000,"70k-89k","90k+")))</f>
        <v>30k-49k</v>
      </c>
      <c r="M2411" t="s">
        <v>16601</v>
      </c>
      <c r="N2411">
        <f t="shared" ca="1" si="150"/>
        <v>1</v>
      </c>
      <c r="O2411" t="str">
        <f t="shared" ca="1" si="151"/>
        <v>Beginner</v>
      </c>
    </row>
    <row r="2412" spans="1:15" x14ac:dyDescent="0.3">
      <c r="A2412" t="s">
        <v>16602</v>
      </c>
      <c r="B2412" t="s">
        <v>16603</v>
      </c>
      <c r="C2412" t="s">
        <v>160</v>
      </c>
      <c r="D2412" t="s">
        <v>16604</v>
      </c>
      <c r="E2412" t="s">
        <v>16605</v>
      </c>
      <c r="F2412" t="s">
        <v>5206</v>
      </c>
      <c r="G2412" t="s">
        <v>16606</v>
      </c>
      <c r="H2412" t="s">
        <v>16607</v>
      </c>
      <c r="I2412">
        <f t="shared" ca="1" si="148"/>
        <v>61</v>
      </c>
      <c r="J2412" t="str">
        <f t="shared" ca="1" si="149"/>
        <v>60+</v>
      </c>
      <c r="K2412">
        <v>104552.38</v>
      </c>
      <c r="L2412" t="str">
        <f>IF(Workforce[[#This Row],[Salary]]&lt;50000,"30k-49k",IF(Workforce[[#This Row],[Salary]]&lt;70000,"50k-69k",IF(Workforce[[#This Row],[Salary]]&lt;90000,"70k-89k","90k+")))</f>
        <v>90k+</v>
      </c>
      <c r="M2412" t="s">
        <v>9715</v>
      </c>
      <c r="N2412">
        <f t="shared" ca="1" si="150"/>
        <v>7</v>
      </c>
      <c r="O2412" t="str">
        <f t="shared" ca="1" si="151"/>
        <v>Senior level</v>
      </c>
    </row>
    <row r="2413" spans="1:15" x14ac:dyDescent="0.3">
      <c r="A2413" t="s">
        <v>16608</v>
      </c>
      <c r="B2413" t="s">
        <v>16609</v>
      </c>
      <c r="C2413" t="s">
        <v>2086</v>
      </c>
      <c r="D2413" t="s">
        <v>16610</v>
      </c>
      <c r="E2413" t="s">
        <v>16611</v>
      </c>
      <c r="F2413" t="s">
        <v>3337</v>
      </c>
      <c r="G2413" t="s">
        <v>16612</v>
      </c>
      <c r="H2413" t="s">
        <v>16613</v>
      </c>
      <c r="I2413">
        <f t="shared" ca="1" si="148"/>
        <v>38</v>
      </c>
      <c r="J2413" t="str">
        <f t="shared" ca="1" si="149"/>
        <v>30-39</v>
      </c>
      <c r="K2413">
        <v>55152.53</v>
      </c>
      <c r="L2413" t="str">
        <f>IF(Workforce[[#This Row],[Salary]]&lt;50000,"30k-49k",IF(Workforce[[#This Row],[Salary]]&lt;70000,"50k-69k",IF(Workforce[[#This Row],[Salary]]&lt;90000,"70k-89k","90k+")))</f>
        <v>50k-69k</v>
      </c>
      <c r="M2413" t="s">
        <v>5724</v>
      </c>
      <c r="N2413">
        <f t="shared" ca="1" si="150"/>
        <v>8</v>
      </c>
      <c r="O2413" t="str">
        <f t="shared" ca="1" si="151"/>
        <v>Senior level</v>
      </c>
    </row>
    <row r="2414" spans="1:15" x14ac:dyDescent="0.3">
      <c r="A2414" t="s">
        <v>16614</v>
      </c>
      <c r="B2414" t="s">
        <v>16615</v>
      </c>
      <c r="C2414" t="s">
        <v>88</v>
      </c>
      <c r="D2414" t="s">
        <v>16616</v>
      </c>
      <c r="E2414" t="s">
        <v>16617</v>
      </c>
      <c r="F2414" t="s">
        <v>926</v>
      </c>
      <c r="G2414" t="s">
        <v>16618</v>
      </c>
      <c r="H2414" t="s">
        <v>2571</v>
      </c>
      <c r="I2414">
        <f t="shared" ca="1" si="148"/>
        <v>56</v>
      </c>
      <c r="J2414" t="str">
        <f t="shared" ca="1" si="149"/>
        <v>50-59</v>
      </c>
      <c r="K2414">
        <v>39654.07</v>
      </c>
      <c r="L2414" t="str">
        <f>IF(Workforce[[#This Row],[Salary]]&lt;50000,"30k-49k",IF(Workforce[[#This Row],[Salary]]&lt;70000,"50k-69k",IF(Workforce[[#This Row],[Salary]]&lt;90000,"70k-89k","90k+")))</f>
        <v>30k-49k</v>
      </c>
      <c r="M2414" t="s">
        <v>16619</v>
      </c>
      <c r="N2414">
        <f t="shared" ca="1" si="150"/>
        <v>9</v>
      </c>
      <c r="O2414" t="str">
        <f t="shared" ca="1" si="151"/>
        <v>Senior level</v>
      </c>
    </row>
    <row r="2415" spans="1:15" x14ac:dyDescent="0.3">
      <c r="A2415" t="s">
        <v>16620</v>
      </c>
      <c r="B2415" t="s">
        <v>16621</v>
      </c>
      <c r="C2415" t="s">
        <v>133</v>
      </c>
      <c r="D2415" t="s">
        <v>16622</v>
      </c>
      <c r="E2415" t="s">
        <v>16623</v>
      </c>
      <c r="F2415" t="s">
        <v>8835</v>
      </c>
      <c r="G2415" t="s">
        <v>16624</v>
      </c>
      <c r="H2415" t="s">
        <v>16625</v>
      </c>
      <c r="I2415">
        <f t="shared" ca="1" si="148"/>
        <v>41</v>
      </c>
      <c r="J2415" t="str">
        <f t="shared" ca="1" si="149"/>
        <v>40-49</v>
      </c>
      <c r="K2415">
        <v>50809.43</v>
      </c>
      <c r="L2415" t="str">
        <f>IF(Workforce[[#This Row],[Salary]]&lt;50000,"30k-49k",IF(Workforce[[#This Row],[Salary]]&lt;70000,"50k-69k",IF(Workforce[[#This Row],[Salary]]&lt;90000,"70k-89k","90k+")))</f>
        <v>50k-69k</v>
      </c>
      <c r="M2415" t="s">
        <v>10259</v>
      </c>
      <c r="N2415">
        <f t="shared" ca="1" si="150"/>
        <v>5</v>
      </c>
      <c r="O2415" t="str">
        <f t="shared" ca="1" si="151"/>
        <v>Intermediate level</v>
      </c>
    </row>
    <row r="2416" spans="1:15" x14ac:dyDescent="0.3">
      <c r="A2416" t="s">
        <v>16626</v>
      </c>
      <c r="B2416" t="s">
        <v>16627</v>
      </c>
      <c r="C2416" t="s">
        <v>995</v>
      </c>
      <c r="D2416" t="s">
        <v>16628</v>
      </c>
      <c r="E2416" t="s">
        <v>16629</v>
      </c>
      <c r="F2416" t="s">
        <v>426</v>
      </c>
      <c r="G2416" t="s">
        <v>16630</v>
      </c>
      <c r="H2416" t="s">
        <v>16631</v>
      </c>
      <c r="I2416">
        <f t="shared" ca="1" si="148"/>
        <v>32</v>
      </c>
      <c r="J2416" t="str">
        <f t="shared" ca="1" si="149"/>
        <v>30-39</v>
      </c>
      <c r="K2416">
        <v>41232.94</v>
      </c>
      <c r="L2416" t="str">
        <f>IF(Workforce[[#This Row],[Salary]]&lt;50000,"30k-49k",IF(Workforce[[#This Row],[Salary]]&lt;70000,"50k-69k",IF(Workforce[[#This Row],[Salary]]&lt;90000,"70k-89k","90k+")))</f>
        <v>30k-49k</v>
      </c>
      <c r="M2416" t="s">
        <v>11677</v>
      </c>
      <c r="N2416">
        <f t="shared" ca="1" si="150"/>
        <v>2</v>
      </c>
      <c r="O2416" t="str">
        <f t="shared" ca="1" si="151"/>
        <v>Beginner</v>
      </c>
    </row>
    <row r="2417" spans="1:15" x14ac:dyDescent="0.3">
      <c r="A2417" t="s">
        <v>11969</v>
      </c>
      <c r="B2417" t="s">
        <v>16632</v>
      </c>
      <c r="C2417" t="s">
        <v>61</v>
      </c>
      <c r="D2417" t="s">
        <v>16633</v>
      </c>
      <c r="E2417" t="s">
        <v>16634</v>
      </c>
      <c r="F2417" t="s">
        <v>16635</v>
      </c>
      <c r="G2417" t="s">
        <v>3704</v>
      </c>
      <c r="H2417" t="s">
        <v>16636</v>
      </c>
      <c r="I2417">
        <f t="shared" ca="1" si="148"/>
        <v>26</v>
      </c>
      <c r="J2417" t="str">
        <f t="shared" ca="1" si="149"/>
        <v>18-29</v>
      </c>
      <c r="K2417">
        <v>87690.23</v>
      </c>
      <c r="L2417" t="str">
        <f>IF(Workforce[[#This Row],[Salary]]&lt;50000,"30k-49k",IF(Workforce[[#This Row],[Salary]]&lt;70000,"50k-69k",IF(Workforce[[#This Row],[Salary]]&lt;90000,"70k-89k","90k+")))</f>
        <v>70k-89k</v>
      </c>
      <c r="M2417" t="s">
        <v>10335</v>
      </c>
      <c r="N2417">
        <f t="shared" ca="1" si="150"/>
        <v>4</v>
      </c>
      <c r="O2417" t="str">
        <f t="shared" ca="1" si="151"/>
        <v>Intermediate level</v>
      </c>
    </row>
    <row r="2418" spans="1:15" x14ac:dyDescent="0.3">
      <c r="A2418" t="s">
        <v>16637</v>
      </c>
      <c r="B2418" t="s">
        <v>16638</v>
      </c>
      <c r="C2418" t="s">
        <v>26</v>
      </c>
      <c r="D2418" t="s">
        <v>16639</v>
      </c>
      <c r="E2418" t="s">
        <v>16640</v>
      </c>
      <c r="F2418" t="s">
        <v>6827</v>
      </c>
      <c r="G2418" t="s">
        <v>16641</v>
      </c>
      <c r="H2418" t="s">
        <v>16642</v>
      </c>
      <c r="I2418">
        <f t="shared" ca="1" si="148"/>
        <v>44</v>
      </c>
      <c r="J2418" t="str">
        <f t="shared" ca="1" si="149"/>
        <v>40-49</v>
      </c>
      <c r="K2418">
        <v>105355.88</v>
      </c>
      <c r="L2418" t="str">
        <f>IF(Workforce[[#This Row],[Salary]]&lt;50000,"30k-49k",IF(Workforce[[#This Row],[Salary]]&lt;70000,"50k-69k",IF(Workforce[[#This Row],[Salary]]&lt;90000,"70k-89k","90k+")))</f>
        <v>90k+</v>
      </c>
      <c r="M2418" t="s">
        <v>12887</v>
      </c>
      <c r="N2418">
        <f t="shared" ca="1" si="150"/>
        <v>9</v>
      </c>
      <c r="O2418" t="str">
        <f t="shared" ca="1" si="151"/>
        <v>Senior level</v>
      </c>
    </row>
    <row r="2419" spans="1:15" x14ac:dyDescent="0.3">
      <c r="A2419" t="s">
        <v>16643</v>
      </c>
      <c r="B2419" t="s">
        <v>16644</v>
      </c>
      <c r="C2419" t="s">
        <v>169</v>
      </c>
      <c r="D2419" t="s">
        <v>16645</v>
      </c>
      <c r="E2419" t="s">
        <v>16646</v>
      </c>
      <c r="F2419" t="s">
        <v>3404</v>
      </c>
      <c r="G2419" t="s">
        <v>16647</v>
      </c>
      <c r="H2419" t="s">
        <v>16648</v>
      </c>
      <c r="I2419">
        <f t="shared" ca="1" si="148"/>
        <v>57</v>
      </c>
      <c r="J2419" t="str">
        <f t="shared" ca="1" si="149"/>
        <v>50-59</v>
      </c>
      <c r="K2419">
        <v>74415.360000000001</v>
      </c>
      <c r="L2419" t="str">
        <f>IF(Workforce[[#This Row],[Salary]]&lt;50000,"30k-49k",IF(Workforce[[#This Row],[Salary]]&lt;70000,"50k-69k",IF(Workforce[[#This Row],[Salary]]&lt;90000,"70k-89k","90k+")))</f>
        <v>70k-89k</v>
      </c>
      <c r="M2419" t="s">
        <v>16649</v>
      </c>
      <c r="N2419">
        <f t="shared" ca="1" si="150"/>
        <v>10</v>
      </c>
      <c r="O2419" t="str">
        <f t="shared" ca="1" si="151"/>
        <v>Senior level</v>
      </c>
    </row>
    <row r="2420" spans="1:15" x14ac:dyDescent="0.3">
      <c r="A2420" t="s">
        <v>16650</v>
      </c>
      <c r="B2420" t="s">
        <v>16651</v>
      </c>
      <c r="C2420" t="s">
        <v>2086</v>
      </c>
      <c r="D2420" t="s">
        <v>16652</v>
      </c>
      <c r="E2420" t="s">
        <v>16653</v>
      </c>
      <c r="F2420" t="s">
        <v>370</v>
      </c>
      <c r="G2420" t="s">
        <v>16654</v>
      </c>
      <c r="H2420" t="s">
        <v>16655</v>
      </c>
      <c r="I2420">
        <f t="shared" ca="1" si="148"/>
        <v>66</v>
      </c>
      <c r="J2420" t="str">
        <f t="shared" ca="1" si="149"/>
        <v>60+</v>
      </c>
      <c r="K2420">
        <v>47562.18</v>
      </c>
      <c r="L2420" t="str">
        <f>IF(Workforce[[#This Row],[Salary]]&lt;50000,"30k-49k",IF(Workforce[[#This Row],[Salary]]&lt;70000,"50k-69k",IF(Workforce[[#This Row],[Salary]]&lt;90000,"70k-89k","90k+")))</f>
        <v>30k-49k</v>
      </c>
      <c r="M2420" t="s">
        <v>1229</v>
      </c>
      <c r="N2420">
        <f t="shared" ca="1" si="150"/>
        <v>5</v>
      </c>
      <c r="O2420" t="str">
        <f t="shared" ca="1" si="151"/>
        <v>Intermediate level</v>
      </c>
    </row>
    <row r="2421" spans="1:15" x14ac:dyDescent="0.3">
      <c r="A2421" t="s">
        <v>16656</v>
      </c>
      <c r="B2421" t="s">
        <v>16657</v>
      </c>
      <c r="C2421" t="s">
        <v>17</v>
      </c>
      <c r="D2421" t="s">
        <v>16658</v>
      </c>
      <c r="E2421" t="s">
        <v>16659</v>
      </c>
      <c r="F2421" t="s">
        <v>3500</v>
      </c>
      <c r="G2421" t="s">
        <v>16660</v>
      </c>
      <c r="H2421" t="s">
        <v>339</v>
      </c>
      <c r="I2421">
        <f t="shared" ca="1" si="148"/>
        <v>39</v>
      </c>
      <c r="J2421" t="str">
        <f t="shared" ca="1" si="149"/>
        <v>30-39</v>
      </c>
      <c r="K2421">
        <v>94905.71</v>
      </c>
      <c r="L2421" t="str">
        <f>IF(Workforce[[#This Row],[Salary]]&lt;50000,"30k-49k",IF(Workforce[[#This Row],[Salary]]&lt;70000,"50k-69k",IF(Workforce[[#This Row],[Salary]]&lt;90000,"70k-89k","90k+")))</f>
        <v>90k+</v>
      </c>
      <c r="M2421" t="s">
        <v>16661</v>
      </c>
      <c r="N2421">
        <f t="shared" ca="1" si="150"/>
        <v>5</v>
      </c>
      <c r="O2421" t="str">
        <f t="shared" ca="1" si="151"/>
        <v>Intermediate level</v>
      </c>
    </row>
    <row r="2422" spans="1:15" x14ac:dyDescent="0.3">
      <c r="A2422" t="s">
        <v>16662</v>
      </c>
      <c r="B2422" t="s">
        <v>16663</v>
      </c>
      <c r="C2422" t="s">
        <v>995</v>
      </c>
      <c r="D2422" t="s">
        <v>16664</v>
      </c>
      <c r="E2422" t="s">
        <v>16665</v>
      </c>
      <c r="F2422" t="s">
        <v>64</v>
      </c>
      <c r="G2422" t="s">
        <v>16666</v>
      </c>
      <c r="H2422" t="s">
        <v>16667</v>
      </c>
      <c r="I2422">
        <f t="shared" ca="1" si="148"/>
        <v>44</v>
      </c>
      <c r="J2422" t="str">
        <f t="shared" ca="1" si="149"/>
        <v>40-49</v>
      </c>
      <c r="K2422">
        <v>36945.25</v>
      </c>
      <c r="L2422" t="str">
        <f>IF(Workforce[[#This Row],[Salary]]&lt;50000,"30k-49k",IF(Workforce[[#This Row],[Salary]]&lt;70000,"50k-69k",IF(Workforce[[#This Row],[Salary]]&lt;90000,"70k-89k","90k+")))</f>
        <v>30k-49k</v>
      </c>
      <c r="M2422" t="s">
        <v>12894</v>
      </c>
      <c r="N2422">
        <f t="shared" ca="1" si="150"/>
        <v>4</v>
      </c>
      <c r="O2422" t="str">
        <f t="shared" ca="1" si="151"/>
        <v>Intermediate level</v>
      </c>
    </row>
    <row r="2423" spans="1:15" x14ac:dyDescent="0.3">
      <c r="A2423" t="s">
        <v>16668</v>
      </c>
      <c r="B2423" t="s">
        <v>16669</v>
      </c>
      <c r="C2423" t="s">
        <v>124</v>
      </c>
      <c r="D2423" t="s">
        <v>16670</v>
      </c>
      <c r="E2423" t="s">
        <v>16671</v>
      </c>
      <c r="F2423" t="s">
        <v>5516</v>
      </c>
      <c r="G2423" t="s">
        <v>16672</v>
      </c>
      <c r="H2423" t="s">
        <v>16673</v>
      </c>
      <c r="I2423">
        <f t="shared" ca="1" si="148"/>
        <v>54</v>
      </c>
      <c r="J2423" t="str">
        <f t="shared" ca="1" si="149"/>
        <v>50-59</v>
      </c>
      <c r="K2423">
        <v>71334.45</v>
      </c>
      <c r="L2423" t="str">
        <f>IF(Workforce[[#This Row],[Salary]]&lt;50000,"30k-49k",IF(Workforce[[#This Row],[Salary]]&lt;70000,"50k-69k",IF(Workforce[[#This Row],[Salary]]&lt;90000,"70k-89k","90k+")))</f>
        <v>70k-89k</v>
      </c>
      <c r="M2423" t="s">
        <v>7323</v>
      </c>
      <c r="N2423">
        <f t="shared" ca="1" si="150"/>
        <v>3</v>
      </c>
      <c r="O2423" t="str">
        <f t="shared" ca="1" si="151"/>
        <v>Intermediate level</v>
      </c>
    </row>
    <row r="2424" spans="1:15" x14ac:dyDescent="0.3">
      <c r="A2424" t="s">
        <v>16674</v>
      </c>
      <c r="B2424" t="s">
        <v>16675</v>
      </c>
      <c r="C2424" t="s">
        <v>539</v>
      </c>
      <c r="D2424" t="s">
        <v>16676</v>
      </c>
      <c r="E2424" t="s">
        <v>16677</v>
      </c>
      <c r="F2424" t="s">
        <v>16678</v>
      </c>
      <c r="G2424" t="s">
        <v>16679</v>
      </c>
      <c r="H2424" t="s">
        <v>1204</v>
      </c>
      <c r="I2424">
        <f t="shared" ca="1" si="148"/>
        <v>59</v>
      </c>
      <c r="J2424" t="str">
        <f t="shared" ca="1" si="149"/>
        <v>50-59</v>
      </c>
      <c r="K2424">
        <v>101599.75</v>
      </c>
      <c r="L2424" t="str">
        <f>IF(Workforce[[#This Row],[Salary]]&lt;50000,"30k-49k",IF(Workforce[[#This Row],[Salary]]&lt;70000,"50k-69k",IF(Workforce[[#This Row],[Salary]]&lt;90000,"70k-89k","90k+")))</f>
        <v>90k+</v>
      </c>
      <c r="M2424" t="s">
        <v>11186</v>
      </c>
      <c r="N2424">
        <f t="shared" ca="1" si="150"/>
        <v>6</v>
      </c>
      <c r="O2424" t="str">
        <f t="shared" ca="1" si="151"/>
        <v>Intermediate level</v>
      </c>
    </row>
    <row r="2425" spans="1:15" x14ac:dyDescent="0.3">
      <c r="A2425" t="s">
        <v>16680</v>
      </c>
      <c r="B2425" t="s">
        <v>16681</v>
      </c>
      <c r="C2425" t="s">
        <v>61</v>
      </c>
      <c r="D2425" t="s">
        <v>16682</v>
      </c>
      <c r="E2425" t="s">
        <v>16683</v>
      </c>
      <c r="F2425" t="s">
        <v>615</v>
      </c>
      <c r="G2425" t="s">
        <v>16684</v>
      </c>
      <c r="H2425" t="s">
        <v>16685</v>
      </c>
      <c r="I2425">
        <f t="shared" ca="1" si="148"/>
        <v>45</v>
      </c>
      <c r="J2425" t="str">
        <f t="shared" ca="1" si="149"/>
        <v>40-49</v>
      </c>
      <c r="K2425">
        <v>99554.8</v>
      </c>
      <c r="L2425" t="str">
        <f>IF(Workforce[[#This Row],[Salary]]&lt;50000,"30k-49k",IF(Workforce[[#This Row],[Salary]]&lt;70000,"50k-69k",IF(Workforce[[#This Row],[Salary]]&lt;90000,"70k-89k","90k+")))</f>
        <v>90k+</v>
      </c>
      <c r="M2425" t="s">
        <v>8901</v>
      </c>
      <c r="N2425">
        <f t="shared" ca="1" si="150"/>
        <v>9</v>
      </c>
      <c r="O2425" t="str">
        <f t="shared" ca="1" si="151"/>
        <v>Senior level</v>
      </c>
    </row>
    <row r="2426" spans="1:15" x14ac:dyDescent="0.3">
      <c r="A2426" t="s">
        <v>16686</v>
      </c>
      <c r="B2426" t="s">
        <v>16687</v>
      </c>
      <c r="C2426" t="s">
        <v>275</v>
      </c>
      <c r="D2426" t="s">
        <v>16688</v>
      </c>
      <c r="E2426" t="s">
        <v>16689</v>
      </c>
      <c r="F2426" t="s">
        <v>6247</v>
      </c>
      <c r="G2426" t="s">
        <v>16690</v>
      </c>
      <c r="H2426" t="s">
        <v>16691</v>
      </c>
      <c r="I2426">
        <f t="shared" ca="1" si="148"/>
        <v>29</v>
      </c>
      <c r="J2426" t="str">
        <f t="shared" ca="1" si="149"/>
        <v>18-29</v>
      </c>
      <c r="K2426">
        <v>44444.13</v>
      </c>
      <c r="L2426" t="str">
        <f>IF(Workforce[[#This Row],[Salary]]&lt;50000,"30k-49k",IF(Workforce[[#This Row],[Salary]]&lt;70000,"50k-69k",IF(Workforce[[#This Row],[Salary]]&lt;90000,"70k-89k","90k+")))</f>
        <v>30k-49k</v>
      </c>
      <c r="M2426" t="s">
        <v>16692</v>
      </c>
      <c r="N2426">
        <f t="shared" ca="1" si="150"/>
        <v>2</v>
      </c>
      <c r="O2426" t="str">
        <f t="shared" ca="1" si="151"/>
        <v>Beginner</v>
      </c>
    </row>
    <row r="2427" spans="1:15" x14ac:dyDescent="0.3">
      <c r="A2427" t="s">
        <v>16693</v>
      </c>
      <c r="B2427" t="s">
        <v>16694</v>
      </c>
      <c r="C2427" t="s">
        <v>482</v>
      </c>
      <c r="D2427" t="s">
        <v>16695</v>
      </c>
      <c r="E2427" t="s">
        <v>16696</v>
      </c>
      <c r="F2427" t="s">
        <v>1304</v>
      </c>
      <c r="G2427" t="s">
        <v>16697</v>
      </c>
      <c r="H2427" t="s">
        <v>16698</v>
      </c>
      <c r="I2427">
        <f t="shared" ca="1" si="148"/>
        <v>66</v>
      </c>
      <c r="J2427" t="str">
        <f t="shared" ca="1" si="149"/>
        <v>60+</v>
      </c>
      <c r="K2427">
        <v>105086.93</v>
      </c>
      <c r="L2427" t="str">
        <f>IF(Workforce[[#This Row],[Salary]]&lt;50000,"30k-49k",IF(Workforce[[#This Row],[Salary]]&lt;70000,"50k-69k",IF(Workforce[[#This Row],[Salary]]&lt;90000,"70k-89k","90k+")))</f>
        <v>90k+</v>
      </c>
      <c r="M2427" t="s">
        <v>16699</v>
      </c>
      <c r="N2427">
        <f t="shared" ca="1" si="150"/>
        <v>8</v>
      </c>
      <c r="O2427" t="str">
        <f t="shared" ca="1" si="151"/>
        <v>Senior level</v>
      </c>
    </row>
    <row r="2428" spans="1:15" x14ac:dyDescent="0.3">
      <c r="A2428" t="s">
        <v>16700</v>
      </c>
      <c r="B2428" t="s">
        <v>16701</v>
      </c>
      <c r="C2428" t="s">
        <v>106</v>
      </c>
      <c r="D2428" t="s">
        <v>16702</v>
      </c>
      <c r="E2428" t="s">
        <v>16703</v>
      </c>
      <c r="F2428" t="s">
        <v>2051</v>
      </c>
      <c r="G2428" t="s">
        <v>16704</v>
      </c>
      <c r="H2428" t="s">
        <v>16705</v>
      </c>
      <c r="I2428">
        <f t="shared" ca="1" si="148"/>
        <v>49</v>
      </c>
      <c r="J2428" t="str">
        <f t="shared" ca="1" si="149"/>
        <v>40-49</v>
      </c>
      <c r="K2428">
        <v>72750.48</v>
      </c>
      <c r="L2428" t="str">
        <f>IF(Workforce[[#This Row],[Salary]]&lt;50000,"30k-49k",IF(Workforce[[#This Row],[Salary]]&lt;70000,"50k-69k",IF(Workforce[[#This Row],[Salary]]&lt;90000,"70k-89k","90k+")))</f>
        <v>70k-89k</v>
      </c>
      <c r="M2428" t="s">
        <v>8431</v>
      </c>
      <c r="N2428">
        <f t="shared" ca="1" si="150"/>
        <v>4</v>
      </c>
      <c r="O2428" t="str">
        <f t="shared" ca="1" si="151"/>
        <v>Intermediate level</v>
      </c>
    </row>
    <row r="2429" spans="1:15" x14ac:dyDescent="0.3">
      <c r="A2429" t="s">
        <v>16706</v>
      </c>
      <c r="B2429" t="s">
        <v>16707</v>
      </c>
      <c r="C2429" t="s">
        <v>317</v>
      </c>
      <c r="D2429" t="s">
        <v>16708</v>
      </c>
      <c r="E2429" t="s">
        <v>16709</v>
      </c>
      <c r="F2429" t="s">
        <v>2446</v>
      </c>
      <c r="G2429" t="s">
        <v>16710</v>
      </c>
      <c r="H2429" t="s">
        <v>16711</v>
      </c>
      <c r="I2429">
        <f t="shared" ca="1" si="148"/>
        <v>37</v>
      </c>
      <c r="J2429" t="str">
        <f t="shared" ca="1" si="149"/>
        <v>30-39</v>
      </c>
      <c r="K2429">
        <v>30953.599999999999</v>
      </c>
      <c r="L2429" t="str">
        <f>IF(Workforce[[#This Row],[Salary]]&lt;50000,"30k-49k",IF(Workforce[[#This Row],[Salary]]&lt;70000,"50k-69k",IF(Workforce[[#This Row],[Salary]]&lt;90000,"70k-89k","90k+")))</f>
        <v>30k-49k</v>
      </c>
      <c r="M2429" t="s">
        <v>16712</v>
      </c>
      <c r="N2429">
        <f t="shared" ca="1" si="150"/>
        <v>1</v>
      </c>
      <c r="O2429" t="str">
        <f t="shared" ca="1" si="151"/>
        <v>Beginner</v>
      </c>
    </row>
    <row r="2430" spans="1:15" x14ac:dyDescent="0.3">
      <c r="A2430" t="s">
        <v>16713</v>
      </c>
      <c r="B2430" t="s">
        <v>16714</v>
      </c>
      <c r="C2430" t="s">
        <v>133</v>
      </c>
      <c r="D2430" t="s">
        <v>16715</v>
      </c>
      <c r="E2430" t="s">
        <v>16716</v>
      </c>
      <c r="F2430" t="s">
        <v>10080</v>
      </c>
      <c r="G2430" t="s">
        <v>16717</v>
      </c>
      <c r="H2430" t="s">
        <v>16718</v>
      </c>
      <c r="I2430">
        <f t="shared" ca="1" si="148"/>
        <v>60</v>
      </c>
      <c r="J2430" t="str">
        <f t="shared" ca="1" si="149"/>
        <v>60+</v>
      </c>
      <c r="K2430">
        <v>62354.07</v>
      </c>
      <c r="L2430" t="str">
        <f>IF(Workforce[[#This Row],[Salary]]&lt;50000,"30k-49k",IF(Workforce[[#This Row],[Salary]]&lt;70000,"50k-69k",IF(Workforce[[#This Row],[Salary]]&lt;90000,"70k-89k","90k+")))</f>
        <v>50k-69k</v>
      </c>
      <c r="M2430" t="s">
        <v>16719</v>
      </c>
      <c r="N2430">
        <f t="shared" ca="1" si="150"/>
        <v>2</v>
      </c>
      <c r="O2430" t="str">
        <f t="shared" ca="1" si="151"/>
        <v>Beginner</v>
      </c>
    </row>
    <row r="2431" spans="1:15" x14ac:dyDescent="0.3">
      <c r="A2431" t="s">
        <v>16720</v>
      </c>
      <c r="B2431" t="s">
        <v>16721</v>
      </c>
      <c r="C2431" t="s">
        <v>1004</v>
      </c>
      <c r="D2431" t="s">
        <v>16722</v>
      </c>
      <c r="E2431" t="s">
        <v>16723</v>
      </c>
      <c r="F2431" t="s">
        <v>7226</v>
      </c>
      <c r="G2431" t="s">
        <v>10864</v>
      </c>
      <c r="H2431" t="s">
        <v>16724</v>
      </c>
      <c r="I2431">
        <f t="shared" ca="1" si="148"/>
        <v>38</v>
      </c>
      <c r="J2431" t="str">
        <f t="shared" ca="1" si="149"/>
        <v>30-39</v>
      </c>
      <c r="K2431">
        <v>80772.05</v>
      </c>
      <c r="L2431" t="str">
        <f>IF(Workforce[[#This Row],[Salary]]&lt;50000,"30k-49k",IF(Workforce[[#This Row],[Salary]]&lt;70000,"50k-69k",IF(Workforce[[#This Row],[Salary]]&lt;90000,"70k-89k","90k+")))</f>
        <v>70k-89k</v>
      </c>
      <c r="M2431" t="s">
        <v>16725</v>
      </c>
      <c r="N2431">
        <f t="shared" ca="1" si="150"/>
        <v>7</v>
      </c>
      <c r="O2431" t="str">
        <f t="shared" ca="1" si="151"/>
        <v>Senior level</v>
      </c>
    </row>
    <row r="2432" spans="1:15" x14ac:dyDescent="0.3">
      <c r="A2432" t="s">
        <v>16726</v>
      </c>
      <c r="B2432" t="s">
        <v>16727</v>
      </c>
      <c r="C2432" t="s">
        <v>1223</v>
      </c>
      <c r="D2432" t="s">
        <v>16728</v>
      </c>
      <c r="E2432" t="s">
        <v>16729</v>
      </c>
      <c r="F2432" t="s">
        <v>7439</v>
      </c>
      <c r="G2432" t="s">
        <v>16476</v>
      </c>
      <c r="H2432" t="s">
        <v>16730</v>
      </c>
      <c r="I2432">
        <f t="shared" ca="1" si="148"/>
        <v>49</v>
      </c>
      <c r="J2432" t="str">
        <f t="shared" ca="1" si="149"/>
        <v>40-49</v>
      </c>
      <c r="K2432">
        <v>53125.73</v>
      </c>
      <c r="L2432" t="str">
        <f>IF(Workforce[[#This Row],[Salary]]&lt;50000,"30k-49k",IF(Workforce[[#This Row],[Salary]]&lt;70000,"50k-69k",IF(Workforce[[#This Row],[Salary]]&lt;90000,"70k-89k","90k+")))</f>
        <v>50k-69k</v>
      </c>
      <c r="M2432" t="s">
        <v>16731</v>
      </c>
      <c r="N2432">
        <f t="shared" ca="1" si="150"/>
        <v>5</v>
      </c>
      <c r="O2432" t="str">
        <f t="shared" ca="1" si="151"/>
        <v>Intermediate level</v>
      </c>
    </row>
    <row r="2433" spans="1:15" x14ac:dyDescent="0.3">
      <c r="A2433" t="s">
        <v>16732</v>
      </c>
      <c r="B2433" t="s">
        <v>16733</v>
      </c>
      <c r="C2433" t="s">
        <v>335</v>
      </c>
      <c r="D2433" t="s">
        <v>16734</v>
      </c>
      <c r="E2433" t="s">
        <v>16735</v>
      </c>
      <c r="F2433" t="s">
        <v>6290</v>
      </c>
      <c r="G2433" t="s">
        <v>16736</v>
      </c>
      <c r="H2433" t="s">
        <v>16737</v>
      </c>
      <c r="I2433">
        <f t="shared" ca="1" si="148"/>
        <v>61</v>
      </c>
      <c r="J2433" t="str">
        <f t="shared" ca="1" si="149"/>
        <v>60+</v>
      </c>
      <c r="K2433">
        <v>114672.99</v>
      </c>
      <c r="L2433" t="str">
        <f>IF(Workforce[[#This Row],[Salary]]&lt;50000,"30k-49k",IF(Workforce[[#This Row],[Salary]]&lt;70000,"50k-69k",IF(Workforce[[#This Row],[Salary]]&lt;90000,"70k-89k","90k+")))</f>
        <v>90k+</v>
      </c>
      <c r="M2433" t="s">
        <v>16738</v>
      </c>
      <c r="N2433">
        <f t="shared" ca="1" si="150"/>
        <v>3</v>
      </c>
      <c r="O2433" t="str">
        <f t="shared" ca="1" si="151"/>
        <v>Intermediate level</v>
      </c>
    </row>
    <row r="2434" spans="1:15" x14ac:dyDescent="0.3">
      <c r="A2434" t="s">
        <v>16739</v>
      </c>
      <c r="B2434" t="s">
        <v>16740</v>
      </c>
      <c r="C2434" t="s">
        <v>1004</v>
      </c>
      <c r="D2434" t="s">
        <v>16741</v>
      </c>
      <c r="E2434" t="s">
        <v>16742</v>
      </c>
      <c r="F2434" t="s">
        <v>2358</v>
      </c>
      <c r="G2434" t="s">
        <v>16743</v>
      </c>
      <c r="H2434" t="s">
        <v>16744</v>
      </c>
      <c r="I2434">
        <f t="shared" ref="I2434:I2497" ca="1" si="152">DATEDIF(H2434,TODAY(),"y")</f>
        <v>54</v>
      </c>
      <c r="J2434" t="str">
        <f t="shared" ref="J2434:J2497" ca="1" si="153">IF(I2434&lt;30,"18-29",IF(I2434&lt;40,"30-39",IF(I2434&lt;50,"40-49",IF(I2434&lt;60,"50-59","60+"))))</f>
        <v>50-59</v>
      </c>
      <c r="K2434">
        <v>47706.95</v>
      </c>
      <c r="L2434" t="str">
        <f>IF(Workforce[[#This Row],[Salary]]&lt;50000,"30k-49k",IF(Workforce[[#This Row],[Salary]]&lt;70000,"50k-69k",IF(Workforce[[#This Row],[Salary]]&lt;90000,"70k-89k","90k+")))</f>
        <v>30k-49k</v>
      </c>
      <c r="M2434" t="s">
        <v>5397</v>
      </c>
      <c r="N2434">
        <f t="shared" ref="N2434:N2497" ca="1" si="154">DATEDIF(M2434,TODAY(),"y")</f>
        <v>2</v>
      </c>
      <c r="O2434" t="str">
        <f t="shared" ref="O2434:O2497" ca="1" si="155">IF(N2434&lt;=2,"Beginner",IF(N2434&lt;=6,"Intermediate level","Senior level"))</f>
        <v>Beginner</v>
      </c>
    </row>
    <row r="2435" spans="1:15" x14ac:dyDescent="0.3">
      <c r="A2435" t="s">
        <v>16745</v>
      </c>
      <c r="B2435" t="s">
        <v>16746</v>
      </c>
      <c r="C2435" t="s">
        <v>482</v>
      </c>
      <c r="D2435" t="s">
        <v>16747</v>
      </c>
      <c r="E2435" t="s">
        <v>16748</v>
      </c>
      <c r="F2435" t="s">
        <v>434</v>
      </c>
      <c r="G2435" t="s">
        <v>10710</v>
      </c>
      <c r="H2435" t="s">
        <v>16749</v>
      </c>
      <c r="I2435">
        <f t="shared" ca="1" si="152"/>
        <v>30</v>
      </c>
      <c r="J2435" t="str">
        <f t="shared" ca="1" si="153"/>
        <v>30-39</v>
      </c>
      <c r="K2435">
        <v>60567.59</v>
      </c>
      <c r="L2435" t="str">
        <f>IF(Workforce[[#This Row],[Salary]]&lt;50000,"30k-49k",IF(Workforce[[#This Row],[Salary]]&lt;70000,"50k-69k",IF(Workforce[[#This Row],[Salary]]&lt;90000,"70k-89k","90k+")))</f>
        <v>50k-69k</v>
      </c>
      <c r="M2435" t="s">
        <v>16750</v>
      </c>
      <c r="N2435">
        <f t="shared" ca="1" si="154"/>
        <v>1</v>
      </c>
      <c r="O2435" t="str">
        <f t="shared" ca="1" si="155"/>
        <v>Beginner</v>
      </c>
    </row>
    <row r="2436" spans="1:15" x14ac:dyDescent="0.3">
      <c r="A2436" t="s">
        <v>16751</v>
      </c>
      <c r="B2436" t="s">
        <v>16752</v>
      </c>
      <c r="C2436" t="s">
        <v>335</v>
      </c>
      <c r="D2436" t="s">
        <v>16753</v>
      </c>
      <c r="E2436" t="s">
        <v>16754</v>
      </c>
      <c r="F2436" t="s">
        <v>4030</v>
      </c>
      <c r="G2436" t="s">
        <v>16755</v>
      </c>
      <c r="H2436" t="s">
        <v>3295</v>
      </c>
      <c r="I2436">
        <f t="shared" ca="1" si="152"/>
        <v>32</v>
      </c>
      <c r="J2436" t="str">
        <f t="shared" ca="1" si="153"/>
        <v>30-39</v>
      </c>
      <c r="K2436">
        <v>111475.83</v>
      </c>
      <c r="L2436" t="str">
        <f>IF(Workforce[[#This Row],[Salary]]&lt;50000,"30k-49k",IF(Workforce[[#This Row],[Salary]]&lt;70000,"50k-69k",IF(Workforce[[#This Row],[Salary]]&lt;90000,"70k-89k","90k+")))</f>
        <v>90k+</v>
      </c>
      <c r="M2436" t="s">
        <v>16756</v>
      </c>
      <c r="N2436">
        <f t="shared" ca="1" si="154"/>
        <v>3</v>
      </c>
      <c r="O2436" t="str">
        <f t="shared" ca="1" si="155"/>
        <v>Intermediate level</v>
      </c>
    </row>
    <row r="2437" spans="1:15" x14ac:dyDescent="0.3">
      <c r="A2437" t="s">
        <v>16757</v>
      </c>
      <c r="B2437" t="s">
        <v>16758</v>
      </c>
      <c r="C2437" t="s">
        <v>275</v>
      </c>
      <c r="D2437" t="s">
        <v>16759</v>
      </c>
      <c r="E2437" t="s">
        <v>16760</v>
      </c>
      <c r="F2437" t="s">
        <v>1115</v>
      </c>
      <c r="G2437" t="s">
        <v>16761</v>
      </c>
      <c r="H2437" t="s">
        <v>16762</v>
      </c>
      <c r="I2437">
        <f t="shared" ca="1" si="152"/>
        <v>22</v>
      </c>
      <c r="J2437" t="str">
        <f t="shared" ca="1" si="153"/>
        <v>18-29</v>
      </c>
      <c r="K2437">
        <v>108355.84</v>
      </c>
      <c r="L2437" t="str">
        <f>IF(Workforce[[#This Row],[Salary]]&lt;50000,"30k-49k",IF(Workforce[[#This Row],[Salary]]&lt;70000,"50k-69k",IF(Workforce[[#This Row],[Salary]]&lt;90000,"70k-89k","90k+")))</f>
        <v>90k+</v>
      </c>
      <c r="M2437" t="s">
        <v>1307</v>
      </c>
      <c r="N2437">
        <f t="shared" ca="1" si="154"/>
        <v>1</v>
      </c>
      <c r="O2437" t="str">
        <f t="shared" ca="1" si="155"/>
        <v>Beginner</v>
      </c>
    </row>
    <row r="2438" spans="1:15" x14ac:dyDescent="0.3">
      <c r="A2438" t="s">
        <v>16763</v>
      </c>
      <c r="B2438" t="s">
        <v>16764</v>
      </c>
      <c r="C2438" t="s">
        <v>482</v>
      </c>
      <c r="D2438" t="s">
        <v>16765</v>
      </c>
      <c r="E2438" t="s">
        <v>16766</v>
      </c>
      <c r="F2438" t="s">
        <v>1934</v>
      </c>
      <c r="G2438" t="s">
        <v>16767</v>
      </c>
      <c r="H2438" t="s">
        <v>16768</v>
      </c>
      <c r="I2438">
        <f t="shared" ca="1" si="152"/>
        <v>50</v>
      </c>
      <c r="J2438" t="str">
        <f t="shared" ca="1" si="153"/>
        <v>50-59</v>
      </c>
      <c r="K2438">
        <v>86118.96</v>
      </c>
      <c r="L2438" t="str">
        <f>IF(Workforce[[#This Row],[Salary]]&lt;50000,"30k-49k",IF(Workforce[[#This Row],[Salary]]&lt;70000,"50k-69k",IF(Workforce[[#This Row],[Salary]]&lt;90000,"70k-89k","90k+")))</f>
        <v>70k-89k</v>
      </c>
      <c r="M2438" t="s">
        <v>16769</v>
      </c>
      <c r="N2438">
        <f t="shared" ca="1" si="154"/>
        <v>5</v>
      </c>
      <c r="O2438" t="str">
        <f t="shared" ca="1" si="155"/>
        <v>Intermediate level</v>
      </c>
    </row>
    <row r="2439" spans="1:15" x14ac:dyDescent="0.3">
      <c r="A2439" t="s">
        <v>16770</v>
      </c>
      <c r="B2439" t="s">
        <v>16771</v>
      </c>
      <c r="C2439" t="s">
        <v>160</v>
      </c>
      <c r="D2439" t="s">
        <v>16772</v>
      </c>
      <c r="E2439" t="s">
        <v>16773</v>
      </c>
      <c r="F2439" t="s">
        <v>1996</v>
      </c>
      <c r="G2439" t="s">
        <v>16774</v>
      </c>
      <c r="H2439" t="s">
        <v>7584</v>
      </c>
      <c r="I2439">
        <f t="shared" ca="1" si="152"/>
        <v>44</v>
      </c>
      <c r="J2439" t="str">
        <f t="shared" ca="1" si="153"/>
        <v>40-49</v>
      </c>
      <c r="K2439">
        <v>107336.44</v>
      </c>
      <c r="L2439" t="str">
        <f>IF(Workforce[[#This Row],[Salary]]&lt;50000,"30k-49k",IF(Workforce[[#This Row],[Salary]]&lt;70000,"50k-69k",IF(Workforce[[#This Row],[Salary]]&lt;90000,"70k-89k","90k+")))</f>
        <v>90k+</v>
      </c>
      <c r="M2439" t="s">
        <v>16775</v>
      </c>
      <c r="N2439">
        <f t="shared" ca="1" si="154"/>
        <v>8</v>
      </c>
      <c r="O2439" t="str">
        <f t="shared" ca="1" si="155"/>
        <v>Senior level</v>
      </c>
    </row>
    <row r="2440" spans="1:15" x14ac:dyDescent="0.3">
      <c r="A2440" t="s">
        <v>16776</v>
      </c>
      <c r="B2440" t="s">
        <v>16777</v>
      </c>
      <c r="C2440" t="s">
        <v>317</v>
      </c>
      <c r="D2440" t="s">
        <v>16778</v>
      </c>
      <c r="E2440" t="s">
        <v>16779</v>
      </c>
      <c r="F2440" t="s">
        <v>815</v>
      </c>
      <c r="G2440" t="s">
        <v>16780</v>
      </c>
      <c r="H2440" t="s">
        <v>16781</v>
      </c>
      <c r="I2440">
        <f t="shared" ca="1" si="152"/>
        <v>47</v>
      </c>
      <c r="J2440" t="str">
        <f t="shared" ca="1" si="153"/>
        <v>40-49</v>
      </c>
      <c r="K2440">
        <v>72644.23</v>
      </c>
      <c r="L2440" t="str">
        <f>IF(Workforce[[#This Row],[Salary]]&lt;50000,"30k-49k",IF(Workforce[[#This Row],[Salary]]&lt;70000,"50k-69k",IF(Workforce[[#This Row],[Salary]]&lt;90000,"70k-89k","90k+")))</f>
        <v>70k-89k</v>
      </c>
      <c r="M2440" t="s">
        <v>16782</v>
      </c>
      <c r="N2440">
        <f t="shared" ca="1" si="154"/>
        <v>8</v>
      </c>
      <c r="O2440" t="str">
        <f t="shared" ca="1" si="155"/>
        <v>Senior level</v>
      </c>
    </row>
    <row r="2441" spans="1:15" x14ac:dyDescent="0.3">
      <c r="A2441" t="s">
        <v>14315</v>
      </c>
      <c r="B2441" t="s">
        <v>16783</v>
      </c>
      <c r="C2441" t="s">
        <v>326</v>
      </c>
      <c r="D2441" t="s">
        <v>16784</v>
      </c>
      <c r="E2441" t="s">
        <v>16785</v>
      </c>
      <c r="F2441" t="s">
        <v>3828</v>
      </c>
      <c r="G2441" t="s">
        <v>16786</v>
      </c>
      <c r="H2441" t="s">
        <v>16787</v>
      </c>
      <c r="I2441">
        <f t="shared" ca="1" si="152"/>
        <v>54</v>
      </c>
      <c r="J2441" t="str">
        <f t="shared" ca="1" si="153"/>
        <v>50-59</v>
      </c>
      <c r="K2441">
        <v>36830.879999999997</v>
      </c>
      <c r="L2441" t="str">
        <f>IF(Workforce[[#This Row],[Salary]]&lt;50000,"30k-49k",IF(Workforce[[#This Row],[Salary]]&lt;70000,"50k-69k",IF(Workforce[[#This Row],[Salary]]&lt;90000,"70k-89k","90k+")))</f>
        <v>30k-49k</v>
      </c>
      <c r="M2441" t="s">
        <v>16788</v>
      </c>
      <c r="N2441">
        <f t="shared" ca="1" si="154"/>
        <v>5</v>
      </c>
      <c r="O2441" t="str">
        <f t="shared" ca="1" si="155"/>
        <v>Intermediate level</v>
      </c>
    </row>
    <row r="2442" spans="1:15" x14ac:dyDescent="0.3">
      <c r="A2442" t="s">
        <v>16789</v>
      </c>
      <c r="B2442" t="s">
        <v>16790</v>
      </c>
      <c r="C2442" t="s">
        <v>757</v>
      </c>
      <c r="D2442" t="s">
        <v>16791</v>
      </c>
      <c r="E2442" t="s">
        <v>16792</v>
      </c>
      <c r="F2442" t="s">
        <v>1626</v>
      </c>
      <c r="G2442" t="s">
        <v>10864</v>
      </c>
      <c r="H2442" t="s">
        <v>16793</v>
      </c>
      <c r="I2442">
        <f t="shared" ca="1" si="152"/>
        <v>35</v>
      </c>
      <c r="J2442" t="str">
        <f t="shared" ca="1" si="153"/>
        <v>30-39</v>
      </c>
      <c r="K2442">
        <v>84572.1</v>
      </c>
      <c r="L2442" t="str">
        <f>IF(Workforce[[#This Row],[Salary]]&lt;50000,"30k-49k",IF(Workforce[[#This Row],[Salary]]&lt;70000,"50k-69k",IF(Workforce[[#This Row],[Salary]]&lt;90000,"70k-89k","90k+")))</f>
        <v>70k-89k</v>
      </c>
      <c r="M2442" t="s">
        <v>12887</v>
      </c>
      <c r="N2442">
        <f t="shared" ca="1" si="154"/>
        <v>9</v>
      </c>
      <c r="O2442" t="str">
        <f t="shared" ca="1" si="155"/>
        <v>Senior level</v>
      </c>
    </row>
    <row r="2443" spans="1:15" x14ac:dyDescent="0.3">
      <c r="A2443" t="s">
        <v>16794</v>
      </c>
      <c r="B2443" t="s">
        <v>16795</v>
      </c>
      <c r="C2443" t="s">
        <v>653</v>
      </c>
      <c r="D2443" t="s">
        <v>16796</v>
      </c>
      <c r="E2443" t="s">
        <v>16797</v>
      </c>
      <c r="F2443" t="s">
        <v>6132</v>
      </c>
      <c r="G2443" t="s">
        <v>16798</v>
      </c>
      <c r="H2443" t="s">
        <v>16799</v>
      </c>
      <c r="I2443">
        <f t="shared" ca="1" si="152"/>
        <v>54</v>
      </c>
      <c r="J2443" t="str">
        <f t="shared" ca="1" si="153"/>
        <v>50-59</v>
      </c>
      <c r="K2443">
        <v>55020.9</v>
      </c>
      <c r="L2443" t="str">
        <f>IF(Workforce[[#This Row],[Salary]]&lt;50000,"30k-49k",IF(Workforce[[#This Row],[Salary]]&lt;70000,"50k-69k",IF(Workforce[[#This Row],[Salary]]&lt;90000,"70k-89k","90k+")))</f>
        <v>50k-69k</v>
      </c>
      <c r="M2443" t="s">
        <v>5288</v>
      </c>
      <c r="N2443">
        <f t="shared" ca="1" si="154"/>
        <v>9</v>
      </c>
      <c r="O2443" t="str">
        <f t="shared" ca="1" si="155"/>
        <v>Senior level</v>
      </c>
    </row>
    <row r="2444" spans="1:15" x14ac:dyDescent="0.3">
      <c r="A2444" t="s">
        <v>16800</v>
      </c>
      <c r="B2444" t="s">
        <v>16801</v>
      </c>
      <c r="C2444" t="s">
        <v>604</v>
      </c>
      <c r="D2444" t="s">
        <v>16802</v>
      </c>
      <c r="E2444" t="s">
        <v>16803</v>
      </c>
      <c r="F2444" t="s">
        <v>4895</v>
      </c>
      <c r="G2444" t="s">
        <v>16804</v>
      </c>
      <c r="H2444" t="s">
        <v>16404</v>
      </c>
      <c r="I2444">
        <f t="shared" ca="1" si="152"/>
        <v>37</v>
      </c>
      <c r="J2444" t="str">
        <f t="shared" ca="1" si="153"/>
        <v>30-39</v>
      </c>
      <c r="K2444">
        <v>109920.21</v>
      </c>
      <c r="L2444" t="str">
        <f>IF(Workforce[[#This Row],[Salary]]&lt;50000,"30k-49k",IF(Workforce[[#This Row],[Salary]]&lt;70000,"50k-69k",IF(Workforce[[#This Row],[Salary]]&lt;90000,"70k-89k","90k+")))</f>
        <v>90k+</v>
      </c>
      <c r="M2444" t="s">
        <v>16805</v>
      </c>
      <c r="N2444">
        <f t="shared" ca="1" si="154"/>
        <v>10</v>
      </c>
      <c r="O2444" t="str">
        <f t="shared" ca="1" si="155"/>
        <v>Senior level</v>
      </c>
    </row>
    <row r="2445" spans="1:15" x14ac:dyDescent="0.3">
      <c r="A2445" t="s">
        <v>16806</v>
      </c>
      <c r="B2445" t="s">
        <v>16807</v>
      </c>
      <c r="C2445" t="s">
        <v>133</v>
      </c>
      <c r="D2445" t="s">
        <v>16808</v>
      </c>
      <c r="E2445" t="s">
        <v>16809</v>
      </c>
      <c r="F2445" t="s">
        <v>2600</v>
      </c>
      <c r="G2445" t="s">
        <v>16810</v>
      </c>
      <c r="H2445" t="s">
        <v>16811</v>
      </c>
      <c r="I2445">
        <f t="shared" ca="1" si="152"/>
        <v>45</v>
      </c>
      <c r="J2445" t="str">
        <f t="shared" ca="1" si="153"/>
        <v>40-49</v>
      </c>
      <c r="K2445">
        <v>45367.12</v>
      </c>
      <c r="L2445" t="str">
        <f>IF(Workforce[[#This Row],[Salary]]&lt;50000,"30k-49k",IF(Workforce[[#This Row],[Salary]]&lt;70000,"50k-69k",IF(Workforce[[#This Row],[Salary]]&lt;90000,"70k-89k","90k+")))</f>
        <v>30k-49k</v>
      </c>
      <c r="M2445" t="s">
        <v>6459</v>
      </c>
      <c r="N2445">
        <f t="shared" ca="1" si="154"/>
        <v>2</v>
      </c>
      <c r="O2445" t="str">
        <f t="shared" ca="1" si="155"/>
        <v>Beginner</v>
      </c>
    </row>
    <row r="2446" spans="1:15" x14ac:dyDescent="0.3">
      <c r="A2446" t="s">
        <v>16812</v>
      </c>
      <c r="B2446" t="s">
        <v>16813</v>
      </c>
      <c r="C2446" t="s">
        <v>151</v>
      </c>
      <c r="D2446" t="s">
        <v>16814</v>
      </c>
      <c r="E2446" t="s">
        <v>16815</v>
      </c>
      <c r="F2446" t="s">
        <v>2592</v>
      </c>
      <c r="G2446" t="s">
        <v>16816</v>
      </c>
      <c r="H2446" t="s">
        <v>16817</v>
      </c>
      <c r="I2446">
        <f t="shared" ca="1" si="152"/>
        <v>22</v>
      </c>
      <c r="J2446" t="str">
        <f t="shared" ca="1" si="153"/>
        <v>18-29</v>
      </c>
      <c r="K2446">
        <v>60191.01</v>
      </c>
      <c r="L2446" t="str">
        <f>IF(Workforce[[#This Row],[Salary]]&lt;50000,"30k-49k",IF(Workforce[[#This Row],[Salary]]&lt;70000,"50k-69k",IF(Workforce[[#This Row],[Salary]]&lt;90000,"70k-89k","90k+")))</f>
        <v>50k-69k</v>
      </c>
      <c r="M2446" t="s">
        <v>6498</v>
      </c>
      <c r="N2446">
        <f t="shared" ca="1" si="154"/>
        <v>5</v>
      </c>
      <c r="O2446" t="str">
        <f t="shared" ca="1" si="155"/>
        <v>Intermediate level</v>
      </c>
    </row>
    <row r="2447" spans="1:15" x14ac:dyDescent="0.3">
      <c r="A2447" t="s">
        <v>16818</v>
      </c>
      <c r="B2447" t="s">
        <v>16819</v>
      </c>
      <c r="C2447" t="s">
        <v>275</v>
      </c>
      <c r="D2447" t="s">
        <v>16820</v>
      </c>
      <c r="E2447" t="s">
        <v>16821</v>
      </c>
      <c r="F2447" t="s">
        <v>4772</v>
      </c>
      <c r="G2447" t="s">
        <v>16822</v>
      </c>
      <c r="H2447" t="s">
        <v>16823</v>
      </c>
      <c r="I2447">
        <f t="shared" ca="1" si="152"/>
        <v>53</v>
      </c>
      <c r="J2447" t="str">
        <f t="shared" ca="1" si="153"/>
        <v>50-59</v>
      </c>
      <c r="K2447">
        <v>77588.990000000005</v>
      </c>
      <c r="L2447" t="str">
        <f>IF(Workforce[[#This Row],[Salary]]&lt;50000,"30k-49k",IF(Workforce[[#This Row],[Salary]]&lt;70000,"50k-69k",IF(Workforce[[#This Row],[Salary]]&lt;90000,"70k-89k","90k+")))</f>
        <v>70k-89k</v>
      </c>
      <c r="M2447" t="s">
        <v>12013</v>
      </c>
      <c r="N2447">
        <f t="shared" ca="1" si="154"/>
        <v>2</v>
      </c>
      <c r="O2447" t="str">
        <f t="shared" ca="1" si="155"/>
        <v>Beginner</v>
      </c>
    </row>
    <row r="2448" spans="1:15" x14ac:dyDescent="0.3">
      <c r="A2448" t="s">
        <v>16824</v>
      </c>
      <c r="B2448" t="s">
        <v>16825</v>
      </c>
      <c r="C2448" t="s">
        <v>1223</v>
      </c>
      <c r="D2448" t="s">
        <v>16826</v>
      </c>
      <c r="E2448" t="s">
        <v>16827</v>
      </c>
      <c r="F2448" t="s">
        <v>639</v>
      </c>
      <c r="G2448" t="s">
        <v>16828</v>
      </c>
      <c r="H2448" t="s">
        <v>16829</v>
      </c>
      <c r="I2448">
        <f t="shared" ca="1" si="152"/>
        <v>54</v>
      </c>
      <c r="J2448" t="str">
        <f t="shared" ca="1" si="153"/>
        <v>50-59</v>
      </c>
      <c r="K2448">
        <v>105654.45</v>
      </c>
      <c r="L2448" t="str">
        <f>IF(Workforce[[#This Row],[Salary]]&lt;50000,"30k-49k",IF(Workforce[[#This Row],[Salary]]&lt;70000,"50k-69k",IF(Workforce[[#This Row],[Salary]]&lt;90000,"70k-89k","90k+")))</f>
        <v>90k+</v>
      </c>
      <c r="M2448" t="s">
        <v>8968</v>
      </c>
      <c r="N2448">
        <f t="shared" ca="1" si="154"/>
        <v>6</v>
      </c>
      <c r="O2448" t="str">
        <f t="shared" ca="1" si="155"/>
        <v>Intermediate level</v>
      </c>
    </row>
    <row r="2449" spans="1:15" x14ac:dyDescent="0.3">
      <c r="A2449" t="s">
        <v>16830</v>
      </c>
      <c r="B2449" t="s">
        <v>16831</v>
      </c>
      <c r="C2449" t="s">
        <v>124</v>
      </c>
      <c r="D2449" t="s">
        <v>16832</v>
      </c>
      <c r="E2449" t="s">
        <v>16833</v>
      </c>
      <c r="F2449" t="s">
        <v>1488</v>
      </c>
      <c r="G2449" t="s">
        <v>16834</v>
      </c>
      <c r="H2449" t="s">
        <v>16835</v>
      </c>
      <c r="I2449">
        <f t="shared" ca="1" si="152"/>
        <v>40</v>
      </c>
      <c r="J2449" t="str">
        <f t="shared" ca="1" si="153"/>
        <v>40-49</v>
      </c>
      <c r="K2449">
        <v>55610.42</v>
      </c>
      <c r="L2449" t="str">
        <f>IF(Workforce[[#This Row],[Salary]]&lt;50000,"30k-49k",IF(Workforce[[#This Row],[Salary]]&lt;70000,"50k-69k",IF(Workforce[[#This Row],[Salary]]&lt;90000,"70k-89k","90k+")))</f>
        <v>50k-69k</v>
      </c>
      <c r="M2449" t="s">
        <v>969</v>
      </c>
      <c r="N2449">
        <f t="shared" ca="1" si="154"/>
        <v>1</v>
      </c>
      <c r="O2449" t="str">
        <f t="shared" ca="1" si="155"/>
        <v>Beginner</v>
      </c>
    </row>
    <row r="2450" spans="1:15" x14ac:dyDescent="0.3">
      <c r="A2450" t="s">
        <v>16836</v>
      </c>
      <c r="B2450" t="s">
        <v>16837</v>
      </c>
      <c r="C2450" t="s">
        <v>97</v>
      </c>
      <c r="D2450" t="s">
        <v>16838</v>
      </c>
      <c r="E2450" t="s">
        <v>16839</v>
      </c>
      <c r="F2450" t="s">
        <v>2297</v>
      </c>
      <c r="G2450" t="s">
        <v>16840</v>
      </c>
      <c r="H2450" t="s">
        <v>16841</v>
      </c>
      <c r="I2450">
        <f t="shared" ca="1" si="152"/>
        <v>24</v>
      </c>
      <c r="J2450" t="str">
        <f t="shared" ca="1" si="153"/>
        <v>18-29</v>
      </c>
      <c r="K2450">
        <v>42539.59</v>
      </c>
      <c r="L2450" t="str">
        <f>IF(Workforce[[#This Row],[Salary]]&lt;50000,"30k-49k",IF(Workforce[[#This Row],[Salary]]&lt;70000,"50k-69k",IF(Workforce[[#This Row],[Salary]]&lt;90000,"70k-89k","90k+")))</f>
        <v>30k-49k</v>
      </c>
      <c r="M2450" t="s">
        <v>6780</v>
      </c>
      <c r="N2450">
        <f t="shared" ca="1" si="154"/>
        <v>3</v>
      </c>
      <c r="O2450" t="str">
        <f t="shared" ca="1" si="155"/>
        <v>Intermediate level</v>
      </c>
    </row>
    <row r="2451" spans="1:15" x14ac:dyDescent="0.3">
      <c r="A2451" t="s">
        <v>16842</v>
      </c>
      <c r="B2451" t="s">
        <v>16843</v>
      </c>
      <c r="C2451" t="s">
        <v>115</v>
      </c>
      <c r="D2451" t="s">
        <v>16844</v>
      </c>
      <c r="E2451" t="s">
        <v>16845</v>
      </c>
      <c r="F2451" t="s">
        <v>1511</v>
      </c>
      <c r="G2451" t="s">
        <v>16846</v>
      </c>
      <c r="H2451" t="s">
        <v>3362</v>
      </c>
      <c r="I2451">
        <f t="shared" ca="1" si="152"/>
        <v>21</v>
      </c>
      <c r="J2451" t="str">
        <f t="shared" ca="1" si="153"/>
        <v>18-29</v>
      </c>
      <c r="K2451">
        <v>48660.61</v>
      </c>
      <c r="L2451" t="str">
        <f>IF(Workforce[[#This Row],[Salary]]&lt;50000,"30k-49k",IF(Workforce[[#This Row],[Salary]]&lt;70000,"50k-69k",IF(Workforce[[#This Row],[Salary]]&lt;90000,"70k-89k","90k+")))</f>
        <v>30k-49k</v>
      </c>
      <c r="M2451" t="s">
        <v>15131</v>
      </c>
      <c r="N2451">
        <f t="shared" ca="1" si="154"/>
        <v>4</v>
      </c>
      <c r="O2451" t="str">
        <f t="shared" ca="1" si="155"/>
        <v>Intermediate level</v>
      </c>
    </row>
    <row r="2452" spans="1:15" x14ac:dyDescent="0.3">
      <c r="A2452" t="s">
        <v>16847</v>
      </c>
      <c r="B2452" t="s">
        <v>16848</v>
      </c>
      <c r="C2452" t="s">
        <v>1223</v>
      </c>
      <c r="D2452" t="s">
        <v>16849</v>
      </c>
      <c r="E2452" t="s">
        <v>16850</v>
      </c>
      <c r="F2452" t="s">
        <v>2482</v>
      </c>
      <c r="G2452" t="s">
        <v>16851</v>
      </c>
      <c r="H2452" t="s">
        <v>15181</v>
      </c>
      <c r="I2452">
        <f t="shared" ca="1" si="152"/>
        <v>29</v>
      </c>
      <c r="J2452" t="str">
        <f t="shared" ca="1" si="153"/>
        <v>18-29</v>
      </c>
      <c r="K2452">
        <v>109878.91</v>
      </c>
      <c r="L2452" t="str">
        <f>IF(Workforce[[#This Row],[Salary]]&lt;50000,"30k-49k",IF(Workforce[[#This Row],[Salary]]&lt;70000,"50k-69k",IF(Workforce[[#This Row],[Salary]]&lt;90000,"70k-89k","90k+")))</f>
        <v>90k+</v>
      </c>
      <c r="M2452" t="s">
        <v>16852</v>
      </c>
      <c r="N2452">
        <f t="shared" ca="1" si="154"/>
        <v>7</v>
      </c>
      <c r="O2452" t="str">
        <f t="shared" ca="1" si="155"/>
        <v>Senior level</v>
      </c>
    </row>
    <row r="2453" spans="1:15" x14ac:dyDescent="0.3">
      <c r="A2453" t="s">
        <v>16853</v>
      </c>
      <c r="B2453" t="s">
        <v>16854</v>
      </c>
      <c r="C2453" t="s">
        <v>187</v>
      </c>
      <c r="D2453" t="s">
        <v>16855</v>
      </c>
      <c r="E2453" t="s">
        <v>16856</v>
      </c>
      <c r="F2453" t="s">
        <v>5501</v>
      </c>
      <c r="G2453" t="s">
        <v>16857</v>
      </c>
      <c r="H2453" t="s">
        <v>16858</v>
      </c>
      <c r="I2453">
        <f t="shared" ca="1" si="152"/>
        <v>41</v>
      </c>
      <c r="J2453" t="str">
        <f t="shared" ca="1" si="153"/>
        <v>40-49</v>
      </c>
      <c r="K2453">
        <v>100215.45</v>
      </c>
      <c r="L2453" t="str">
        <f>IF(Workforce[[#This Row],[Salary]]&lt;50000,"30k-49k",IF(Workforce[[#This Row],[Salary]]&lt;70000,"50k-69k",IF(Workforce[[#This Row],[Salary]]&lt;90000,"70k-89k","90k+")))</f>
        <v>90k+</v>
      </c>
      <c r="M2453" t="s">
        <v>16859</v>
      </c>
      <c r="N2453">
        <f t="shared" ca="1" si="154"/>
        <v>7</v>
      </c>
      <c r="O2453" t="str">
        <f t="shared" ca="1" si="155"/>
        <v>Senior level</v>
      </c>
    </row>
    <row r="2454" spans="1:15" x14ac:dyDescent="0.3">
      <c r="A2454" t="s">
        <v>16860</v>
      </c>
      <c r="B2454" t="s">
        <v>16861</v>
      </c>
      <c r="C2454" t="s">
        <v>106</v>
      </c>
      <c r="D2454" t="s">
        <v>16862</v>
      </c>
      <c r="E2454" t="s">
        <v>16863</v>
      </c>
      <c r="F2454" t="s">
        <v>1434</v>
      </c>
      <c r="G2454" t="s">
        <v>16864</v>
      </c>
      <c r="H2454" t="s">
        <v>16865</v>
      </c>
      <c r="I2454">
        <f t="shared" ca="1" si="152"/>
        <v>34</v>
      </c>
      <c r="J2454" t="str">
        <f t="shared" ca="1" si="153"/>
        <v>30-39</v>
      </c>
      <c r="K2454">
        <v>84474.559999999998</v>
      </c>
      <c r="L2454" t="str">
        <f>IF(Workforce[[#This Row],[Salary]]&lt;50000,"30k-49k",IF(Workforce[[#This Row],[Salary]]&lt;70000,"50k-69k",IF(Workforce[[#This Row],[Salary]]&lt;90000,"70k-89k","90k+")))</f>
        <v>70k-89k</v>
      </c>
      <c r="M2454" t="s">
        <v>16866</v>
      </c>
      <c r="N2454">
        <f t="shared" ca="1" si="154"/>
        <v>8</v>
      </c>
      <c r="O2454" t="str">
        <f t="shared" ca="1" si="155"/>
        <v>Senior level</v>
      </c>
    </row>
    <row r="2455" spans="1:15" x14ac:dyDescent="0.3">
      <c r="A2455" t="s">
        <v>16867</v>
      </c>
      <c r="B2455" t="s">
        <v>16868</v>
      </c>
      <c r="C2455" t="s">
        <v>2086</v>
      </c>
      <c r="D2455" t="s">
        <v>16869</v>
      </c>
      <c r="E2455" t="s">
        <v>16870</v>
      </c>
      <c r="F2455" t="s">
        <v>926</v>
      </c>
      <c r="G2455" t="s">
        <v>16871</v>
      </c>
      <c r="H2455" t="s">
        <v>16872</v>
      </c>
      <c r="I2455">
        <f t="shared" ca="1" si="152"/>
        <v>44</v>
      </c>
      <c r="J2455" t="str">
        <f t="shared" ca="1" si="153"/>
        <v>40-49</v>
      </c>
      <c r="K2455">
        <v>72192.73</v>
      </c>
      <c r="L2455" t="str">
        <f>IF(Workforce[[#This Row],[Salary]]&lt;50000,"30k-49k",IF(Workforce[[#This Row],[Salary]]&lt;70000,"50k-69k",IF(Workforce[[#This Row],[Salary]]&lt;90000,"70k-89k","90k+")))</f>
        <v>70k-89k</v>
      </c>
      <c r="M2455" t="s">
        <v>16873</v>
      </c>
      <c r="N2455">
        <f t="shared" ca="1" si="154"/>
        <v>8</v>
      </c>
      <c r="O2455" t="str">
        <f t="shared" ca="1" si="155"/>
        <v>Senior level</v>
      </c>
    </row>
    <row r="2456" spans="1:15" x14ac:dyDescent="0.3">
      <c r="A2456" t="s">
        <v>16874</v>
      </c>
      <c r="B2456" t="s">
        <v>16875</v>
      </c>
      <c r="C2456" t="s">
        <v>1043</v>
      </c>
      <c r="D2456" t="s">
        <v>16876</v>
      </c>
      <c r="E2456" t="s">
        <v>16877</v>
      </c>
      <c r="F2456" t="s">
        <v>2416</v>
      </c>
      <c r="G2456" t="s">
        <v>16878</v>
      </c>
      <c r="H2456" t="s">
        <v>16879</v>
      </c>
      <c r="I2456">
        <f t="shared" ca="1" si="152"/>
        <v>64</v>
      </c>
      <c r="J2456" t="str">
        <f t="shared" ca="1" si="153"/>
        <v>60+</v>
      </c>
      <c r="K2456">
        <v>87530.69</v>
      </c>
      <c r="L2456" t="str">
        <f>IF(Workforce[[#This Row],[Salary]]&lt;50000,"30k-49k",IF(Workforce[[#This Row],[Salary]]&lt;70000,"50k-69k",IF(Workforce[[#This Row],[Salary]]&lt;90000,"70k-89k","90k+")))</f>
        <v>70k-89k</v>
      </c>
      <c r="M2456" t="s">
        <v>16880</v>
      </c>
      <c r="N2456">
        <f t="shared" ca="1" si="154"/>
        <v>5</v>
      </c>
      <c r="O2456" t="str">
        <f t="shared" ca="1" si="155"/>
        <v>Intermediate level</v>
      </c>
    </row>
    <row r="2457" spans="1:15" x14ac:dyDescent="0.3">
      <c r="A2457" t="s">
        <v>16881</v>
      </c>
      <c r="B2457" t="s">
        <v>16882</v>
      </c>
      <c r="C2457" t="s">
        <v>482</v>
      </c>
      <c r="D2457" t="s">
        <v>16883</v>
      </c>
      <c r="E2457" t="s">
        <v>16884</v>
      </c>
      <c r="F2457" t="s">
        <v>4546</v>
      </c>
      <c r="G2457" t="s">
        <v>4372</v>
      </c>
      <c r="H2457" t="s">
        <v>16885</v>
      </c>
      <c r="I2457">
        <f t="shared" ca="1" si="152"/>
        <v>34</v>
      </c>
      <c r="J2457" t="str">
        <f t="shared" ca="1" si="153"/>
        <v>30-39</v>
      </c>
      <c r="K2457">
        <v>56661.08</v>
      </c>
      <c r="L2457" t="str">
        <f>IF(Workforce[[#This Row],[Salary]]&lt;50000,"30k-49k",IF(Workforce[[#This Row],[Salary]]&lt;70000,"50k-69k",IF(Workforce[[#This Row],[Salary]]&lt;90000,"70k-89k","90k+")))</f>
        <v>50k-69k</v>
      </c>
      <c r="M2457" t="s">
        <v>14268</v>
      </c>
      <c r="N2457">
        <f t="shared" ca="1" si="154"/>
        <v>5</v>
      </c>
      <c r="O2457" t="str">
        <f t="shared" ca="1" si="155"/>
        <v>Intermediate level</v>
      </c>
    </row>
    <row r="2458" spans="1:15" x14ac:dyDescent="0.3">
      <c r="A2458" t="s">
        <v>16886</v>
      </c>
      <c r="B2458" t="s">
        <v>16887</v>
      </c>
      <c r="C2458" t="s">
        <v>88</v>
      </c>
      <c r="D2458" t="s">
        <v>16888</v>
      </c>
      <c r="E2458" t="s">
        <v>16889</v>
      </c>
      <c r="F2458" t="s">
        <v>394</v>
      </c>
      <c r="G2458" t="s">
        <v>16890</v>
      </c>
      <c r="H2458" t="s">
        <v>16891</v>
      </c>
      <c r="I2458">
        <f t="shared" ca="1" si="152"/>
        <v>54</v>
      </c>
      <c r="J2458" t="str">
        <f t="shared" ca="1" si="153"/>
        <v>50-59</v>
      </c>
      <c r="K2458">
        <v>36297.96</v>
      </c>
      <c r="L2458" t="str">
        <f>IF(Workforce[[#This Row],[Salary]]&lt;50000,"30k-49k",IF(Workforce[[#This Row],[Salary]]&lt;70000,"50k-69k",IF(Workforce[[#This Row],[Salary]]&lt;90000,"70k-89k","90k+")))</f>
        <v>30k-49k</v>
      </c>
      <c r="M2458" t="s">
        <v>9225</v>
      </c>
      <c r="N2458">
        <f t="shared" ca="1" si="154"/>
        <v>6</v>
      </c>
      <c r="O2458" t="str">
        <f t="shared" ca="1" si="155"/>
        <v>Intermediate level</v>
      </c>
    </row>
    <row r="2459" spans="1:15" x14ac:dyDescent="0.3">
      <c r="A2459" t="s">
        <v>16892</v>
      </c>
      <c r="B2459" t="s">
        <v>16893</v>
      </c>
      <c r="C2459" t="s">
        <v>17</v>
      </c>
      <c r="D2459" t="s">
        <v>16894</v>
      </c>
      <c r="E2459" t="s">
        <v>16895</v>
      </c>
      <c r="F2459" t="s">
        <v>8805</v>
      </c>
      <c r="G2459" t="s">
        <v>16896</v>
      </c>
      <c r="H2459" t="s">
        <v>16897</v>
      </c>
      <c r="I2459">
        <f t="shared" ca="1" si="152"/>
        <v>64</v>
      </c>
      <c r="J2459" t="str">
        <f t="shared" ca="1" si="153"/>
        <v>60+</v>
      </c>
      <c r="K2459">
        <v>93566.88</v>
      </c>
      <c r="L2459" t="str">
        <f>IF(Workforce[[#This Row],[Salary]]&lt;50000,"30k-49k",IF(Workforce[[#This Row],[Salary]]&lt;70000,"50k-69k",IF(Workforce[[#This Row],[Salary]]&lt;90000,"70k-89k","90k+")))</f>
        <v>90k+</v>
      </c>
      <c r="M2459" t="s">
        <v>1361</v>
      </c>
      <c r="N2459">
        <f t="shared" ca="1" si="154"/>
        <v>7</v>
      </c>
      <c r="O2459" t="str">
        <f t="shared" ca="1" si="155"/>
        <v>Senior level</v>
      </c>
    </row>
    <row r="2460" spans="1:15" x14ac:dyDescent="0.3">
      <c r="A2460" t="s">
        <v>16898</v>
      </c>
      <c r="B2460" t="s">
        <v>16899</v>
      </c>
      <c r="C2460" t="s">
        <v>44</v>
      </c>
      <c r="D2460" t="s">
        <v>16900</v>
      </c>
      <c r="E2460" t="s">
        <v>16901</v>
      </c>
      <c r="F2460" t="s">
        <v>1533</v>
      </c>
      <c r="G2460" t="s">
        <v>16902</v>
      </c>
      <c r="H2460" t="s">
        <v>16903</v>
      </c>
      <c r="I2460">
        <f t="shared" ca="1" si="152"/>
        <v>34</v>
      </c>
      <c r="J2460" t="str">
        <f t="shared" ca="1" si="153"/>
        <v>30-39</v>
      </c>
      <c r="K2460">
        <v>100973.84</v>
      </c>
      <c r="L2460" t="str">
        <f>IF(Workforce[[#This Row],[Salary]]&lt;50000,"30k-49k",IF(Workforce[[#This Row],[Salary]]&lt;70000,"50k-69k",IF(Workforce[[#This Row],[Salary]]&lt;90000,"70k-89k","90k+")))</f>
        <v>90k+</v>
      </c>
      <c r="M2460" t="s">
        <v>3082</v>
      </c>
      <c r="N2460">
        <f t="shared" ca="1" si="154"/>
        <v>7</v>
      </c>
      <c r="O2460" t="str">
        <f t="shared" ca="1" si="155"/>
        <v>Senior level</v>
      </c>
    </row>
    <row r="2461" spans="1:15" x14ac:dyDescent="0.3">
      <c r="A2461" t="s">
        <v>16904</v>
      </c>
      <c r="B2461" t="s">
        <v>16905</v>
      </c>
      <c r="C2461" t="s">
        <v>1043</v>
      </c>
      <c r="D2461" t="s">
        <v>16906</v>
      </c>
      <c r="E2461" t="s">
        <v>16907</v>
      </c>
      <c r="F2461" t="s">
        <v>966</v>
      </c>
      <c r="G2461" t="s">
        <v>16908</v>
      </c>
      <c r="H2461" t="s">
        <v>3705</v>
      </c>
      <c r="I2461">
        <f t="shared" ca="1" si="152"/>
        <v>51</v>
      </c>
      <c r="J2461" t="str">
        <f t="shared" ca="1" si="153"/>
        <v>50-59</v>
      </c>
      <c r="K2461">
        <v>53567.37</v>
      </c>
      <c r="L2461" t="str">
        <f>IF(Workforce[[#This Row],[Salary]]&lt;50000,"30k-49k",IF(Workforce[[#This Row],[Salary]]&lt;70000,"50k-69k",IF(Workforce[[#This Row],[Salary]]&lt;90000,"70k-89k","90k+")))</f>
        <v>50k-69k</v>
      </c>
      <c r="M2461" t="s">
        <v>6814</v>
      </c>
      <c r="N2461">
        <f t="shared" ca="1" si="154"/>
        <v>7</v>
      </c>
      <c r="O2461" t="str">
        <f t="shared" ca="1" si="155"/>
        <v>Senior level</v>
      </c>
    </row>
    <row r="2462" spans="1:15" x14ac:dyDescent="0.3">
      <c r="A2462" t="s">
        <v>16909</v>
      </c>
      <c r="B2462" t="s">
        <v>16910</v>
      </c>
      <c r="C2462" t="s">
        <v>351</v>
      </c>
      <c r="D2462" t="s">
        <v>16911</v>
      </c>
      <c r="E2462" t="s">
        <v>16912</v>
      </c>
      <c r="F2462" t="s">
        <v>16308</v>
      </c>
      <c r="G2462" t="s">
        <v>16913</v>
      </c>
      <c r="H2462" t="s">
        <v>16914</v>
      </c>
      <c r="I2462">
        <f t="shared" ca="1" si="152"/>
        <v>64</v>
      </c>
      <c r="J2462" t="str">
        <f t="shared" ca="1" si="153"/>
        <v>60+</v>
      </c>
      <c r="K2462">
        <v>39316.07</v>
      </c>
      <c r="L2462" t="str">
        <f>IF(Workforce[[#This Row],[Salary]]&lt;50000,"30k-49k",IF(Workforce[[#This Row],[Salary]]&lt;70000,"50k-69k",IF(Workforce[[#This Row],[Salary]]&lt;90000,"70k-89k","90k+")))</f>
        <v>30k-49k</v>
      </c>
      <c r="M2462" t="s">
        <v>7543</v>
      </c>
      <c r="N2462">
        <f t="shared" ca="1" si="154"/>
        <v>3</v>
      </c>
      <c r="O2462" t="str">
        <f t="shared" ca="1" si="155"/>
        <v>Intermediate level</v>
      </c>
    </row>
    <row r="2463" spans="1:15" x14ac:dyDescent="0.3">
      <c r="A2463" t="s">
        <v>16915</v>
      </c>
      <c r="B2463" t="s">
        <v>16916</v>
      </c>
      <c r="C2463" t="s">
        <v>115</v>
      </c>
      <c r="D2463" t="s">
        <v>16917</v>
      </c>
      <c r="E2463" t="s">
        <v>16918</v>
      </c>
      <c r="F2463" t="s">
        <v>1795</v>
      </c>
      <c r="G2463" t="s">
        <v>16919</v>
      </c>
      <c r="H2463" t="s">
        <v>16920</v>
      </c>
      <c r="I2463">
        <f t="shared" ca="1" si="152"/>
        <v>27</v>
      </c>
      <c r="J2463" t="str">
        <f t="shared" ca="1" si="153"/>
        <v>18-29</v>
      </c>
      <c r="K2463">
        <v>46604.78</v>
      </c>
      <c r="L2463" t="str">
        <f>IF(Workforce[[#This Row],[Salary]]&lt;50000,"30k-49k",IF(Workforce[[#This Row],[Salary]]&lt;70000,"50k-69k",IF(Workforce[[#This Row],[Salary]]&lt;90000,"70k-89k","90k+")))</f>
        <v>30k-49k</v>
      </c>
      <c r="M2463" t="s">
        <v>2978</v>
      </c>
      <c r="N2463">
        <f t="shared" ca="1" si="154"/>
        <v>2</v>
      </c>
      <c r="O2463" t="str">
        <f t="shared" ca="1" si="155"/>
        <v>Beginner</v>
      </c>
    </row>
    <row r="2464" spans="1:15" x14ac:dyDescent="0.3">
      <c r="A2464" t="s">
        <v>16921</v>
      </c>
      <c r="B2464" t="s">
        <v>16922</v>
      </c>
      <c r="C2464" t="s">
        <v>142</v>
      </c>
      <c r="D2464" t="s">
        <v>16923</v>
      </c>
      <c r="E2464" t="s">
        <v>16924</v>
      </c>
      <c r="F2464" t="s">
        <v>7439</v>
      </c>
      <c r="G2464" t="s">
        <v>16925</v>
      </c>
      <c r="H2464" t="s">
        <v>16926</v>
      </c>
      <c r="I2464">
        <f t="shared" ca="1" si="152"/>
        <v>52</v>
      </c>
      <c r="J2464" t="str">
        <f t="shared" ca="1" si="153"/>
        <v>50-59</v>
      </c>
      <c r="K2464">
        <v>66497.899999999994</v>
      </c>
      <c r="L2464" t="str">
        <f>IF(Workforce[[#This Row],[Salary]]&lt;50000,"30k-49k",IF(Workforce[[#This Row],[Salary]]&lt;70000,"50k-69k",IF(Workforce[[#This Row],[Salary]]&lt;90000,"70k-89k","90k+")))</f>
        <v>50k-69k</v>
      </c>
      <c r="M2464" t="s">
        <v>4737</v>
      </c>
      <c r="N2464">
        <f t="shared" ca="1" si="154"/>
        <v>8</v>
      </c>
      <c r="O2464" t="str">
        <f t="shared" ca="1" si="155"/>
        <v>Senior level</v>
      </c>
    </row>
    <row r="2465" spans="1:15" x14ac:dyDescent="0.3">
      <c r="A2465" t="s">
        <v>16927</v>
      </c>
      <c r="B2465" t="s">
        <v>16928</v>
      </c>
      <c r="C2465" t="s">
        <v>240</v>
      </c>
      <c r="D2465" t="s">
        <v>16929</v>
      </c>
      <c r="E2465" t="s">
        <v>16930</v>
      </c>
      <c r="F2465" t="s">
        <v>558</v>
      </c>
      <c r="G2465" t="s">
        <v>16931</v>
      </c>
      <c r="H2465" t="s">
        <v>16932</v>
      </c>
      <c r="I2465">
        <f t="shared" ca="1" si="152"/>
        <v>49</v>
      </c>
      <c r="J2465" t="str">
        <f t="shared" ca="1" si="153"/>
        <v>40-49</v>
      </c>
      <c r="K2465">
        <v>100526.62</v>
      </c>
      <c r="L2465" t="str">
        <f>IF(Workforce[[#This Row],[Salary]]&lt;50000,"30k-49k",IF(Workforce[[#This Row],[Salary]]&lt;70000,"50k-69k",IF(Workforce[[#This Row],[Salary]]&lt;90000,"70k-89k","90k+")))</f>
        <v>90k+</v>
      </c>
      <c r="M2465" t="s">
        <v>16933</v>
      </c>
      <c r="N2465">
        <f t="shared" ca="1" si="154"/>
        <v>3</v>
      </c>
      <c r="O2465" t="str">
        <f t="shared" ca="1" si="155"/>
        <v>Intermediate level</v>
      </c>
    </row>
    <row r="2466" spans="1:15" x14ac:dyDescent="0.3">
      <c r="A2466" t="s">
        <v>16934</v>
      </c>
      <c r="B2466" t="s">
        <v>16935</v>
      </c>
      <c r="C2466" t="s">
        <v>1223</v>
      </c>
      <c r="D2466" t="s">
        <v>16936</v>
      </c>
      <c r="E2466" t="s">
        <v>16937</v>
      </c>
      <c r="F2466" t="s">
        <v>1765</v>
      </c>
      <c r="G2466" t="s">
        <v>16938</v>
      </c>
      <c r="H2466" t="s">
        <v>16939</v>
      </c>
      <c r="I2466">
        <f t="shared" ca="1" si="152"/>
        <v>19</v>
      </c>
      <c r="J2466" t="str">
        <f t="shared" ca="1" si="153"/>
        <v>18-29</v>
      </c>
      <c r="K2466">
        <v>30011.21</v>
      </c>
      <c r="L2466" t="str">
        <f>IF(Workforce[[#This Row],[Salary]]&lt;50000,"30k-49k",IF(Workforce[[#This Row],[Salary]]&lt;70000,"50k-69k",IF(Workforce[[#This Row],[Salary]]&lt;90000,"70k-89k","90k+")))</f>
        <v>30k-49k</v>
      </c>
      <c r="M2466" t="s">
        <v>15315</v>
      </c>
      <c r="N2466">
        <f t="shared" ca="1" si="154"/>
        <v>2</v>
      </c>
      <c r="O2466" t="str">
        <f t="shared" ca="1" si="155"/>
        <v>Beginner</v>
      </c>
    </row>
    <row r="2467" spans="1:15" x14ac:dyDescent="0.3">
      <c r="A2467" t="s">
        <v>16940</v>
      </c>
      <c r="B2467" t="s">
        <v>16941</v>
      </c>
      <c r="C2467" t="s">
        <v>17</v>
      </c>
      <c r="D2467" t="s">
        <v>16942</v>
      </c>
      <c r="E2467" t="s">
        <v>16943</v>
      </c>
      <c r="F2467" t="s">
        <v>1418</v>
      </c>
      <c r="G2467" t="s">
        <v>16944</v>
      </c>
      <c r="H2467" t="s">
        <v>14267</v>
      </c>
      <c r="I2467">
        <f t="shared" ca="1" si="152"/>
        <v>19</v>
      </c>
      <c r="J2467" t="str">
        <f t="shared" ca="1" si="153"/>
        <v>18-29</v>
      </c>
      <c r="K2467">
        <v>78071.41</v>
      </c>
      <c r="L2467" t="str">
        <f>IF(Workforce[[#This Row],[Salary]]&lt;50000,"30k-49k",IF(Workforce[[#This Row],[Salary]]&lt;70000,"50k-69k",IF(Workforce[[#This Row],[Salary]]&lt;90000,"70k-89k","90k+")))</f>
        <v>70k-89k</v>
      </c>
      <c r="M2467" t="s">
        <v>16738</v>
      </c>
      <c r="N2467">
        <f t="shared" ca="1" si="154"/>
        <v>3</v>
      </c>
      <c r="O2467" t="str">
        <f t="shared" ca="1" si="155"/>
        <v>Intermediate level</v>
      </c>
    </row>
    <row r="2468" spans="1:15" x14ac:dyDescent="0.3">
      <c r="A2468" t="s">
        <v>16945</v>
      </c>
      <c r="B2468" t="s">
        <v>16946</v>
      </c>
      <c r="C2468" t="s">
        <v>335</v>
      </c>
      <c r="D2468" t="s">
        <v>16947</v>
      </c>
      <c r="E2468" t="s">
        <v>16948</v>
      </c>
      <c r="F2468" t="s">
        <v>5910</v>
      </c>
      <c r="G2468" t="s">
        <v>16949</v>
      </c>
      <c r="H2468" t="s">
        <v>16950</v>
      </c>
      <c r="I2468">
        <f t="shared" ca="1" si="152"/>
        <v>62</v>
      </c>
      <c r="J2468" t="str">
        <f t="shared" ca="1" si="153"/>
        <v>60+</v>
      </c>
      <c r="K2468">
        <v>51686.65</v>
      </c>
      <c r="L2468" t="str">
        <f>IF(Workforce[[#This Row],[Salary]]&lt;50000,"30k-49k",IF(Workforce[[#This Row],[Salary]]&lt;70000,"50k-69k",IF(Workforce[[#This Row],[Salary]]&lt;90000,"70k-89k","90k+")))</f>
        <v>50k-69k</v>
      </c>
      <c r="M2468" t="s">
        <v>3074</v>
      </c>
      <c r="N2468">
        <f t="shared" ca="1" si="154"/>
        <v>3</v>
      </c>
      <c r="O2468" t="str">
        <f t="shared" ca="1" si="155"/>
        <v>Intermediate level</v>
      </c>
    </row>
    <row r="2469" spans="1:15" x14ac:dyDescent="0.3">
      <c r="A2469" t="s">
        <v>16951</v>
      </c>
      <c r="B2469" t="s">
        <v>16952</v>
      </c>
      <c r="C2469" t="s">
        <v>604</v>
      </c>
      <c r="D2469" t="s">
        <v>16953</v>
      </c>
      <c r="E2469" t="s">
        <v>16954</v>
      </c>
      <c r="F2469" t="s">
        <v>16955</v>
      </c>
      <c r="G2469" t="s">
        <v>16956</v>
      </c>
      <c r="H2469" t="s">
        <v>16957</v>
      </c>
      <c r="I2469">
        <f t="shared" ca="1" si="152"/>
        <v>54</v>
      </c>
      <c r="J2469" t="str">
        <f t="shared" ca="1" si="153"/>
        <v>50-59</v>
      </c>
      <c r="K2469">
        <v>114347.86</v>
      </c>
      <c r="L2469" t="str">
        <f>IF(Workforce[[#This Row],[Salary]]&lt;50000,"30k-49k",IF(Workforce[[#This Row],[Salary]]&lt;70000,"50k-69k",IF(Workforce[[#This Row],[Salary]]&lt;90000,"70k-89k","90k+")))</f>
        <v>90k+</v>
      </c>
      <c r="M2469" t="s">
        <v>10846</v>
      </c>
      <c r="N2469">
        <f t="shared" ca="1" si="154"/>
        <v>8</v>
      </c>
      <c r="O2469" t="str">
        <f t="shared" ca="1" si="155"/>
        <v>Senior level</v>
      </c>
    </row>
    <row r="2470" spans="1:15" x14ac:dyDescent="0.3">
      <c r="A2470" t="s">
        <v>16958</v>
      </c>
      <c r="B2470" t="s">
        <v>16959</v>
      </c>
      <c r="C2470" t="s">
        <v>580</v>
      </c>
      <c r="D2470" t="s">
        <v>16960</v>
      </c>
      <c r="E2470" t="s">
        <v>16961</v>
      </c>
      <c r="F2470" t="s">
        <v>5855</v>
      </c>
      <c r="G2470" t="s">
        <v>16962</v>
      </c>
      <c r="H2470" t="s">
        <v>16963</v>
      </c>
      <c r="I2470">
        <f t="shared" ca="1" si="152"/>
        <v>53</v>
      </c>
      <c r="J2470" t="str">
        <f t="shared" ca="1" si="153"/>
        <v>50-59</v>
      </c>
      <c r="K2470">
        <v>88561.08</v>
      </c>
      <c r="L2470" t="str">
        <f>IF(Workforce[[#This Row],[Salary]]&lt;50000,"30k-49k",IF(Workforce[[#This Row],[Salary]]&lt;70000,"50k-69k",IF(Workforce[[#This Row],[Salary]]&lt;90000,"70k-89k","90k+")))</f>
        <v>70k-89k</v>
      </c>
      <c r="M2470" t="s">
        <v>16964</v>
      </c>
      <c r="N2470">
        <f t="shared" ca="1" si="154"/>
        <v>8</v>
      </c>
      <c r="O2470" t="str">
        <f t="shared" ca="1" si="155"/>
        <v>Senior level</v>
      </c>
    </row>
    <row r="2471" spans="1:15" x14ac:dyDescent="0.3">
      <c r="A2471" t="s">
        <v>16965</v>
      </c>
      <c r="B2471" t="s">
        <v>16966</v>
      </c>
      <c r="C2471" t="s">
        <v>124</v>
      </c>
      <c r="D2471" t="s">
        <v>16967</v>
      </c>
      <c r="E2471" t="s">
        <v>16968</v>
      </c>
      <c r="F2471" t="s">
        <v>2864</v>
      </c>
      <c r="G2471" t="s">
        <v>16969</v>
      </c>
      <c r="H2471" t="s">
        <v>16970</v>
      </c>
      <c r="I2471">
        <f t="shared" ca="1" si="152"/>
        <v>20</v>
      </c>
      <c r="J2471" t="str">
        <f t="shared" ca="1" si="153"/>
        <v>18-29</v>
      </c>
      <c r="K2471">
        <v>89230.49</v>
      </c>
      <c r="L2471" t="str">
        <f>IF(Workforce[[#This Row],[Salary]]&lt;50000,"30k-49k",IF(Workforce[[#This Row],[Salary]]&lt;70000,"50k-69k",IF(Workforce[[#This Row],[Salary]]&lt;90000,"70k-89k","90k+")))</f>
        <v>70k-89k</v>
      </c>
      <c r="M2471" t="s">
        <v>16971</v>
      </c>
      <c r="N2471">
        <f t="shared" ca="1" si="154"/>
        <v>1</v>
      </c>
      <c r="O2471" t="str">
        <f t="shared" ca="1" si="155"/>
        <v>Beginner</v>
      </c>
    </row>
    <row r="2472" spans="1:15" x14ac:dyDescent="0.3">
      <c r="A2472" t="s">
        <v>16972</v>
      </c>
      <c r="B2472" t="s">
        <v>16973</v>
      </c>
      <c r="C2472" t="s">
        <v>142</v>
      </c>
      <c r="D2472" t="s">
        <v>16974</v>
      </c>
      <c r="E2472" t="s">
        <v>16975</v>
      </c>
      <c r="F2472" t="s">
        <v>3545</v>
      </c>
      <c r="G2472" t="s">
        <v>16976</v>
      </c>
      <c r="H2472" t="s">
        <v>16977</v>
      </c>
      <c r="I2472">
        <f t="shared" ca="1" si="152"/>
        <v>32</v>
      </c>
      <c r="J2472" t="str">
        <f t="shared" ca="1" si="153"/>
        <v>30-39</v>
      </c>
      <c r="K2472">
        <v>111123.22</v>
      </c>
      <c r="L2472" t="str">
        <f>IF(Workforce[[#This Row],[Salary]]&lt;50000,"30k-49k",IF(Workforce[[#This Row],[Salary]]&lt;70000,"50k-69k",IF(Workforce[[#This Row],[Salary]]&lt;90000,"70k-89k","90k+")))</f>
        <v>90k+</v>
      </c>
      <c r="M2472" t="s">
        <v>16978</v>
      </c>
      <c r="N2472">
        <f t="shared" ca="1" si="154"/>
        <v>7</v>
      </c>
      <c r="O2472" t="str">
        <f t="shared" ca="1" si="155"/>
        <v>Senior level</v>
      </c>
    </row>
    <row r="2473" spans="1:15" x14ac:dyDescent="0.3">
      <c r="A2473" t="s">
        <v>16979</v>
      </c>
      <c r="B2473" t="s">
        <v>16980</v>
      </c>
      <c r="C2473" t="s">
        <v>317</v>
      </c>
      <c r="D2473" t="s">
        <v>16981</v>
      </c>
      <c r="E2473" t="s">
        <v>16982</v>
      </c>
      <c r="F2473" t="s">
        <v>1289</v>
      </c>
      <c r="G2473" t="s">
        <v>16983</v>
      </c>
      <c r="H2473" t="s">
        <v>16984</v>
      </c>
      <c r="I2473">
        <f t="shared" ca="1" si="152"/>
        <v>60</v>
      </c>
      <c r="J2473" t="str">
        <f t="shared" ca="1" si="153"/>
        <v>60+</v>
      </c>
      <c r="K2473">
        <v>92464.6</v>
      </c>
      <c r="L2473" t="str">
        <f>IF(Workforce[[#This Row],[Salary]]&lt;50000,"30k-49k",IF(Workforce[[#This Row],[Salary]]&lt;70000,"50k-69k",IF(Workforce[[#This Row],[Salary]]&lt;90000,"70k-89k","90k+")))</f>
        <v>90k+</v>
      </c>
      <c r="M2473" t="s">
        <v>16985</v>
      </c>
      <c r="N2473">
        <f t="shared" ca="1" si="154"/>
        <v>3</v>
      </c>
      <c r="O2473" t="str">
        <f t="shared" ca="1" si="155"/>
        <v>Intermediate level</v>
      </c>
    </row>
    <row r="2474" spans="1:15" x14ac:dyDescent="0.3">
      <c r="A2474" t="s">
        <v>16986</v>
      </c>
      <c r="B2474" t="s">
        <v>16987</v>
      </c>
      <c r="C2474" t="s">
        <v>1223</v>
      </c>
      <c r="D2474" t="s">
        <v>16988</v>
      </c>
      <c r="E2474" t="s">
        <v>16989</v>
      </c>
      <c r="F2474" t="s">
        <v>2194</v>
      </c>
      <c r="G2474" t="s">
        <v>16990</v>
      </c>
      <c r="H2474" t="s">
        <v>16991</v>
      </c>
      <c r="I2474">
        <f t="shared" ca="1" si="152"/>
        <v>51</v>
      </c>
      <c r="J2474" t="str">
        <f t="shared" ca="1" si="153"/>
        <v>50-59</v>
      </c>
      <c r="K2474">
        <v>46271.05</v>
      </c>
      <c r="L2474" t="str">
        <f>IF(Workforce[[#This Row],[Salary]]&lt;50000,"30k-49k",IF(Workforce[[#This Row],[Salary]]&lt;70000,"50k-69k",IF(Workforce[[#This Row],[Salary]]&lt;90000,"70k-89k","90k+")))</f>
        <v>30k-49k</v>
      </c>
      <c r="M2474" t="s">
        <v>16992</v>
      </c>
      <c r="N2474">
        <f t="shared" ca="1" si="154"/>
        <v>10</v>
      </c>
      <c r="O2474" t="str">
        <f t="shared" ca="1" si="155"/>
        <v>Senior level</v>
      </c>
    </row>
    <row r="2475" spans="1:15" x14ac:dyDescent="0.3">
      <c r="A2475" t="s">
        <v>9136</v>
      </c>
      <c r="B2475" t="s">
        <v>16993</v>
      </c>
      <c r="C2475" t="s">
        <v>457</v>
      </c>
      <c r="D2475" t="s">
        <v>16994</v>
      </c>
      <c r="E2475" t="s">
        <v>16995</v>
      </c>
      <c r="F2475" t="s">
        <v>1076</v>
      </c>
      <c r="G2475" t="s">
        <v>16996</v>
      </c>
      <c r="H2475" t="s">
        <v>16997</v>
      </c>
      <c r="I2475">
        <f t="shared" ca="1" si="152"/>
        <v>19</v>
      </c>
      <c r="J2475" t="str">
        <f t="shared" ca="1" si="153"/>
        <v>18-29</v>
      </c>
      <c r="K2475">
        <v>116635.55</v>
      </c>
      <c r="L2475" t="str">
        <f>IF(Workforce[[#This Row],[Salary]]&lt;50000,"30k-49k",IF(Workforce[[#This Row],[Salary]]&lt;70000,"50k-69k",IF(Workforce[[#This Row],[Salary]]&lt;90000,"70k-89k","90k+")))</f>
        <v>90k+</v>
      </c>
      <c r="M2475" t="s">
        <v>9001</v>
      </c>
      <c r="N2475">
        <f t="shared" ca="1" si="154"/>
        <v>8</v>
      </c>
      <c r="O2475" t="str">
        <f t="shared" ca="1" si="155"/>
        <v>Senior level</v>
      </c>
    </row>
    <row r="2476" spans="1:15" x14ac:dyDescent="0.3">
      <c r="A2476" t="s">
        <v>16998</v>
      </c>
      <c r="B2476" t="s">
        <v>16999</v>
      </c>
      <c r="C2476" t="s">
        <v>580</v>
      </c>
      <c r="D2476" t="s">
        <v>17000</v>
      </c>
      <c r="E2476" t="s">
        <v>17001</v>
      </c>
      <c r="F2476" t="s">
        <v>17002</v>
      </c>
      <c r="G2476" t="s">
        <v>17003</v>
      </c>
      <c r="H2476" t="s">
        <v>17004</v>
      </c>
      <c r="I2476">
        <f t="shared" ca="1" si="152"/>
        <v>26</v>
      </c>
      <c r="J2476" t="str">
        <f t="shared" ca="1" si="153"/>
        <v>18-29</v>
      </c>
      <c r="K2476">
        <v>76435.3</v>
      </c>
      <c r="L2476" t="str">
        <f>IF(Workforce[[#This Row],[Salary]]&lt;50000,"30k-49k",IF(Workforce[[#This Row],[Salary]]&lt;70000,"50k-69k",IF(Workforce[[#This Row],[Salary]]&lt;90000,"70k-89k","90k+")))</f>
        <v>70k-89k</v>
      </c>
      <c r="M2476" t="s">
        <v>17005</v>
      </c>
      <c r="N2476">
        <f t="shared" ca="1" si="154"/>
        <v>3</v>
      </c>
      <c r="O2476" t="str">
        <f t="shared" ca="1" si="155"/>
        <v>Intermediate level</v>
      </c>
    </row>
    <row r="2477" spans="1:15" x14ac:dyDescent="0.3">
      <c r="A2477" t="s">
        <v>17006</v>
      </c>
      <c r="B2477" t="s">
        <v>17007</v>
      </c>
      <c r="C2477" t="s">
        <v>748</v>
      </c>
      <c r="D2477" t="s">
        <v>17008</v>
      </c>
      <c r="E2477" t="s">
        <v>17009</v>
      </c>
      <c r="F2477" t="s">
        <v>2505</v>
      </c>
      <c r="G2477" t="s">
        <v>17010</v>
      </c>
      <c r="H2477" t="s">
        <v>17011</v>
      </c>
      <c r="I2477">
        <f t="shared" ca="1" si="152"/>
        <v>37</v>
      </c>
      <c r="J2477" t="str">
        <f t="shared" ca="1" si="153"/>
        <v>30-39</v>
      </c>
      <c r="K2477">
        <v>77686.61</v>
      </c>
      <c r="L2477" t="str">
        <f>IF(Workforce[[#This Row],[Salary]]&lt;50000,"30k-49k",IF(Workforce[[#This Row],[Salary]]&lt;70000,"50k-69k",IF(Workforce[[#This Row],[Salary]]&lt;90000,"70k-89k","90k+")))</f>
        <v>70k-89k</v>
      </c>
      <c r="M2477" t="s">
        <v>1560</v>
      </c>
      <c r="N2477">
        <f t="shared" ca="1" si="154"/>
        <v>5</v>
      </c>
      <c r="O2477" t="str">
        <f t="shared" ca="1" si="155"/>
        <v>Intermediate level</v>
      </c>
    </row>
    <row r="2478" spans="1:15" x14ac:dyDescent="0.3">
      <c r="A2478" t="s">
        <v>17012</v>
      </c>
      <c r="B2478" t="s">
        <v>17013</v>
      </c>
      <c r="C2478" t="s">
        <v>17</v>
      </c>
      <c r="D2478" t="s">
        <v>17014</v>
      </c>
      <c r="E2478" t="s">
        <v>17015</v>
      </c>
      <c r="F2478" t="s">
        <v>7667</v>
      </c>
      <c r="G2478" t="s">
        <v>17016</v>
      </c>
      <c r="H2478" t="s">
        <v>17017</v>
      </c>
      <c r="I2478">
        <f t="shared" ca="1" si="152"/>
        <v>61</v>
      </c>
      <c r="J2478" t="str">
        <f t="shared" ca="1" si="153"/>
        <v>60+</v>
      </c>
      <c r="K2478">
        <v>77199.820000000007</v>
      </c>
      <c r="L2478" t="str">
        <f>IF(Workforce[[#This Row],[Salary]]&lt;50000,"30k-49k",IF(Workforce[[#This Row],[Salary]]&lt;70000,"50k-69k",IF(Workforce[[#This Row],[Salary]]&lt;90000,"70k-89k","90k+")))</f>
        <v>70k-89k</v>
      </c>
      <c r="M2478" t="s">
        <v>17018</v>
      </c>
      <c r="N2478">
        <f t="shared" ca="1" si="154"/>
        <v>10</v>
      </c>
      <c r="O2478" t="str">
        <f t="shared" ca="1" si="155"/>
        <v>Senior level</v>
      </c>
    </row>
    <row r="2479" spans="1:15" x14ac:dyDescent="0.3">
      <c r="A2479" t="s">
        <v>17019</v>
      </c>
      <c r="B2479" t="s">
        <v>17020</v>
      </c>
      <c r="C2479" t="s">
        <v>35</v>
      </c>
      <c r="D2479" t="s">
        <v>17021</v>
      </c>
      <c r="E2479" t="s">
        <v>17022</v>
      </c>
      <c r="F2479" t="s">
        <v>3971</v>
      </c>
      <c r="G2479" t="s">
        <v>17023</v>
      </c>
      <c r="H2479" t="s">
        <v>17024</v>
      </c>
      <c r="I2479">
        <f t="shared" ca="1" si="152"/>
        <v>50</v>
      </c>
      <c r="J2479" t="str">
        <f t="shared" ca="1" si="153"/>
        <v>50-59</v>
      </c>
      <c r="K2479">
        <v>102570.72</v>
      </c>
      <c r="L2479" t="str">
        <f>IF(Workforce[[#This Row],[Salary]]&lt;50000,"30k-49k",IF(Workforce[[#This Row],[Salary]]&lt;70000,"50k-69k",IF(Workforce[[#This Row],[Salary]]&lt;90000,"70k-89k","90k+")))</f>
        <v>90k+</v>
      </c>
      <c r="M2479" t="s">
        <v>12669</v>
      </c>
      <c r="N2479">
        <f t="shared" ca="1" si="154"/>
        <v>4</v>
      </c>
      <c r="O2479" t="str">
        <f t="shared" ca="1" si="155"/>
        <v>Intermediate level</v>
      </c>
    </row>
    <row r="2480" spans="1:15" x14ac:dyDescent="0.3">
      <c r="A2480" t="s">
        <v>17025</v>
      </c>
      <c r="B2480" t="s">
        <v>17026</v>
      </c>
      <c r="C2480" t="s">
        <v>257</v>
      </c>
      <c r="D2480" t="s">
        <v>17027</v>
      </c>
      <c r="E2480" t="s">
        <v>17028</v>
      </c>
      <c r="F2480" t="s">
        <v>1265</v>
      </c>
      <c r="G2480" t="s">
        <v>17029</v>
      </c>
      <c r="H2480" t="s">
        <v>17030</v>
      </c>
      <c r="I2480">
        <f t="shared" ca="1" si="152"/>
        <v>49</v>
      </c>
      <c r="J2480" t="str">
        <f t="shared" ca="1" si="153"/>
        <v>40-49</v>
      </c>
      <c r="K2480">
        <v>48833.35</v>
      </c>
      <c r="L2480" t="str">
        <f>IF(Workforce[[#This Row],[Salary]]&lt;50000,"30k-49k",IF(Workforce[[#This Row],[Salary]]&lt;70000,"50k-69k",IF(Workforce[[#This Row],[Salary]]&lt;90000,"70k-89k","90k+")))</f>
        <v>30k-49k</v>
      </c>
      <c r="M2480" t="s">
        <v>17031</v>
      </c>
      <c r="N2480">
        <f t="shared" ca="1" si="154"/>
        <v>4</v>
      </c>
      <c r="O2480" t="str">
        <f t="shared" ca="1" si="155"/>
        <v>Intermediate level</v>
      </c>
    </row>
    <row r="2481" spans="1:15" x14ac:dyDescent="0.3">
      <c r="A2481" t="s">
        <v>17032</v>
      </c>
      <c r="B2481" t="s">
        <v>17033</v>
      </c>
      <c r="C2481" t="s">
        <v>222</v>
      </c>
      <c r="D2481" t="s">
        <v>17034</v>
      </c>
      <c r="E2481" t="s">
        <v>17035</v>
      </c>
      <c r="F2481" t="s">
        <v>1803</v>
      </c>
      <c r="G2481" t="s">
        <v>17036</v>
      </c>
      <c r="H2481" t="s">
        <v>17037</v>
      </c>
      <c r="I2481">
        <f t="shared" ca="1" si="152"/>
        <v>39</v>
      </c>
      <c r="J2481" t="str">
        <f t="shared" ca="1" si="153"/>
        <v>30-39</v>
      </c>
      <c r="K2481">
        <v>85774.84</v>
      </c>
      <c r="L2481" t="str">
        <f>IF(Workforce[[#This Row],[Salary]]&lt;50000,"30k-49k",IF(Workforce[[#This Row],[Salary]]&lt;70000,"50k-69k",IF(Workforce[[#This Row],[Salary]]&lt;90000,"70k-89k","90k+")))</f>
        <v>70k-89k</v>
      </c>
      <c r="M2481" t="s">
        <v>16866</v>
      </c>
      <c r="N2481">
        <f t="shared" ca="1" si="154"/>
        <v>8</v>
      </c>
      <c r="O2481" t="str">
        <f t="shared" ca="1" si="155"/>
        <v>Senior level</v>
      </c>
    </row>
    <row r="2482" spans="1:15" x14ac:dyDescent="0.3">
      <c r="A2482" t="s">
        <v>17038</v>
      </c>
      <c r="B2482" t="s">
        <v>17039</v>
      </c>
      <c r="C2482" t="s">
        <v>1159</v>
      </c>
      <c r="D2482" t="s">
        <v>17040</v>
      </c>
      <c r="E2482" t="s">
        <v>17041</v>
      </c>
      <c r="F2482" t="s">
        <v>403</v>
      </c>
      <c r="G2482" t="s">
        <v>17042</v>
      </c>
      <c r="H2482" t="s">
        <v>17043</v>
      </c>
      <c r="I2482">
        <f t="shared" ca="1" si="152"/>
        <v>56</v>
      </c>
      <c r="J2482" t="str">
        <f t="shared" ca="1" si="153"/>
        <v>50-59</v>
      </c>
      <c r="K2482">
        <v>35735.33</v>
      </c>
      <c r="L2482" t="str">
        <f>IF(Workforce[[#This Row],[Salary]]&lt;50000,"30k-49k",IF(Workforce[[#This Row],[Salary]]&lt;70000,"50k-69k",IF(Workforce[[#This Row],[Salary]]&lt;90000,"70k-89k","90k+")))</f>
        <v>30k-49k</v>
      </c>
      <c r="M2482" t="s">
        <v>5646</v>
      </c>
      <c r="N2482">
        <f t="shared" ca="1" si="154"/>
        <v>7</v>
      </c>
      <c r="O2482" t="str">
        <f t="shared" ca="1" si="155"/>
        <v>Senior level</v>
      </c>
    </row>
    <row r="2483" spans="1:15" x14ac:dyDescent="0.3">
      <c r="A2483" t="s">
        <v>17044</v>
      </c>
      <c r="B2483" t="s">
        <v>17045</v>
      </c>
      <c r="C2483" t="s">
        <v>257</v>
      </c>
      <c r="D2483" t="s">
        <v>17046</v>
      </c>
      <c r="E2483" t="s">
        <v>17047</v>
      </c>
      <c r="F2483" t="s">
        <v>6247</v>
      </c>
      <c r="G2483" t="s">
        <v>17048</v>
      </c>
      <c r="H2483" t="s">
        <v>17049</v>
      </c>
      <c r="I2483">
        <f t="shared" ca="1" si="152"/>
        <v>53</v>
      </c>
      <c r="J2483" t="str">
        <f t="shared" ca="1" si="153"/>
        <v>50-59</v>
      </c>
      <c r="K2483">
        <v>69288.070000000007</v>
      </c>
      <c r="L2483" t="str">
        <f>IF(Workforce[[#This Row],[Salary]]&lt;50000,"30k-49k",IF(Workforce[[#This Row],[Salary]]&lt;70000,"50k-69k",IF(Workforce[[#This Row],[Salary]]&lt;90000,"70k-89k","90k+")))</f>
        <v>50k-69k</v>
      </c>
      <c r="M2483" t="s">
        <v>17050</v>
      </c>
      <c r="N2483">
        <f t="shared" ca="1" si="154"/>
        <v>6</v>
      </c>
      <c r="O2483" t="str">
        <f t="shared" ca="1" si="155"/>
        <v>Intermediate level</v>
      </c>
    </row>
    <row r="2484" spans="1:15" x14ac:dyDescent="0.3">
      <c r="A2484" t="s">
        <v>17051</v>
      </c>
      <c r="B2484" t="s">
        <v>17052</v>
      </c>
      <c r="C2484" t="s">
        <v>844</v>
      </c>
      <c r="D2484" t="s">
        <v>17053</v>
      </c>
      <c r="E2484" t="s">
        <v>17054</v>
      </c>
      <c r="F2484" t="s">
        <v>1580</v>
      </c>
      <c r="G2484" t="s">
        <v>17055</v>
      </c>
      <c r="H2484" t="s">
        <v>17056</v>
      </c>
      <c r="I2484">
        <f t="shared" ca="1" si="152"/>
        <v>35</v>
      </c>
      <c r="J2484" t="str">
        <f t="shared" ca="1" si="153"/>
        <v>30-39</v>
      </c>
      <c r="K2484">
        <v>93089.919999999998</v>
      </c>
      <c r="L2484" t="str">
        <f>IF(Workforce[[#This Row],[Salary]]&lt;50000,"30k-49k",IF(Workforce[[#This Row],[Salary]]&lt;70000,"50k-69k",IF(Workforce[[#This Row],[Salary]]&lt;90000,"70k-89k","90k+")))</f>
        <v>90k+</v>
      </c>
      <c r="M2484" t="s">
        <v>7139</v>
      </c>
      <c r="N2484">
        <f t="shared" ca="1" si="154"/>
        <v>3</v>
      </c>
      <c r="O2484" t="str">
        <f t="shared" ca="1" si="155"/>
        <v>Intermediate level</v>
      </c>
    </row>
    <row r="2485" spans="1:15" x14ac:dyDescent="0.3">
      <c r="A2485" t="s">
        <v>17057</v>
      </c>
      <c r="B2485" t="s">
        <v>17058</v>
      </c>
      <c r="C2485" t="s">
        <v>2086</v>
      </c>
      <c r="D2485" t="s">
        <v>17059</v>
      </c>
      <c r="E2485" t="s">
        <v>17060</v>
      </c>
      <c r="F2485" t="s">
        <v>6740</v>
      </c>
      <c r="G2485" t="s">
        <v>5702</v>
      </c>
      <c r="H2485" t="s">
        <v>17061</v>
      </c>
      <c r="I2485">
        <f t="shared" ca="1" si="152"/>
        <v>58</v>
      </c>
      <c r="J2485" t="str">
        <f t="shared" ca="1" si="153"/>
        <v>50-59</v>
      </c>
      <c r="K2485">
        <v>93029.23</v>
      </c>
      <c r="L2485" t="str">
        <f>IF(Workforce[[#This Row],[Salary]]&lt;50000,"30k-49k",IF(Workforce[[#This Row],[Salary]]&lt;70000,"50k-69k",IF(Workforce[[#This Row],[Salary]]&lt;90000,"70k-89k","90k+")))</f>
        <v>90k+</v>
      </c>
      <c r="M2485" t="s">
        <v>17062</v>
      </c>
      <c r="N2485">
        <f t="shared" ca="1" si="154"/>
        <v>3</v>
      </c>
      <c r="O2485" t="str">
        <f t="shared" ca="1" si="155"/>
        <v>Intermediate level</v>
      </c>
    </row>
    <row r="2486" spans="1:15" x14ac:dyDescent="0.3">
      <c r="A2486" t="s">
        <v>17063</v>
      </c>
      <c r="B2486" t="s">
        <v>17064</v>
      </c>
      <c r="C2486" t="s">
        <v>178</v>
      </c>
      <c r="D2486" t="s">
        <v>17065</v>
      </c>
      <c r="E2486" t="s">
        <v>17066</v>
      </c>
      <c r="F2486" t="s">
        <v>14608</v>
      </c>
      <c r="G2486" t="s">
        <v>17067</v>
      </c>
      <c r="H2486" t="s">
        <v>17068</v>
      </c>
      <c r="I2486">
        <f t="shared" ca="1" si="152"/>
        <v>43</v>
      </c>
      <c r="J2486" t="str">
        <f t="shared" ca="1" si="153"/>
        <v>40-49</v>
      </c>
      <c r="K2486">
        <v>104860.02</v>
      </c>
      <c r="L2486" t="str">
        <f>IF(Workforce[[#This Row],[Salary]]&lt;50000,"30k-49k",IF(Workforce[[#This Row],[Salary]]&lt;70000,"50k-69k",IF(Workforce[[#This Row],[Salary]]&lt;90000,"70k-89k","90k+")))</f>
        <v>90k+</v>
      </c>
      <c r="M2486" t="s">
        <v>17069</v>
      </c>
      <c r="N2486">
        <f t="shared" ca="1" si="154"/>
        <v>4</v>
      </c>
      <c r="O2486" t="str">
        <f t="shared" ca="1" si="155"/>
        <v>Intermediate level</v>
      </c>
    </row>
    <row r="2487" spans="1:15" x14ac:dyDescent="0.3">
      <c r="A2487" t="s">
        <v>17070</v>
      </c>
      <c r="B2487" t="s">
        <v>17071</v>
      </c>
      <c r="C2487" t="s">
        <v>187</v>
      </c>
      <c r="D2487" t="s">
        <v>17072</v>
      </c>
      <c r="E2487" t="s">
        <v>17073</v>
      </c>
      <c r="F2487" t="s">
        <v>7079</v>
      </c>
      <c r="G2487" t="s">
        <v>17074</v>
      </c>
      <c r="H2487" t="s">
        <v>17075</v>
      </c>
      <c r="I2487">
        <f t="shared" ca="1" si="152"/>
        <v>62</v>
      </c>
      <c r="J2487" t="str">
        <f t="shared" ca="1" si="153"/>
        <v>60+</v>
      </c>
      <c r="K2487">
        <v>44142.74</v>
      </c>
      <c r="L2487" t="str">
        <f>IF(Workforce[[#This Row],[Salary]]&lt;50000,"30k-49k",IF(Workforce[[#This Row],[Salary]]&lt;70000,"50k-69k",IF(Workforce[[#This Row],[Salary]]&lt;90000,"70k-89k","90k+")))</f>
        <v>30k-49k</v>
      </c>
      <c r="M2487" t="s">
        <v>8058</v>
      </c>
      <c r="N2487">
        <f t="shared" ca="1" si="154"/>
        <v>7</v>
      </c>
      <c r="O2487" t="str">
        <f t="shared" ca="1" si="155"/>
        <v>Senior level</v>
      </c>
    </row>
    <row r="2488" spans="1:15" x14ac:dyDescent="0.3">
      <c r="A2488" t="s">
        <v>17076</v>
      </c>
      <c r="B2488" t="s">
        <v>17077</v>
      </c>
      <c r="C2488" t="s">
        <v>44</v>
      </c>
      <c r="D2488" t="s">
        <v>17078</v>
      </c>
      <c r="E2488" t="s">
        <v>17079</v>
      </c>
      <c r="F2488" t="s">
        <v>5523</v>
      </c>
      <c r="G2488" t="s">
        <v>17080</v>
      </c>
      <c r="H2488" t="s">
        <v>5561</v>
      </c>
      <c r="I2488">
        <f t="shared" ca="1" si="152"/>
        <v>34</v>
      </c>
      <c r="J2488" t="str">
        <f t="shared" ca="1" si="153"/>
        <v>30-39</v>
      </c>
      <c r="K2488">
        <v>76921.39</v>
      </c>
      <c r="L2488" t="str">
        <f>IF(Workforce[[#This Row],[Salary]]&lt;50000,"30k-49k",IF(Workforce[[#This Row],[Salary]]&lt;70000,"50k-69k",IF(Workforce[[#This Row],[Salary]]&lt;90000,"70k-89k","90k+")))</f>
        <v>70k-89k</v>
      </c>
      <c r="M2488" t="s">
        <v>17081</v>
      </c>
      <c r="N2488">
        <f t="shared" ca="1" si="154"/>
        <v>9</v>
      </c>
      <c r="O2488" t="str">
        <f t="shared" ca="1" si="155"/>
        <v>Senior level</v>
      </c>
    </row>
    <row r="2489" spans="1:15" x14ac:dyDescent="0.3">
      <c r="A2489" t="s">
        <v>17082</v>
      </c>
      <c r="B2489" t="s">
        <v>17083</v>
      </c>
      <c r="C2489" t="s">
        <v>317</v>
      </c>
      <c r="D2489" t="s">
        <v>17084</v>
      </c>
      <c r="E2489" t="s">
        <v>17085</v>
      </c>
      <c r="F2489" t="s">
        <v>8934</v>
      </c>
      <c r="G2489" t="s">
        <v>17086</v>
      </c>
      <c r="H2489" t="s">
        <v>17087</v>
      </c>
      <c r="I2489">
        <f t="shared" ca="1" si="152"/>
        <v>19</v>
      </c>
      <c r="J2489" t="str">
        <f t="shared" ca="1" si="153"/>
        <v>18-29</v>
      </c>
      <c r="K2489">
        <v>69408.12</v>
      </c>
      <c r="L2489" t="str">
        <f>IF(Workforce[[#This Row],[Salary]]&lt;50000,"30k-49k",IF(Workforce[[#This Row],[Salary]]&lt;70000,"50k-69k",IF(Workforce[[#This Row],[Salary]]&lt;90000,"70k-89k","90k+")))</f>
        <v>50k-69k</v>
      </c>
      <c r="M2489" t="s">
        <v>14021</v>
      </c>
      <c r="N2489">
        <f t="shared" ca="1" si="154"/>
        <v>4</v>
      </c>
      <c r="O2489" t="str">
        <f t="shared" ca="1" si="155"/>
        <v>Intermediate level</v>
      </c>
    </row>
    <row r="2490" spans="1:15" x14ac:dyDescent="0.3">
      <c r="A2490" t="s">
        <v>17088</v>
      </c>
      <c r="B2490" t="s">
        <v>17089</v>
      </c>
      <c r="C2490" t="s">
        <v>653</v>
      </c>
      <c r="D2490" t="s">
        <v>17090</v>
      </c>
      <c r="E2490" t="s">
        <v>17091</v>
      </c>
      <c r="F2490" t="s">
        <v>1351</v>
      </c>
      <c r="G2490" t="s">
        <v>17092</v>
      </c>
      <c r="H2490" t="s">
        <v>17093</v>
      </c>
      <c r="I2490">
        <f t="shared" ca="1" si="152"/>
        <v>60</v>
      </c>
      <c r="J2490" t="str">
        <f t="shared" ca="1" si="153"/>
        <v>60+</v>
      </c>
      <c r="K2490">
        <v>50020.97</v>
      </c>
      <c r="L2490" t="str">
        <f>IF(Workforce[[#This Row],[Salary]]&lt;50000,"30k-49k",IF(Workforce[[#This Row],[Salary]]&lt;70000,"50k-69k",IF(Workforce[[#This Row],[Salary]]&lt;90000,"70k-89k","90k+")))</f>
        <v>50k-69k</v>
      </c>
      <c r="M2490" t="s">
        <v>5975</v>
      </c>
      <c r="N2490">
        <f t="shared" ca="1" si="154"/>
        <v>3</v>
      </c>
      <c r="O2490" t="str">
        <f t="shared" ca="1" si="155"/>
        <v>Intermediate level</v>
      </c>
    </row>
    <row r="2491" spans="1:15" x14ac:dyDescent="0.3">
      <c r="A2491" t="s">
        <v>17094</v>
      </c>
      <c r="B2491" t="s">
        <v>17095</v>
      </c>
      <c r="C2491" t="s">
        <v>1043</v>
      </c>
      <c r="D2491" t="s">
        <v>17096</v>
      </c>
      <c r="E2491" t="s">
        <v>17097</v>
      </c>
      <c r="F2491" t="s">
        <v>15258</v>
      </c>
      <c r="G2491" t="s">
        <v>2506</v>
      </c>
      <c r="H2491" t="s">
        <v>17098</v>
      </c>
      <c r="I2491">
        <f t="shared" ca="1" si="152"/>
        <v>50</v>
      </c>
      <c r="J2491" t="str">
        <f t="shared" ca="1" si="153"/>
        <v>50-59</v>
      </c>
      <c r="K2491">
        <v>82741.59</v>
      </c>
      <c r="L2491" t="str">
        <f>IF(Workforce[[#This Row],[Salary]]&lt;50000,"30k-49k",IF(Workforce[[#This Row],[Salary]]&lt;70000,"50k-69k",IF(Workforce[[#This Row],[Salary]]&lt;90000,"70k-89k","90k+")))</f>
        <v>70k-89k</v>
      </c>
      <c r="M2491" t="s">
        <v>10758</v>
      </c>
      <c r="N2491">
        <f t="shared" ca="1" si="154"/>
        <v>3</v>
      </c>
      <c r="O2491" t="str">
        <f t="shared" ca="1" si="155"/>
        <v>Intermediate level</v>
      </c>
    </row>
    <row r="2492" spans="1:15" x14ac:dyDescent="0.3">
      <c r="A2492" t="s">
        <v>17099</v>
      </c>
      <c r="B2492" t="s">
        <v>17100</v>
      </c>
      <c r="C2492" t="s">
        <v>115</v>
      </c>
      <c r="D2492" t="s">
        <v>17101</v>
      </c>
      <c r="E2492" t="s">
        <v>17102</v>
      </c>
      <c r="F2492" t="s">
        <v>7582</v>
      </c>
      <c r="G2492" t="s">
        <v>17103</v>
      </c>
      <c r="H2492" t="s">
        <v>17104</v>
      </c>
      <c r="I2492">
        <f t="shared" ca="1" si="152"/>
        <v>44</v>
      </c>
      <c r="J2492" t="str">
        <f t="shared" ca="1" si="153"/>
        <v>40-49</v>
      </c>
      <c r="K2492">
        <v>32489.32</v>
      </c>
      <c r="L2492" t="str">
        <f>IF(Workforce[[#This Row],[Salary]]&lt;50000,"30k-49k",IF(Workforce[[#This Row],[Salary]]&lt;70000,"50k-69k",IF(Workforce[[#This Row],[Salary]]&lt;90000,"70k-89k","90k+")))</f>
        <v>30k-49k</v>
      </c>
      <c r="M2492" t="s">
        <v>6409</v>
      </c>
      <c r="N2492">
        <f t="shared" ca="1" si="154"/>
        <v>3</v>
      </c>
      <c r="O2492" t="str">
        <f t="shared" ca="1" si="155"/>
        <v>Intermediate level</v>
      </c>
    </row>
    <row r="2493" spans="1:15" x14ac:dyDescent="0.3">
      <c r="A2493" t="s">
        <v>17105</v>
      </c>
      <c r="B2493" t="s">
        <v>17106</v>
      </c>
      <c r="C2493" t="s">
        <v>284</v>
      </c>
      <c r="D2493" t="s">
        <v>17107</v>
      </c>
      <c r="E2493" t="s">
        <v>17108</v>
      </c>
      <c r="F2493" t="s">
        <v>2336</v>
      </c>
      <c r="G2493" t="s">
        <v>17109</v>
      </c>
      <c r="H2493" t="s">
        <v>17110</v>
      </c>
      <c r="I2493">
        <f t="shared" ca="1" si="152"/>
        <v>43</v>
      </c>
      <c r="J2493" t="str">
        <f t="shared" ca="1" si="153"/>
        <v>40-49</v>
      </c>
      <c r="K2493">
        <v>38290.51</v>
      </c>
      <c r="L2493" t="str">
        <f>IF(Workforce[[#This Row],[Salary]]&lt;50000,"30k-49k",IF(Workforce[[#This Row],[Salary]]&lt;70000,"50k-69k",IF(Workforce[[#This Row],[Salary]]&lt;90000,"70k-89k","90k+")))</f>
        <v>30k-49k</v>
      </c>
      <c r="M2493" t="s">
        <v>4419</v>
      </c>
      <c r="N2493">
        <f t="shared" ca="1" si="154"/>
        <v>4</v>
      </c>
      <c r="O2493" t="str">
        <f t="shared" ca="1" si="155"/>
        <v>Intermediate level</v>
      </c>
    </row>
    <row r="2494" spans="1:15" x14ac:dyDescent="0.3">
      <c r="A2494" t="s">
        <v>17111</v>
      </c>
      <c r="B2494" t="s">
        <v>17112</v>
      </c>
      <c r="C2494" t="s">
        <v>317</v>
      </c>
      <c r="D2494" t="s">
        <v>17113</v>
      </c>
      <c r="E2494" t="s">
        <v>17114</v>
      </c>
      <c r="F2494" t="s">
        <v>7242</v>
      </c>
      <c r="G2494" t="s">
        <v>17115</v>
      </c>
      <c r="H2494" t="s">
        <v>17116</v>
      </c>
      <c r="I2494">
        <f t="shared" ca="1" si="152"/>
        <v>29</v>
      </c>
      <c r="J2494" t="str">
        <f t="shared" ca="1" si="153"/>
        <v>18-29</v>
      </c>
      <c r="K2494">
        <v>84215.3</v>
      </c>
      <c r="L2494" t="str">
        <f>IF(Workforce[[#This Row],[Salary]]&lt;50000,"30k-49k",IF(Workforce[[#This Row],[Salary]]&lt;70000,"50k-69k",IF(Workforce[[#This Row],[Salary]]&lt;90000,"70k-89k","90k+")))</f>
        <v>70k-89k</v>
      </c>
      <c r="M2494" t="s">
        <v>1165</v>
      </c>
      <c r="N2494">
        <f t="shared" ca="1" si="154"/>
        <v>1</v>
      </c>
      <c r="O2494" t="str">
        <f t="shared" ca="1" si="155"/>
        <v>Beginner</v>
      </c>
    </row>
    <row r="2495" spans="1:15" x14ac:dyDescent="0.3">
      <c r="A2495" t="s">
        <v>17117</v>
      </c>
      <c r="B2495" t="s">
        <v>17118</v>
      </c>
      <c r="C2495" t="s">
        <v>187</v>
      </c>
      <c r="D2495" t="s">
        <v>17119</v>
      </c>
      <c r="E2495" t="s">
        <v>17120</v>
      </c>
      <c r="F2495" t="s">
        <v>1689</v>
      </c>
      <c r="G2495" t="s">
        <v>17121</v>
      </c>
      <c r="H2495" t="s">
        <v>17122</v>
      </c>
      <c r="I2495">
        <f t="shared" ca="1" si="152"/>
        <v>37</v>
      </c>
      <c r="J2495" t="str">
        <f t="shared" ca="1" si="153"/>
        <v>30-39</v>
      </c>
      <c r="K2495">
        <v>83255.039999999994</v>
      </c>
      <c r="L2495" t="str">
        <f>IF(Workforce[[#This Row],[Salary]]&lt;50000,"30k-49k",IF(Workforce[[#This Row],[Salary]]&lt;70000,"50k-69k",IF(Workforce[[#This Row],[Salary]]&lt;90000,"70k-89k","90k+")))</f>
        <v>70k-89k</v>
      </c>
      <c r="M2495" t="s">
        <v>17123</v>
      </c>
      <c r="N2495">
        <f t="shared" ca="1" si="154"/>
        <v>2</v>
      </c>
      <c r="O2495" t="str">
        <f t="shared" ca="1" si="155"/>
        <v>Beginner</v>
      </c>
    </row>
    <row r="2496" spans="1:15" x14ac:dyDescent="0.3">
      <c r="A2496" t="s">
        <v>17124</v>
      </c>
      <c r="B2496" t="s">
        <v>17125</v>
      </c>
      <c r="C2496" t="s">
        <v>151</v>
      </c>
      <c r="D2496" t="s">
        <v>17126</v>
      </c>
      <c r="E2496" t="s">
        <v>17127</v>
      </c>
      <c r="F2496" t="s">
        <v>8351</v>
      </c>
      <c r="G2496" t="s">
        <v>17128</v>
      </c>
      <c r="H2496" t="s">
        <v>12853</v>
      </c>
      <c r="I2496">
        <f t="shared" ca="1" si="152"/>
        <v>33</v>
      </c>
      <c r="J2496" t="str">
        <f t="shared" ca="1" si="153"/>
        <v>30-39</v>
      </c>
      <c r="K2496">
        <v>57825.83</v>
      </c>
      <c r="L2496" t="str">
        <f>IF(Workforce[[#This Row],[Salary]]&lt;50000,"30k-49k",IF(Workforce[[#This Row],[Salary]]&lt;70000,"50k-69k",IF(Workforce[[#This Row],[Salary]]&lt;90000,"70k-89k","90k+")))</f>
        <v>50k-69k</v>
      </c>
      <c r="M2496" t="s">
        <v>17129</v>
      </c>
      <c r="N2496">
        <f t="shared" ca="1" si="154"/>
        <v>1</v>
      </c>
      <c r="O2496" t="str">
        <f t="shared" ca="1" si="155"/>
        <v>Beginner</v>
      </c>
    </row>
    <row r="2497" spans="1:15" x14ac:dyDescent="0.3">
      <c r="A2497" t="s">
        <v>17130</v>
      </c>
      <c r="B2497" t="s">
        <v>17131</v>
      </c>
      <c r="C2497" t="s">
        <v>257</v>
      </c>
      <c r="D2497" t="s">
        <v>17132</v>
      </c>
      <c r="E2497" t="s">
        <v>17133</v>
      </c>
      <c r="F2497" t="s">
        <v>3183</v>
      </c>
      <c r="G2497" t="s">
        <v>17134</v>
      </c>
      <c r="H2497" t="s">
        <v>17135</v>
      </c>
      <c r="I2497">
        <f t="shared" ca="1" si="152"/>
        <v>38</v>
      </c>
      <c r="J2497" t="str">
        <f t="shared" ca="1" si="153"/>
        <v>30-39</v>
      </c>
      <c r="K2497">
        <v>41390.550000000003</v>
      </c>
      <c r="L2497" t="str">
        <f>IF(Workforce[[#This Row],[Salary]]&lt;50000,"30k-49k",IF(Workforce[[#This Row],[Salary]]&lt;70000,"50k-69k",IF(Workforce[[#This Row],[Salary]]&lt;90000,"70k-89k","90k+")))</f>
        <v>30k-49k</v>
      </c>
      <c r="M2497" t="s">
        <v>2061</v>
      </c>
      <c r="N2497">
        <f t="shared" ca="1" si="154"/>
        <v>1</v>
      </c>
      <c r="O2497" t="str">
        <f t="shared" ca="1" si="155"/>
        <v>Beginner</v>
      </c>
    </row>
    <row r="2498" spans="1:15" x14ac:dyDescent="0.3">
      <c r="A2498" t="s">
        <v>17136</v>
      </c>
      <c r="B2498" t="s">
        <v>17137</v>
      </c>
      <c r="C2498" t="s">
        <v>97</v>
      </c>
      <c r="D2498" t="s">
        <v>17138</v>
      </c>
      <c r="E2498" t="s">
        <v>17139</v>
      </c>
      <c r="F2498" t="s">
        <v>311</v>
      </c>
      <c r="G2498" t="s">
        <v>17140</v>
      </c>
      <c r="H2498" t="s">
        <v>17141</v>
      </c>
      <c r="I2498">
        <f t="shared" ref="I2498:I2561" ca="1" si="156">DATEDIF(H2498,TODAY(),"y")</f>
        <v>22</v>
      </c>
      <c r="J2498" t="str">
        <f t="shared" ref="J2498:J2561" ca="1" si="157">IF(I2498&lt;30,"18-29",IF(I2498&lt;40,"30-39",IF(I2498&lt;50,"40-49",IF(I2498&lt;60,"50-59","60+"))))</f>
        <v>18-29</v>
      </c>
      <c r="K2498">
        <v>59098.58</v>
      </c>
      <c r="L2498" t="str">
        <f>IF(Workforce[[#This Row],[Salary]]&lt;50000,"30k-49k",IF(Workforce[[#This Row],[Salary]]&lt;70000,"50k-69k",IF(Workforce[[#This Row],[Salary]]&lt;90000,"70k-89k","90k+")))</f>
        <v>50k-69k</v>
      </c>
      <c r="M2498" t="s">
        <v>17142</v>
      </c>
      <c r="N2498">
        <f t="shared" ref="N2498:N2561" ca="1" si="158">DATEDIF(M2498,TODAY(),"y")</f>
        <v>6</v>
      </c>
      <c r="O2498" t="str">
        <f t="shared" ref="O2498:O2561" ca="1" si="159">IF(N2498&lt;=2,"Beginner",IF(N2498&lt;=6,"Intermediate level","Senior level"))</f>
        <v>Intermediate level</v>
      </c>
    </row>
    <row r="2499" spans="1:15" x14ac:dyDescent="0.3">
      <c r="A2499" t="s">
        <v>17143</v>
      </c>
      <c r="B2499" t="s">
        <v>17144</v>
      </c>
      <c r="C2499" t="s">
        <v>774</v>
      </c>
      <c r="D2499" t="s">
        <v>17145</v>
      </c>
      <c r="E2499" t="s">
        <v>17146</v>
      </c>
      <c r="F2499" t="s">
        <v>7234</v>
      </c>
      <c r="G2499" t="s">
        <v>17147</v>
      </c>
      <c r="H2499" t="s">
        <v>17148</v>
      </c>
      <c r="I2499">
        <f t="shared" ca="1" si="156"/>
        <v>54</v>
      </c>
      <c r="J2499" t="str">
        <f t="shared" ca="1" si="157"/>
        <v>50-59</v>
      </c>
      <c r="K2499">
        <v>99425.93</v>
      </c>
      <c r="L2499" t="str">
        <f>IF(Workforce[[#This Row],[Salary]]&lt;50000,"30k-49k",IF(Workforce[[#This Row],[Salary]]&lt;70000,"50k-69k",IF(Workforce[[#This Row],[Salary]]&lt;90000,"70k-89k","90k+")))</f>
        <v>90k+</v>
      </c>
      <c r="M2499" t="s">
        <v>8830</v>
      </c>
      <c r="N2499">
        <f t="shared" ca="1" si="158"/>
        <v>8</v>
      </c>
      <c r="O2499" t="str">
        <f t="shared" ca="1" si="159"/>
        <v>Senior level</v>
      </c>
    </row>
    <row r="2500" spans="1:15" x14ac:dyDescent="0.3">
      <c r="A2500" t="s">
        <v>17149</v>
      </c>
      <c r="B2500" t="s">
        <v>17150</v>
      </c>
      <c r="C2500" t="s">
        <v>160</v>
      </c>
      <c r="D2500" t="s">
        <v>17151</v>
      </c>
      <c r="E2500" t="s">
        <v>17152</v>
      </c>
      <c r="F2500" t="s">
        <v>5053</v>
      </c>
      <c r="G2500" t="s">
        <v>17153</v>
      </c>
      <c r="H2500" t="s">
        <v>17154</v>
      </c>
      <c r="I2500">
        <f t="shared" ca="1" si="156"/>
        <v>53</v>
      </c>
      <c r="J2500" t="str">
        <f t="shared" ca="1" si="157"/>
        <v>50-59</v>
      </c>
      <c r="K2500">
        <v>37304.69</v>
      </c>
      <c r="L2500" t="str">
        <f>IF(Workforce[[#This Row],[Salary]]&lt;50000,"30k-49k",IF(Workforce[[#This Row],[Salary]]&lt;70000,"50k-69k",IF(Workforce[[#This Row],[Salary]]&lt;90000,"70k-89k","90k+")))</f>
        <v>30k-49k</v>
      </c>
      <c r="M2500" t="s">
        <v>16036</v>
      </c>
      <c r="N2500">
        <f t="shared" ca="1" si="158"/>
        <v>9</v>
      </c>
      <c r="O2500" t="str">
        <f t="shared" ca="1" si="159"/>
        <v>Senior level</v>
      </c>
    </row>
    <row r="2501" spans="1:15" x14ac:dyDescent="0.3">
      <c r="A2501" t="s">
        <v>17155</v>
      </c>
      <c r="B2501" t="s">
        <v>17156</v>
      </c>
      <c r="C2501" t="s">
        <v>757</v>
      </c>
      <c r="D2501" t="s">
        <v>17157</v>
      </c>
      <c r="E2501" t="s">
        <v>17158</v>
      </c>
      <c r="F2501" t="s">
        <v>3537</v>
      </c>
      <c r="G2501" t="s">
        <v>17159</v>
      </c>
      <c r="H2501" t="s">
        <v>17160</v>
      </c>
      <c r="I2501">
        <f t="shared" ca="1" si="156"/>
        <v>41</v>
      </c>
      <c r="J2501" t="str">
        <f t="shared" ca="1" si="157"/>
        <v>40-49</v>
      </c>
      <c r="K2501">
        <v>58224.73</v>
      </c>
      <c r="L2501" t="str">
        <f>IF(Workforce[[#This Row],[Salary]]&lt;50000,"30k-49k",IF(Workforce[[#This Row],[Salary]]&lt;70000,"50k-69k",IF(Workforce[[#This Row],[Salary]]&lt;90000,"70k-89k","90k+")))</f>
        <v>50k-69k</v>
      </c>
      <c r="M2501" t="s">
        <v>16311</v>
      </c>
      <c r="N2501">
        <f t="shared" ca="1" si="158"/>
        <v>10</v>
      </c>
      <c r="O2501" t="str">
        <f t="shared" ca="1" si="159"/>
        <v>Senior level</v>
      </c>
    </row>
    <row r="2502" spans="1:15" x14ac:dyDescent="0.3">
      <c r="A2502" t="s">
        <v>17161</v>
      </c>
      <c r="B2502" t="s">
        <v>17162</v>
      </c>
      <c r="C2502" t="s">
        <v>70</v>
      </c>
      <c r="D2502" t="s">
        <v>17163</v>
      </c>
      <c r="E2502" t="s">
        <v>17164</v>
      </c>
      <c r="F2502" t="s">
        <v>1488</v>
      </c>
      <c r="G2502" t="s">
        <v>17165</v>
      </c>
      <c r="H2502" t="s">
        <v>17166</v>
      </c>
      <c r="I2502">
        <f t="shared" ca="1" si="156"/>
        <v>58</v>
      </c>
      <c r="J2502" t="str">
        <f t="shared" ca="1" si="157"/>
        <v>50-59</v>
      </c>
      <c r="K2502">
        <v>77827.77</v>
      </c>
      <c r="L2502" t="str">
        <f>IF(Workforce[[#This Row],[Salary]]&lt;50000,"30k-49k",IF(Workforce[[#This Row],[Salary]]&lt;70000,"50k-69k",IF(Workforce[[#This Row],[Salary]]&lt;90000,"70k-89k","90k+")))</f>
        <v>70k-89k</v>
      </c>
      <c r="M2502" t="s">
        <v>3467</v>
      </c>
      <c r="N2502">
        <f t="shared" ca="1" si="158"/>
        <v>6</v>
      </c>
      <c r="O2502" t="str">
        <f t="shared" ca="1" si="159"/>
        <v>Intermediate level</v>
      </c>
    </row>
    <row r="2503" spans="1:15" x14ac:dyDescent="0.3">
      <c r="A2503" t="s">
        <v>17167</v>
      </c>
      <c r="B2503" t="s">
        <v>17168</v>
      </c>
      <c r="C2503" t="s">
        <v>335</v>
      </c>
      <c r="D2503" t="s">
        <v>17169</v>
      </c>
      <c r="E2503" t="s">
        <v>17170</v>
      </c>
      <c r="F2503" t="s">
        <v>4502</v>
      </c>
      <c r="G2503" t="s">
        <v>17171</v>
      </c>
      <c r="H2503" t="s">
        <v>16310</v>
      </c>
      <c r="I2503">
        <f t="shared" ca="1" si="156"/>
        <v>40</v>
      </c>
      <c r="J2503" t="str">
        <f t="shared" ca="1" si="157"/>
        <v>40-49</v>
      </c>
      <c r="K2503">
        <v>50556.36</v>
      </c>
      <c r="L2503" t="str">
        <f>IF(Workforce[[#This Row],[Salary]]&lt;50000,"30k-49k",IF(Workforce[[#This Row],[Salary]]&lt;70000,"50k-69k",IF(Workforce[[#This Row],[Salary]]&lt;90000,"70k-89k","90k+")))</f>
        <v>50k-69k</v>
      </c>
      <c r="M2503" t="s">
        <v>17172</v>
      </c>
      <c r="N2503">
        <f t="shared" ca="1" si="158"/>
        <v>2</v>
      </c>
      <c r="O2503" t="str">
        <f t="shared" ca="1" si="159"/>
        <v>Beginner</v>
      </c>
    </row>
    <row r="2504" spans="1:15" x14ac:dyDescent="0.3">
      <c r="A2504" t="s">
        <v>17173</v>
      </c>
      <c r="B2504" t="s">
        <v>17174</v>
      </c>
      <c r="C2504" t="s">
        <v>539</v>
      </c>
      <c r="D2504" t="s">
        <v>17175</v>
      </c>
      <c r="E2504" t="s">
        <v>17176</v>
      </c>
      <c r="F2504" t="s">
        <v>9460</v>
      </c>
      <c r="G2504" t="s">
        <v>17177</v>
      </c>
      <c r="H2504" t="s">
        <v>17178</v>
      </c>
      <c r="I2504">
        <f t="shared" ca="1" si="156"/>
        <v>47</v>
      </c>
      <c r="J2504" t="str">
        <f t="shared" ca="1" si="157"/>
        <v>40-49</v>
      </c>
      <c r="K2504">
        <v>76447.289999999994</v>
      </c>
      <c r="L2504" t="str">
        <f>IF(Workforce[[#This Row],[Salary]]&lt;50000,"30k-49k",IF(Workforce[[#This Row],[Salary]]&lt;70000,"50k-69k",IF(Workforce[[#This Row],[Salary]]&lt;90000,"70k-89k","90k+")))</f>
        <v>70k-89k</v>
      </c>
      <c r="M2504" t="s">
        <v>17179</v>
      </c>
      <c r="N2504">
        <f t="shared" ca="1" si="158"/>
        <v>8</v>
      </c>
      <c r="O2504" t="str">
        <f t="shared" ca="1" si="159"/>
        <v>Senior level</v>
      </c>
    </row>
    <row r="2505" spans="1:15" x14ac:dyDescent="0.3">
      <c r="A2505" t="s">
        <v>17180</v>
      </c>
      <c r="B2505" t="s">
        <v>17181</v>
      </c>
      <c r="C2505" t="s">
        <v>266</v>
      </c>
      <c r="D2505" t="s">
        <v>17182</v>
      </c>
      <c r="E2505" t="s">
        <v>17183</v>
      </c>
      <c r="F2505" t="s">
        <v>15340</v>
      </c>
      <c r="G2505" t="s">
        <v>17184</v>
      </c>
      <c r="H2505" t="s">
        <v>17185</v>
      </c>
      <c r="I2505">
        <f t="shared" ca="1" si="156"/>
        <v>29</v>
      </c>
      <c r="J2505" t="str">
        <f t="shared" ca="1" si="157"/>
        <v>18-29</v>
      </c>
      <c r="K2505">
        <v>66274.720000000001</v>
      </c>
      <c r="L2505" t="str">
        <f>IF(Workforce[[#This Row],[Salary]]&lt;50000,"30k-49k",IF(Workforce[[#This Row],[Salary]]&lt;70000,"50k-69k",IF(Workforce[[#This Row],[Salary]]&lt;90000,"70k-89k","90k+")))</f>
        <v>50k-69k</v>
      </c>
      <c r="M2505" t="s">
        <v>17186</v>
      </c>
      <c r="N2505">
        <f t="shared" ca="1" si="158"/>
        <v>3</v>
      </c>
      <c r="O2505" t="str">
        <f t="shared" ca="1" si="159"/>
        <v>Intermediate level</v>
      </c>
    </row>
    <row r="2506" spans="1:15" x14ac:dyDescent="0.3">
      <c r="A2506" t="s">
        <v>17187</v>
      </c>
      <c r="B2506" t="s">
        <v>17188</v>
      </c>
      <c r="C2506" t="s">
        <v>231</v>
      </c>
      <c r="D2506" t="s">
        <v>17189</v>
      </c>
      <c r="E2506" t="s">
        <v>17190</v>
      </c>
      <c r="F2506" t="s">
        <v>9598</v>
      </c>
      <c r="G2506" t="s">
        <v>17191</v>
      </c>
      <c r="H2506" t="s">
        <v>17192</v>
      </c>
      <c r="I2506">
        <f t="shared" ca="1" si="156"/>
        <v>36</v>
      </c>
      <c r="J2506" t="str">
        <f t="shared" ca="1" si="157"/>
        <v>30-39</v>
      </c>
      <c r="K2506">
        <v>81646.84</v>
      </c>
      <c r="L2506" t="str">
        <f>IF(Workforce[[#This Row],[Salary]]&lt;50000,"30k-49k",IF(Workforce[[#This Row],[Salary]]&lt;70000,"50k-69k",IF(Workforce[[#This Row],[Salary]]&lt;90000,"70k-89k","90k+")))</f>
        <v>70k-89k</v>
      </c>
      <c r="M2506" t="s">
        <v>17193</v>
      </c>
      <c r="N2506">
        <f t="shared" ca="1" si="158"/>
        <v>1</v>
      </c>
      <c r="O2506" t="str">
        <f t="shared" ca="1" si="159"/>
        <v>Beginner</v>
      </c>
    </row>
    <row r="2507" spans="1:15" x14ac:dyDescent="0.3">
      <c r="A2507" t="s">
        <v>17194</v>
      </c>
      <c r="B2507" t="s">
        <v>17195</v>
      </c>
      <c r="C2507" t="s">
        <v>266</v>
      </c>
      <c r="D2507" t="s">
        <v>17196</v>
      </c>
      <c r="E2507" t="s">
        <v>17197</v>
      </c>
      <c r="F2507" t="s">
        <v>1996</v>
      </c>
      <c r="G2507" t="s">
        <v>12412</v>
      </c>
      <c r="H2507" t="s">
        <v>17198</v>
      </c>
      <c r="I2507">
        <f t="shared" ca="1" si="156"/>
        <v>45</v>
      </c>
      <c r="J2507" t="str">
        <f t="shared" ca="1" si="157"/>
        <v>40-49</v>
      </c>
      <c r="K2507">
        <v>52038.98</v>
      </c>
      <c r="L2507" t="str">
        <f>IF(Workforce[[#This Row],[Salary]]&lt;50000,"30k-49k",IF(Workforce[[#This Row],[Salary]]&lt;70000,"50k-69k",IF(Workforce[[#This Row],[Salary]]&lt;90000,"70k-89k","90k+")))</f>
        <v>50k-69k</v>
      </c>
      <c r="M2507" t="s">
        <v>14869</v>
      </c>
      <c r="N2507">
        <f t="shared" ca="1" si="158"/>
        <v>1</v>
      </c>
      <c r="O2507" t="str">
        <f t="shared" ca="1" si="159"/>
        <v>Beginner</v>
      </c>
    </row>
    <row r="2508" spans="1:15" x14ac:dyDescent="0.3">
      <c r="A2508" t="s">
        <v>17199</v>
      </c>
      <c r="B2508" t="s">
        <v>17200</v>
      </c>
      <c r="C2508" t="s">
        <v>160</v>
      </c>
      <c r="D2508" t="s">
        <v>17201</v>
      </c>
      <c r="E2508" t="s">
        <v>17202</v>
      </c>
      <c r="F2508" t="s">
        <v>1757</v>
      </c>
      <c r="G2508" t="s">
        <v>17203</v>
      </c>
      <c r="H2508" t="s">
        <v>17204</v>
      </c>
      <c r="I2508">
        <f t="shared" ca="1" si="156"/>
        <v>23</v>
      </c>
      <c r="J2508" t="str">
        <f t="shared" ca="1" si="157"/>
        <v>18-29</v>
      </c>
      <c r="K2508">
        <v>88165.24</v>
      </c>
      <c r="L2508" t="str">
        <f>IF(Workforce[[#This Row],[Salary]]&lt;50000,"30k-49k",IF(Workforce[[#This Row],[Salary]]&lt;70000,"50k-69k",IF(Workforce[[#This Row],[Salary]]&lt;90000,"70k-89k","90k+")))</f>
        <v>70k-89k</v>
      </c>
      <c r="M2508" t="s">
        <v>17205</v>
      </c>
      <c r="N2508">
        <f t="shared" ca="1" si="158"/>
        <v>7</v>
      </c>
      <c r="O2508" t="str">
        <f t="shared" ca="1" si="159"/>
        <v>Senior level</v>
      </c>
    </row>
    <row r="2509" spans="1:15" x14ac:dyDescent="0.3">
      <c r="A2509" t="s">
        <v>17206</v>
      </c>
      <c r="B2509" t="s">
        <v>17207</v>
      </c>
      <c r="C2509" t="s">
        <v>482</v>
      </c>
      <c r="D2509" t="s">
        <v>17208</v>
      </c>
      <c r="E2509" t="s">
        <v>17209</v>
      </c>
      <c r="F2509" t="s">
        <v>1742</v>
      </c>
      <c r="G2509" t="s">
        <v>17210</v>
      </c>
      <c r="H2509" t="s">
        <v>8821</v>
      </c>
      <c r="I2509">
        <f t="shared" ca="1" si="156"/>
        <v>43</v>
      </c>
      <c r="J2509" t="str">
        <f t="shared" ca="1" si="157"/>
        <v>40-49</v>
      </c>
      <c r="K2509">
        <v>42161.47</v>
      </c>
      <c r="L2509" t="str">
        <f>IF(Workforce[[#This Row],[Salary]]&lt;50000,"30k-49k",IF(Workforce[[#This Row],[Salary]]&lt;70000,"50k-69k",IF(Workforce[[#This Row],[Salary]]&lt;90000,"70k-89k","90k+")))</f>
        <v>30k-49k</v>
      </c>
      <c r="M2509" t="s">
        <v>14772</v>
      </c>
      <c r="N2509">
        <f t="shared" ca="1" si="158"/>
        <v>7</v>
      </c>
      <c r="O2509" t="str">
        <f t="shared" ca="1" si="159"/>
        <v>Senior level</v>
      </c>
    </row>
    <row r="2510" spans="1:15" x14ac:dyDescent="0.3">
      <c r="A2510" t="s">
        <v>17211</v>
      </c>
      <c r="B2510" t="s">
        <v>17212</v>
      </c>
      <c r="C2510" t="s">
        <v>133</v>
      </c>
      <c r="D2510" t="s">
        <v>17213</v>
      </c>
      <c r="E2510" t="s">
        <v>17214</v>
      </c>
      <c r="F2510" t="s">
        <v>12864</v>
      </c>
      <c r="G2510" t="s">
        <v>17215</v>
      </c>
      <c r="H2510" t="s">
        <v>17216</v>
      </c>
      <c r="I2510">
        <f t="shared" ca="1" si="156"/>
        <v>35</v>
      </c>
      <c r="J2510" t="str">
        <f t="shared" ca="1" si="157"/>
        <v>30-39</v>
      </c>
      <c r="K2510">
        <v>80104.34</v>
      </c>
      <c r="L2510" t="str">
        <f>IF(Workforce[[#This Row],[Salary]]&lt;50000,"30k-49k",IF(Workforce[[#This Row],[Salary]]&lt;70000,"50k-69k",IF(Workforce[[#This Row],[Salary]]&lt;90000,"70k-89k","90k+")))</f>
        <v>70k-89k</v>
      </c>
      <c r="M2510" t="s">
        <v>17217</v>
      </c>
      <c r="N2510">
        <f t="shared" ca="1" si="158"/>
        <v>7</v>
      </c>
      <c r="O2510" t="str">
        <f t="shared" ca="1" si="159"/>
        <v>Senior level</v>
      </c>
    </row>
    <row r="2511" spans="1:15" x14ac:dyDescent="0.3">
      <c r="A2511" t="s">
        <v>17218</v>
      </c>
      <c r="B2511" t="s">
        <v>17219</v>
      </c>
      <c r="C2511" t="s">
        <v>326</v>
      </c>
      <c r="D2511" t="s">
        <v>17220</v>
      </c>
      <c r="E2511" t="s">
        <v>17221</v>
      </c>
      <c r="F2511" t="s">
        <v>1273</v>
      </c>
      <c r="G2511" t="s">
        <v>17222</v>
      </c>
      <c r="H2511" t="s">
        <v>17223</v>
      </c>
      <c r="I2511">
        <f t="shared" ca="1" si="156"/>
        <v>55</v>
      </c>
      <c r="J2511" t="str">
        <f t="shared" ca="1" si="157"/>
        <v>50-59</v>
      </c>
      <c r="K2511">
        <v>70847.59</v>
      </c>
      <c r="L2511" t="str">
        <f>IF(Workforce[[#This Row],[Salary]]&lt;50000,"30k-49k",IF(Workforce[[#This Row],[Salary]]&lt;70000,"50k-69k",IF(Workforce[[#This Row],[Salary]]&lt;90000,"70k-89k","90k+")))</f>
        <v>70k-89k</v>
      </c>
      <c r="M2511" t="s">
        <v>17224</v>
      </c>
      <c r="N2511">
        <f t="shared" ca="1" si="158"/>
        <v>4</v>
      </c>
      <c r="O2511" t="str">
        <f t="shared" ca="1" si="159"/>
        <v>Intermediate level</v>
      </c>
    </row>
    <row r="2512" spans="1:15" x14ac:dyDescent="0.3">
      <c r="A2512" t="s">
        <v>17225</v>
      </c>
      <c r="B2512" t="s">
        <v>17226</v>
      </c>
      <c r="C2512" t="s">
        <v>653</v>
      </c>
      <c r="D2512" t="s">
        <v>17227</v>
      </c>
      <c r="E2512" t="s">
        <v>17228</v>
      </c>
      <c r="F2512" t="s">
        <v>615</v>
      </c>
      <c r="G2512" t="s">
        <v>10122</v>
      </c>
      <c r="H2512" t="s">
        <v>17229</v>
      </c>
      <c r="I2512">
        <f t="shared" ca="1" si="156"/>
        <v>49</v>
      </c>
      <c r="J2512" t="str">
        <f t="shared" ca="1" si="157"/>
        <v>40-49</v>
      </c>
      <c r="K2512">
        <v>119406.08</v>
      </c>
      <c r="L2512" t="str">
        <f>IF(Workforce[[#This Row],[Salary]]&lt;50000,"30k-49k",IF(Workforce[[#This Row],[Salary]]&lt;70000,"50k-69k",IF(Workforce[[#This Row],[Salary]]&lt;90000,"70k-89k","90k+")))</f>
        <v>90k+</v>
      </c>
      <c r="M2512" t="s">
        <v>11962</v>
      </c>
      <c r="N2512">
        <f t="shared" ca="1" si="158"/>
        <v>2</v>
      </c>
      <c r="O2512" t="str">
        <f t="shared" ca="1" si="159"/>
        <v>Beginner</v>
      </c>
    </row>
    <row r="2513" spans="1:15" x14ac:dyDescent="0.3">
      <c r="A2513" t="s">
        <v>17230</v>
      </c>
      <c r="B2513" t="s">
        <v>17231</v>
      </c>
      <c r="C2513" t="s">
        <v>995</v>
      </c>
      <c r="D2513" t="s">
        <v>17232</v>
      </c>
      <c r="E2513" t="s">
        <v>17233</v>
      </c>
      <c r="F2513" t="s">
        <v>394</v>
      </c>
      <c r="G2513" t="s">
        <v>17234</v>
      </c>
      <c r="H2513" t="s">
        <v>17235</v>
      </c>
      <c r="I2513">
        <f t="shared" ca="1" si="156"/>
        <v>61</v>
      </c>
      <c r="J2513" t="str">
        <f t="shared" ca="1" si="157"/>
        <v>60+</v>
      </c>
      <c r="K2513">
        <v>78863.73</v>
      </c>
      <c r="L2513" t="str">
        <f>IF(Workforce[[#This Row],[Salary]]&lt;50000,"30k-49k",IF(Workforce[[#This Row],[Salary]]&lt;70000,"50k-69k",IF(Workforce[[#This Row],[Salary]]&lt;90000,"70k-89k","90k+")))</f>
        <v>70k-89k</v>
      </c>
      <c r="M2513" t="s">
        <v>17236</v>
      </c>
      <c r="N2513">
        <f t="shared" ca="1" si="158"/>
        <v>7</v>
      </c>
      <c r="O2513" t="str">
        <f t="shared" ca="1" si="159"/>
        <v>Senior level</v>
      </c>
    </row>
    <row r="2514" spans="1:15" x14ac:dyDescent="0.3">
      <c r="A2514" t="s">
        <v>17237</v>
      </c>
      <c r="B2514" t="s">
        <v>17238</v>
      </c>
      <c r="C2514" t="s">
        <v>326</v>
      </c>
      <c r="D2514" t="s">
        <v>17239</v>
      </c>
      <c r="E2514" t="s">
        <v>17240</v>
      </c>
      <c r="F2514" t="s">
        <v>6819</v>
      </c>
      <c r="G2514" t="s">
        <v>17241</v>
      </c>
      <c r="H2514" t="s">
        <v>14771</v>
      </c>
      <c r="I2514">
        <f t="shared" ca="1" si="156"/>
        <v>54</v>
      </c>
      <c r="J2514" t="str">
        <f t="shared" ca="1" si="157"/>
        <v>50-59</v>
      </c>
      <c r="K2514">
        <v>32872.480000000003</v>
      </c>
      <c r="L2514" t="str">
        <f>IF(Workforce[[#This Row],[Salary]]&lt;50000,"30k-49k",IF(Workforce[[#This Row],[Salary]]&lt;70000,"50k-69k",IF(Workforce[[#This Row],[Salary]]&lt;90000,"70k-89k","90k+")))</f>
        <v>30k-49k</v>
      </c>
      <c r="M2514" t="s">
        <v>2748</v>
      </c>
      <c r="N2514">
        <f t="shared" ca="1" si="158"/>
        <v>7</v>
      </c>
      <c r="O2514" t="str">
        <f t="shared" ca="1" si="159"/>
        <v>Senior level</v>
      </c>
    </row>
    <row r="2515" spans="1:15" x14ac:dyDescent="0.3">
      <c r="A2515" t="s">
        <v>17242</v>
      </c>
      <c r="B2515" t="s">
        <v>17243</v>
      </c>
      <c r="C2515" t="s">
        <v>317</v>
      </c>
      <c r="D2515" t="s">
        <v>17244</v>
      </c>
      <c r="E2515" t="s">
        <v>17245</v>
      </c>
      <c r="F2515" t="s">
        <v>17246</v>
      </c>
      <c r="G2515" t="s">
        <v>17247</v>
      </c>
      <c r="H2515" t="s">
        <v>17248</v>
      </c>
      <c r="I2515">
        <f t="shared" ca="1" si="156"/>
        <v>56</v>
      </c>
      <c r="J2515" t="str">
        <f t="shared" ca="1" si="157"/>
        <v>50-59</v>
      </c>
      <c r="K2515">
        <v>117482</v>
      </c>
      <c r="L2515" t="str">
        <f>IF(Workforce[[#This Row],[Salary]]&lt;50000,"30k-49k",IF(Workforce[[#This Row],[Salary]]&lt;70000,"50k-69k",IF(Workforce[[#This Row],[Salary]]&lt;90000,"70k-89k","90k+")))</f>
        <v>90k+</v>
      </c>
      <c r="M2515" t="s">
        <v>17249</v>
      </c>
      <c r="N2515">
        <f t="shared" ca="1" si="158"/>
        <v>6</v>
      </c>
      <c r="O2515" t="str">
        <f t="shared" ca="1" si="159"/>
        <v>Intermediate level</v>
      </c>
    </row>
    <row r="2516" spans="1:15" x14ac:dyDescent="0.3">
      <c r="A2516" t="s">
        <v>17250</v>
      </c>
      <c r="B2516" t="s">
        <v>17251</v>
      </c>
      <c r="C2516" t="s">
        <v>151</v>
      </c>
      <c r="D2516" t="s">
        <v>17252</v>
      </c>
      <c r="E2516" t="s">
        <v>17253</v>
      </c>
      <c r="F2516" t="s">
        <v>14659</v>
      </c>
      <c r="G2516" t="s">
        <v>17254</v>
      </c>
      <c r="H2516" t="s">
        <v>17255</v>
      </c>
      <c r="I2516">
        <f t="shared" ca="1" si="156"/>
        <v>57</v>
      </c>
      <c r="J2516" t="str">
        <f t="shared" ca="1" si="157"/>
        <v>50-59</v>
      </c>
      <c r="K2516">
        <v>75535.13</v>
      </c>
      <c r="L2516" t="str">
        <f>IF(Workforce[[#This Row],[Salary]]&lt;50000,"30k-49k",IF(Workforce[[#This Row],[Salary]]&lt;70000,"50k-69k",IF(Workforce[[#This Row],[Salary]]&lt;90000,"70k-89k","90k+")))</f>
        <v>70k-89k</v>
      </c>
      <c r="M2516" t="s">
        <v>12738</v>
      </c>
      <c r="N2516">
        <f t="shared" ca="1" si="158"/>
        <v>6</v>
      </c>
      <c r="O2516" t="str">
        <f t="shared" ca="1" si="159"/>
        <v>Intermediate level</v>
      </c>
    </row>
    <row r="2517" spans="1:15" x14ac:dyDescent="0.3">
      <c r="A2517" t="s">
        <v>17256</v>
      </c>
      <c r="B2517" t="s">
        <v>17257</v>
      </c>
      <c r="C2517" t="s">
        <v>457</v>
      </c>
      <c r="D2517" t="s">
        <v>17258</v>
      </c>
      <c r="E2517" t="s">
        <v>17259</v>
      </c>
      <c r="F2517" t="s">
        <v>6712</v>
      </c>
      <c r="G2517" t="s">
        <v>17260</v>
      </c>
      <c r="H2517" t="s">
        <v>5388</v>
      </c>
      <c r="I2517">
        <f t="shared" ca="1" si="156"/>
        <v>45</v>
      </c>
      <c r="J2517" t="str">
        <f t="shared" ca="1" si="157"/>
        <v>40-49</v>
      </c>
      <c r="K2517">
        <v>83073.48</v>
      </c>
      <c r="L2517" t="str">
        <f>IF(Workforce[[#This Row],[Salary]]&lt;50000,"30k-49k",IF(Workforce[[#This Row],[Salary]]&lt;70000,"50k-69k",IF(Workforce[[#This Row],[Salary]]&lt;90000,"70k-89k","90k+")))</f>
        <v>70k-89k</v>
      </c>
      <c r="M2517" t="s">
        <v>17261</v>
      </c>
      <c r="N2517">
        <f t="shared" ca="1" si="158"/>
        <v>6</v>
      </c>
      <c r="O2517" t="str">
        <f t="shared" ca="1" si="159"/>
        <v>Intermediate level</v>
      </c>
    </row>
    <row r="2518" spans="1:15" x14ac:dyDescent="0.3">
      <c r="A2518" t="s">
        <v>17262</v>
      </c>
      <c r="B2518" t="s">
        <v>17263</v>
      </c>
      <c r="C2518" t="s">
        <v>1159</v>
      </c>
      <c r="D2518" t="s">
        <v>17264</v>
      </c>
      <c r="E2518" t="s">
        <v>17265</v>
      </c>
      <c r="F2518" t="s">
        <v>17266</v>
      </c>
      <c r="G2518" t="s">
        <v>17267</v>
      </c>
      <c r="H2518" t="s">
        <v>17268</v>
      </c>
      <c r="I2518">
        <f t="shared" ca="1" si="156"/>
        <v>23</v>
      </c>
      <c r="J2518" t="str">
        <f t="shared" ca="1" si="157"/>
        <v>18-29</v>
      </c>
      <c r="K2518">
        <v>91139.36</v>
      </c>
      <c r="L2518" t="str">
        <f>IF(Workforce[[#This Row],[Salary]]&lt;50000,"30k-49k",IF(Workforce[[#This Row],[Salary]]&lt;70000,"50k-69k",IF(Workforce[[#This Row],[Salary]]&lt;90000,"70k-89k","90k+")))</f>
        <v>90k+</v>
      </c>
      <c r="M2518" t="s">
        <v>1552</v>
      </c>
      <c r="N2518">
        <f t="shared" ca="1" si="158"/>
        <v>2</v>
      </c>
      <c r="O2518" t="str">
        <f t="shared" ca="1" si="159"/>
        <v>Beginner</v>
      </c>
    </row>
    <row r="2519" spans="1:15" x14ac:dyDescent="0.3">
      <c r="A2519" t="s">
        <v>17269</v>
      </c>
      <c r="B2519" t="s">
        <v>17270</v>
      </c>
      <c r="C2519" t="s">
        <v>61</v>
      </c>
      <c r="D2519" t="s">
        <v>17271</v>
      </c>
      <c r="E2519" t="s">
        <v>17272</v>
      </c>
      <c r="F2519" t="s">
        <v>8285</v>
      </c>
      <c r="G2519" t="s">
        <v>17273</v>
      </c>
      <c r="H2519" t="s">
        <v>17274</v>
      </c>
      <c r="I2519">
        <f t="shared" ca="1" si="156"/>
        <v>40</v>
      </c>
      <c r="J2519" t="str">
        <f t="shared" ca="1" si="157"/>
        <v>40-49</v>
      </c>
      <c r="K2519">
        <v>84202.3</v>
      </c>
      <c r="L2519" t="str">
        <f>IF(Workforce[[#This Row],[Salary]]&lt;50000,"30k-49k",IF(Workforce[[#This Row],[Salary]]&lt;70000,"50k-69k",IF(Workforce[[#This Row],[Salary]]&lt;90000,"70k-89k","90k+")))</f>
        <v>70k-89k</v>
      </c>
      <c r="M2519" t="s">
        <v>12400</v>
      </c>
      <c r="N2519">
        <f t="shared" ca="1" si="158"/>
        <v>9</v>
      </c>
      <c r="O2519" t="str">
        <f t="shared" ca="1" si="159"/>
        <v>Senior level</v>
      </c>
    </row>
    <row r="2520" spans="1:15" x14ac:dyDescent="0.3">
      <c r="A2520" t="s">
        <v>17275</v>
      </c>
      <c r="B2520" t="s">
        <v>17276</v>
      </c>
      <c r="C2520" t="s">
        <v>844</v>
      </c>
      <c r="D2520" t="s">
        <v>17277</v>
      </c>
      <c r="E2520" t="s">
        <v>17278</v>
      </c>
      <c r="F2520" t="s">
        <v>7582</v>
      </c>
      <c r="G2520" t="s">
        <v>17279</v>
      </c>
      <c r="H2520" t="s">
        <v>17280</v>
      </c>
      <c r="I2520">
        <f t="shared" ca="1" si="156"/>
        <v>60</v>
      </c>
      <c r="J2520" t="str">
        <f t="shared" ca="1" si="157"/>
        <v>60+</v>
      </c>
      <c r="K2520">
        <v>56709.17</v>
      </c>
      <c r="L2520" t="str">
        <f>IF(Workforce[[#This Row],[Salary]]&lt;50000,"30k-49k",IF(Workforce[[#This Row],[Salary]]&lt;70000,"50k-69k",IF(Workforce[[#This Row],[Salary]]&lt;90000,"70k-89k","90k+")))</f>
        <v>50k-69k</v>
      </c>
      <c r="M2520" t="s">
        <v>3384</v>
      </c>
      <c r="N2520">
        <f t="shared" ca="1" si="158"/>
        <v>6</v>
      </c>
      <c r="O2520" t="str">
        <f t="shared" ca="1" si="159"/>
        <v>Intermediate level</v>
      </c>
    </row>
    <row r="2521" spans="1:15" x14ac:dyDescent="0.3">
      <c r="A2521" t="s">
        <v>17281</v>
      </c>
      <c r="B2521" t="s">
        <v>17282</v>
      </c>
      <c r="C2521" t="s">
        <v>580</v>
      </c>
      <c r="D2521" t="s">
        <v>17283</v>
      </c>
      <c r="E2521" t="s">
        <v>17284</v>
      </c>
      <c r="F2521" t="s">
        <v>1911</v>
      </c>
      <c r="G2521" t="s">
        <v>17285</v>
      </c>
      <c r="H2521" t="s">
        <v>17286</v>
      </c>
      <c r="I2521">
        <f t="shared" ca="1" si="156"/>
        <v>58</v>
      </c>
      <c r="J2521" t="str">
        <f t="shared" ca="1" si="157"/>
        <v>50-59</v>
      </c>
      <c r="K2521">
        <v>62816.79</v>
      </c>
      <c r="L2521" t="str">
        <f>IF(Workforce[[#This Row],[Salary]]&lt;50000,"30k-49k",IF(Workforce[[#This Row],[Salary]]&lt;70000,"50k-69k",IF(Workforce[[#This Row],[Salary]]&lt;90000,"70k-89k","90k+")))</f>
        <v>50k-69k</v>
      </c>
      <c r="M2521" t="s">
        <v>16719</v>
      </c>
      <c r="N2521">
        <f t="shared" ca="1" si="158"/>
        <v>2</v>
      </c>
      <c r="O2521" t="str">
        <f t="shared" ca="1" si="159"/>
        <v>Beginner</v>
      </c>
    </row>
    <row r="2522" spans="1:15" x14ac:dyDescent="0.3">
      <c r="A2522" t="s">
        <v>17287</v>
      </c>
      <c r="B2522" t="s">
        <v>17288</v>
      </c>
      <c r="C2522" t="s">
        <v>222</v>
      </c>
      <c r="D2522" t="s">
        <v>17289</v>
      </c>
      <c r="E2522" t="s">
        <v>17290</v>
      </c>
      <c r="F2522" t="s">
        <v>2004</v>
      </c>
      <c r="G2522" t="s">
        <v>17291</v>
      </c>
      <c r="H2522" t="s">
        <v>17292</v>
      </c>
      <c r="I2522">
        <f t="shared" ca="1" si="156"/>
        <v>27</v>
      </c>
      <c r="J2522" t="str">
        <f t="shared" ca="1" si="157"/>
        <v>18-29</v>
      </c>
      <c r="K2522">
        <v>40050.69</v>
      </c>
      <c r="L2522" t="str">
        <f>IF(Workforce[[#This Row],[Salary]]&lt;50000,"30k-49k",IF(Workforce[[#This Row],[Salary]]&lt;70000,"50k-69k",IF(Workforce[[#This Row],[Salary]]&lt;90000,"70k-89k","90k+")))</f>
        <v>30k-49k</v>
      </c>
      <c r="M2522" t="s">
        <v>17293</v>
      </c>
      <c r="N2522">
        <f t="shared" ca="1" si="158"/>
        <v>7</v>
      </c>
      <c r="O2522" t="str">
        <f t="shared" ca="1" si="159"/>
        <v>Senior level</v>
      </c>
    </row>
    <row r="2523" spans="1:15" x14ac:dyDescent="0.3">
      <c r="A2523" t="s">
        <v>17294</v>
      </c>
      <c r="B2523" t="s">
        <v>17295</v>
      </c>
      <c r="C2523" t="s">
        <v>169</v>
      </c>
      <c r="D2523" t="s">
        <v>17296</v>
      </c>
      <c r="E2523" t="s">
        <v>17297</v>
      </c>
      <c r="F2523" t="s">
        <v>2983</v>
      </c>
      <c r="G2523" t="s">
        <v>5545</v>
      </c>
      <c r="H2523" t="s">
        <v>17298</v>
      </c>
      <c r="I2523">
        <f t="shared" ca="1" si="156"/>
        <v>41</v>
      </c>
      <c r="J2523" t="str">
        <f t="shared" ca="1" si="157"/>
        <v>40-49</v>
      </c>
      <c r="K2523">
        <v>82433.279999999999</v>
      </c>
      <c r="L2523" t="str">
        <f>IF(Workforce[[#This Row],[Salary]]&lt;50000,"30k-49k",IF(Workforce[[#This Row],[Salary]]&lt;70000,"50k-69k",IF(Workforce[[#This Row],[Salary]]&lt;90000,"70k-89k","90k+")))</f>
        <v>70k-89k</v>
      </c>
      <c r="M2523" t="s">
        <v>17299</v>
      </c>
      <c r="N2523">
        <f t="shared" ca="1" si="158"/>
        <v>9</v>
      </c>
      <c r="O2523" t="str">
        <f t="shared" ca="1" si="159"/>
        <v>Senior level</v>
      </c>
    </row>
    <row r="2524" spans="1:15" x14ac:dyDescent="0.3">
      <c r="A2524" t="s">
        <v>17300</v>
      </c>
      <c r="B2524" t="s">
        <v>17301</v>
      </c>
      <c r="C2524" t="s">
        <v>266</v>
      </c>
      <c r="D2524" t="s">
        <v>17302</v>
      </c>
      <c r="E2524" t="s">
        <v>17303</v>
      </c>
      <c r="F2524" t="s">
        <v>656</v>
      </c>
      <c r="G2524" t="s">
        <v>17304</v>
      </c>
      <c r="H2524" t="s">
        <v>17305</v>
      </c>
      <c r="I2524">
        <f t="shared" ca="1" si="156"/>
        <v>58</v>
      </c>
      <c r="J2524" t="str">
        <f t="shared" ca="1" si="157"/>
        <v>50-59</v>
      </c>
      <c r="K2524">
        <v>77944.62</v>
      </c>
      <c r="L2524" t="str">
        <f>IF(Workforce[[#This Row],[Salary]]&lt;50000,"30k-49k",IF(Workforce[[#This Row],[Salary]]&lt;70000,"50k-69k",IF(Workforce[[#This Row],[Salary]]&lt;90000,"70k-89k","90k+")))</f>
        <v>70k-89k</v>
      </c>
      <c r="M2524" t="s">
        <v>10253</v>
      </c>
      <c r="N2524">
        <f t="shared" ca="1" si="158"/>
        <v>4</v>
      </c>
      <c r="O2524" t="str">
        <f t="shared" ca="1" si="159"/>
        <v>Intermediate level</v>
      </c>
    </row>
    <row r="2525" spans="1:15" x14ac:dyDescent="0.3">
      <c r="A2525" t="s">
        <v>17306</v>
      </c>
      <c r="B2525" t="s">
        <v>17307</v>
      </c>
      <c r="C2525" t="s">
        <v>70</v>
      </c>
      <c r="D2525" t="s">
        <v>17308</v>
      </c>
      <c r="E2525" t="s">
        <v>17309</v>
      </c>
      <c r="F2525" t="s">
        <v>2592</v>
      </c>
      <c r="G2525" t="s">
        <v>17310</v>
      </c>
      <c r="H2525" t="s">
        <v>17311</v>
      </c>
      <c r="I2525">
        <f t="shared" ca="1" si="156"/>
        <v>34</v>
      </c>
      <c r="J2525" t="str">
        <f t="shared" ca="1" si="157"/>
        <v>30-39</v>
      </c>
      <c r="K2525">
        <v>67335.91</v>
      </c>
      <c r="L2525" t="str">
        <f>IF(Workforce[[#This Row],[Salary]]&lt;50000,"30k-49k",IF(Workforce[[#This Row],[Salary]]&lt;70000,"50k-69k",IF(Workforce[[#This Row],[Salary]]&lt;90000,"70k-89k","90k+")))</f>
        <v>50k-69k</v>
      </c>
      <c r="M2525" t="s">
        <v>9239</v>
      </c>
      <c r="N2525">
        <f t="shared" ca="1" si="158"/>
        <v>3</v>
      </c>
      <c r="O2525" t="str">
        <f t="shared" ca="1" si="159"/>
        <v>Intermediate level</v>
      </c>
    </row>
    <row r="2526" spans="1:15" x14ac:dyDescent="0.3">
      <c r="A2526" t="s">
        <v>17312</v>
      </c>
      <c r="B2526" t="s">
        <v>17313</v>
      </c>
      <c r="C2526" t="s">
        <v>142</v>
      </c>
      <c r="D2526" t="s">
        <v>17314</v>
      </c>
      <c r="E2526" t="s">
        <v>17315</v>
      </c>
      <c r="F2526" t="s">
        <v>145</v>
      </c>
      <c r="G2526" t="s">
        <v>17316</v>
      </c>
      <c r="H2526" t="s">
        <v>17317</v>
      </c>
      <c r="I2526">
        <f t="shared" ca="1" si="156"/>
        <v>28</v>
      </c>
      <c r="J2526" t="str">
        <f t="shared" ca="1" si="157"/>
        <v>18-29</v>
      </c>
      <c r="K2526">
        <v>57326.44</v>
      </c>
      <c r="L2526" t="str">
        <f>IF(Workforce[[#This Row],[Salary]]&lt;50000,"30k-49k",IF(Workforce[[#This Row],[Salary]]&lt;70000,"50k-69k",IF(Workforce[[#This Row],[Salary]]&lt;90000,"70k-89k","90k+")))</f>
        <v>50k-69k</v>
      </c>
      <c r="M2526" t="s">
        <v>7563</v>
      </c>
      <c r="N2526">
        <f t="shared" ca="1" si="158"/>
        <v>4</v>
      </c>
      <c r="O2526" t="str">
        <f t="shared" ca="1" si="159"/>
        <v>Intermediate level</v>
      </c>
    </row>
    <row r="2527" spans="1:15" x14ac:dyDescent="0.3">
      <c r="A2527" t="s">
        <v>17318</v>
      </c>
      <c r="B2527" t="s">
        <v>17319</v>
      </c>
      <c r="C2527" t="s">
        <v>44</v>
      </c>
      <c r="D2527" t="s">
        <v>17320</v>
      </c>
      <c r="E2527" t="s">
        <v>17321</v>
      </c>
      <c r="F2527" t="s">
        <v>2872</v>
      </c>
      <c r="G2527" t="s">
        <v>9896</v>
      </c>
      <c r="H2527" t="s">
        <v>17322</v>
      </c>
      <c r="I2527">
        <f t="shared" ca="1" si="156"/>
        <v>19</v>
      </c>
      <c r="J2527" t="str">
        <f t="shared" ca="1" si="157"/>
        <v>18-29</v>
      </c>
      <c r="K2527">
        <v>46232.72</v>
      </c>
      <c r="L2527" t="str">
        <f>IF(Workforce[[#This Row],[Salary]]&lt;50000,"30k-49k",IF(Workforce[[#This Row],[Salary]]&lt;70000,"50k-69k",IF(Workforce[[#This Row],[Salary]]&lt;90000,"70k-89k","90k+")))</f>
        <v>30k-49k</v>
      </c>
      <c r="M2527" t="s">
        <v>17323</v>
      </c>
      <c r="N2527">
        <f t="shared" ca="1" si="158"/>
        <v>10</v>
      </c>
      <c r="O2527" t="str">
        <f t="shared" ca="1" si="159"/>
        <v>Senior level</v>
      </c>
    </row>
    <row r="2528" spans="1:15" x14ac:dyDescent="0.3">
      <c r="A2528" t="s">
        <v>17324</v>
      </c>
      <c r="B2528" t="s">
        <v>17325</v>
      </c>
      <c r="C2528" t="s">
        <v>17</v>
      </c>
      <c r="D2528" t="s">
        <v>17326</v>
      </c>
      <c r="E2528" t="s">
        <v>17327</v>
      </c>
      <c r="F2528" t="s">
        <v>566</v>
      </c>
      <c r="G2528" t="s">
        <v>17328</v>
      </c>
      <c r="H2528" t="s">
        <v>17329</v>
      </c>
      <c r="I2528">
        <f t="shared" ca="1" si="156"/>
        <v>63</v>
      </c>
      <c r="J2528" t="str">
        <f t="shared" ca="1" si="157"/>
        <v>60+</v>
      </c>
      <c r="K2528">
        <v>66806.080000000002</v>
      </c>
      <c r="L2528" t="str">
        <f>IF(Workforce[[#This Row],[Salary]]&lt;50000,"30k-49k",IF(Workforce[[#This Row],[Salary]]&lt;70000,"50k-69k",IF(Workforce[[#This Row],[Salary]]&lt;90000,"70k-89k","90k+")))</f>
        <v>50k-69k</v>
      </c>
      <c r="M2528" t="s">
        <v>17330</v>
      </c>
      <c r="N2528">
        <f t="shared" ca="1" si="158"/>
        <v>9</v>
      </c>
      <c r="O2528" t="str">
        <f t="shared" ca="1" si="159"/>
        <v>Senior level</v>
      </c>
    </row>
    <row r="2529" spans="1:15" x14ac:dyDescent="0.3">
      <c r="A2529" t="s">
        <v>17331</v>
      </c>
      <c r="B2529" t="s">
        <v>17332</v>
      </c>
      <c r="C2529" t="s">
        <v>844</v>
      </c>
      <c r="D2529" t="s">
        <v>17333</v>
      </c>
      <c r="E2529" t="s">
        <v>17334</v>
      </c>
      <c r="F2529" t="s">
        <v>1525</v>
      </c>
      <c r="G2529" t="s">
        <v>17335</v>
      </c>
      <c r="H2529" t="s">
        <v>17336</v>
      </c>
      <c r="I2529">
        <f t="shared" ca="1" si="156"/>
        <v>34</v>
      </c>
      <c r="J2529" t="str">
        <f t="shared" ca="1" si="157"/>
        <v>30-39</v>
      </c>
      <c r="K2529">
        <v>53976.32</v>
      </c>
      <c r="L2529" t="str">
        <f>IF(Workforce[[#This Row],[Salary]]&lt;50000,"30k-49k",IF(Workforce[[#This Row],[Salary]]&lt;70000,"50k-69k",IF(Workforce[[#This Row],[Salary]]&lt;90000,"70k-89k","90k+")))</f>
        <v>50k-69k</v>
      </c>
      <c r="M2529" t="s">
        <v>17337</v>
      </c>
      <c r="N2529">
        <f t="shared" ca="1" si="158"/>
        <v>4</v>
      </c>
      <c r="O2529" t="str">
        <f t="shared" ca="1" si="159"/>
        <v>Intermediate level</v>
      </c>
    </row>
    <row r="2530" spans="1:15" x14ac:dyDescent="0.3">
      <c r="A2530" t="s">
        <v>17338</v>
      </c>
      <c r="B2530" t="s">
        <v>17339</v>
      </c>
      <c r="C2530" t="s">
        <v>653</v>
      </c>
      <c r="D2530" t="s">
        <v>17340</v>
      </c>
      <c r="E2530" t="s">
        <v>17341</v>
      </c>
      <c r="F2530" t="s">
        <v>3696</v>
      </c>
      <c r="G2530" t="s">
        <v>17342</v>
      </c>
      <c r="H2530" t="s">
        <v>17343</v>
      </c>
      <c r="I2530">
        <f t="shared" ca="1" si="156"/>
        <v>57</v>
      </c>
      <c r="J2530" t="str">
        <f t="shared" ca="1" si="157"/>
        <v>50-59</v>
      </c>
      <c r="K2530">
        <v>39915.71</v>
      </c>
      <c r="L2530" t="str">
        <f>IF(Workforce[[#This Row],[Salary]]&lt;50000,"30k-49k",IF(Workforce[[#This Row],[Salary]]&lt;70000,"50k-69k",IF(Workforce[[#This Row],[Salary]]&lt;90000,"70k-89k","90k+")))</f>
        <v>30k-49k</v>
      </c>
      <c r="M2530" t="s">
        <v>14028</v>
      </c>
      <c r="N2530">
        <f t="shared" ca="1" si="158"/>
        <v>5</v>
      </c>
      <c r="O2530" t="str">
        <f t="shared" ca="1" si="159"/>
        <v>Intermediate level</v>
      </c>
    </row>
    <row r="2531" spans="1:15" x14ac:dyDescent="0.3">
      <c r="A2531" t="s">
        <v>17344</v>
      </c>
      <c r="B2531" t="s">
        <v>17345</v>
      </c>
      <c r="C2531" t="s">
        <v>266</v>
      </c>
      <c r="D2531" t="s">
        <v>17346</v>
      </c>
      <c r="E2531" t="s">
        <v>17347</v>
      </c>
      <c r="F2531" t="s">
        <v>3957</v>
      </c>
      <c r="G2531" t="s">
        <v>17348</v>
      </c>
      <c r="H2531" t="s">
        <v>17349</v>
      </c>
      <c r="I2531">
        <f t="shared" ca="1" si="156"/>
        <v>35</v>
      </c>
      <c r="J2531" t="str">
        <f t="shared" ca="1" si="157"/>
        <v>30-39</v>
      </c>
      <c r="K2531">
        <v>54056.49</v>
      </c>
      <c r="L2531" t="str">
        <f>IF(Workforce[[#This Row],[Salary]]&lt;50000,"30k-49k",IF(Workforce[[#This Row],[Salary]]&lt;70000,"50k-69k",IF(Workforce[[#This Row],[Salary]]&lt;90000,"70k-89k","90k+")))</f>
        <v>50k-69k</v>
      </c>
      <c r="M2531" t="s">
        <v>17350</v>
      </c>
      <c r="N2531">
        <f t="shared" ca="1" si="158"/>
        <v>2</v>
      </c>
      <c r="O2531" t="str">
        <f t="shared" ca="1" si="159"/>
        <v>Beginner</v>
      </c>
    </row>
    <row r="2532" spans="1:15" x14ac:dyDescent="0.3">
      <c r="A2532" t="s">
        <v>17351</v>
      </c>
      <c r="B2532" t="s">
        <v>17352</v>
      </c>
      <c r="C2532" t="s">
        <v>317</v>
      </c>
      <c r="D2532" t="s">
        <v>17353</v>
      </c>
      <c r="E2532" t="s">
        <v>17354</v>
      </c>
      <c r="F2532" t="s">
        <v>4983</v>
      </c>
      <c r="G2532" t="s">
        <v>17355</v>
      </c>
      <c r="H2532" t="s">
        <v>17356</v>
      </c>
      <c r="I2532">
        <f t="shared" ca="1" si="156"/>
        <v>35</v>
      </c>
      <c r="J2532" t="str">
        <f t="shared" ca="1" si="157"/>
        <v>30-39</v>
      </c>
      <c r="K2532">
        <v>64679.29</v>
      </c>
      <c r="L2532" t="str">
        <f>IF(Workforce[[#This Row],[Salary]]&lt;50000,"30k-49k",IF(Workforce[[#This Row],[Salary]]&lt;70000,"50k-69k",IF(Workforce[[#This Row],[Salary]]&lt;90000,"70k-89k","90k+")))</f>
        <v>50k-69k</v>
      </c>
      <c r="M2532" t="s">
        <v>17357</v>
      </c>
      <c r="N2532">
        <f t="shared" ca="1" si="158"/>
        <v>9</v>
      </c>
      <c r="O2532" t="str">
        <f t="shared" ca="1" si="159"/>
        <v>Senior level</v>
      </c>
    </row>
    <row r="2533" spans="1:15" x14ac:dyDescent="0.3">
      <c r="A2533" t="s">
        <v>17358</v>
      </c>
      <c r="B2533" t="s">
        <v>17359</v>
      </c>
      <c r="C2533" t="s">
        <v>748</v>
      </c>
      <c r="D2533" t="s">
        <v>17360</v>
      </c>
      <c r="E2533" t="s">
        <v>17361</v>
      </c>
      <c r="F2533" t="s">
        <v>726</v>
      </c>
      <c r="G2533" t="s">
        <v>17362</v>
      </c>
      <c r="H2533" t="s">
        <v>17363</v>
      </c>
      <c r="I2533">
        <f t="shared" ca="1" si="156"/>
        <v>41</v>
      </c>
      <c r="J2533" t="str">
        <f t="shared" ca="1" si="157"/>
        <v>40-49</v>
      </c>
      <c r="K2533">
        <v>38494.78</v>
      </c>
      <c r="L2533" t="str">
        <f>IF(Workforce[[#This Row],[Salary]]&lt;50000,"30k-49k",IF(Workforce[[#This Row],[Salary]]&lt;70000,"50k-69k",IF(Workforce[[#This Row],[Salary]]&lt;90000,"70k-89k","90k+")))</f>
        <v>30k-49k</v>
      </c>
      <c r="M2533" t="s">
        <v>3823</v>
      </c>
      <c r="N2533">
        <f t="shared" ca="1" si="158"/>
        <v>10</v>
      </c>
      <c r="O2533" t="str">
        <f t="shared" ca="1" si="159"/>
        <v>Senior level</v>
      </c>
    </row>
    <row r="2534" spans="1:15" x14ac:dyDescent="0.3">
      <c r="A2534" t="s">
        <v>17364</v>
      </c>
      <c r="B2534" t="s">
        <v>17365</v>
      </c>
      <c r="C2534" t="s">
        <v>1043</v>
      </c>
      <c r="D2534" t="s">
        <v>17366</v>
      </c>
      <c r="E2534" t="s">
        <v>17367</v>
      </c>
      <c r="F2534" t="s">
        <v>3071</v>
      </c>
      <c r="G2534" t="s">
        <v>17368</v>
      </c>
      <c r="H2534" t="s">
        <v>17369</v>
      </c>
      <c r="I2534">
        <f t="shared" ca="1" si="156"/>
        <v>23</v>
      </c>
      <c r="J2534" t="str">
        <f t="shared" ca="1" si="157"/>
        <v>18-29</v>
      </c>
      <c r="K2534">
        <v>92870.98</v>
      </c>
      <c r="L2534" t="str">
        <f>IF(Workforce[[#This Row],[Salary]]&lt;50000,"30k-49k",IF(Workforce[[#This Row],[Salary]]&lt;70000,"50k-69k",IF(Workforce[[#This Row],[Salary]]&lt;90000,"70k-89k","90k+")))</f>
        <v>90k+</v>
      </c>
      <c r="M2534" t="s">
        <v>6409</v>
      </c>
      <c r="N2534">
        <f t="shared" ca="1" si="158"/>
        <v>3</v>
      </c>
      <c r="O2534" t="str">
        <f t="shared" ca="1" si="159"/>
        <v>Intermediate level</v>
      </c>
    </row>
    <row r="2535" spans="1:15" x14ac:dyDescent="0.3">
      <c r="A2535" t="s">
        <v>17370</v>
      </c>
      <c r="B2535" t="s">
        <v>17371</v>
      </c>
      <c r="C2535" t="s">
        <v>995</v>
      </c>
      <c r="D2535" t="s">
        <v>17372</v>
      </c>
      <c r="E2535" t="s">
        <v>17373</v>
      </c>
      <c r="F2535" t="s">
        <v>460</v>
      </c>
      <c r="G2535" t="s">
        <v>17374</v>
      </c>
      <c r="H2535" t="s">
        <v>17375</v>
      </c>
      <c r="I2535">
        <f t="shared" ca="1" si="156"/>
        <v>42</v>
      </c>
      <c r="J2535" t="str">
        <f t="shared" ca="1" si="157"/>
        <v>40-49</v>
      </c>
      <c r="K2535">
        <v>54198.71</v>
      </c>
      <c r="L2535" t="str">
        <f>IF(Workforce[[#This Row],[Salary]]&lt;50000,"30k-49k",IF(Workforce[[#This Row],[Salary]]&lt;70000,"50k-69k",IF(Workforce[[#This Row],[Salary]]&lt;90000,"70k-89k","90k+")))</f>
        <v>50k-69k</v>
      </c>
      <c r="M2535" t="s">
        <v>17376</v>
      </c>
      <c r="N2535">
        <f t="shared" ca="1" si="158"/>
        <v>4</v>
      </c>
      <c r="O2535" t="str">
        <f t="shared" ca="1" si="159"/>
        <v>Intermediate level</v>
      </c>
    </row>
    <row r="2536" spans="1:15" x14ac:dyDescent="0.3">
      <c r="A2536" t="s">
        <v>17377</v>
      </c>
      <c r="B2536" t="s">
        <v>17378</v>
      </c>
      <c r="C2536" t="s">
        <v>995</v>
      </c>
      <c r="D2536" t="s">
        <v>17379</v>
      </c>
      <c r="E2536" t="s">
        <v>17380</v>
      </c>
      <c r="F2536" t="s">
        <v>5870</v>
      </c>
      <c r="G2536" t="s">
        <v>16908</v>
      </c>
      <c r="H2536" t="s">
        <v>17381</v>
      </c>
      <c r="I2536">
        <f t="shared" ca="1" si="156"/>
        <v>63</v>
      </c>
      <c r="J2536" t="str">
        <f t="shared" ca="1" si="157"/>
        <v>60+</v>
      </c>
      <c r="K2536">
        <v>110216.36</v>
      </c>
      <c r="L2536" t="str">
        <f>IF(Workforce[[#This Row],[Salary]]&lt;50000,"30k-49k",IF(Workforce[[#This Row],[Salary]]&lt;70000,"50k-69k",IF(Workforce[[#This Row],[Salary]]&lt;90000,"70k-89k","90k+")))</f>
        <v>90k+</v>
      </c>
      <c r="M2536" t="s">
        <v>2867</v>
      </c>
      <c r="N2536">
        <f t="shared" ca="1" si="158"/>
        <v>10</v>
      </c>
      <c r="O2536" t="str">
        <f t="shared" ca="1" si="159"/>
        <v>Senior level</v>
      </c>
    </row>
    <row r="2537" spans="1:15" x14ac:dyDescent="0.3">
      <c r="A2537" t="s">
        <v>17382</v>
      </c>
      <c r="B2537" t="s">
        <v>17383</v>
      </c>
      <c r="C2537" t="s">
        <v>266</v>
      </c>
      <c r="D2537" t="s">
        <v>17384</v>
      </c>
      <c r="E2537" t="s">
        <v>17385</v>
      </c>
      <c r="F2537" t="s">
        <v>760</v>
      </c>
      <c r="G2537" t="s">
        <v>17386</v>
      </c>
      <c r="H2537" t="s">
        <v>17387</v>
      </c>
      <c r="I2537">
        <f t="shared" ca="1" si="156"/>
        <v>34</v>
      </c>
      <c r="J2537" t="str">
        <f t="shared" ca="1" si="157"/>
        <v>30-39</v>
      </c>
      <c r="K2537">
        <v>34347.78</v>
      </c>
      <c r="L2537" t="str">
        <f>IF(Workforce[[#This Row],[Salary]]&lt;50000,"30k-49k",IF(Workforce[[#This Row],[Salary]]&lt;70000,"50k-69k",IF(Workforce[[#This Row],[Salary]]&lt;90000,"70k-89k","90k+")))</f>
        <v>30k-49k</v>
      </c>
      <c r="M2537" t="s">
        <v>3815</v>
      </c>
      <c r="N2537">
        <f t="shared" ca="1" si="158"/>
        <v>7</v>
      </c>
      <c r="O2537" t="str">
        <f t="shared" ca="1" si="159"/>
        <v>Senior level</v>
      </c>
    </row>
    <row r="2538" spans="1:15" x14ac:dyDescent="0.3">
      <c r="A2538" t="s">
        <v>17388</v>
      </c>
      <c r="B2538" t="s">
        <v>17389</v>
      </c>
      <c r="C2538" t="s">
        <v>115</v>
      </c>
      <c r="D2538" t="s">
        <v>17390</v>
      </c>
      <c r="E2538" t="s">
        <v>17391</v>
      </c>
      <c r="F2538" t="s">
        <v>207</v>
      </c>
      <c r="G2538" t="s">
        <v>17392</v>
      </c>
      <c r="H2538" t="s">
        <v>17393</v>
      </c>
      <c r="I2538">
        <f t="shared" ca="1" si="156"/>
        <v>48</v>
      </c>
      <c r="J2538" t="str">
        <f t="shared" ca="1" si="157"/>
        <v>40-49</v>
      </c>
      <c r="K2538">
        <v>56073.19</v>
      </c>
      <c r="L2538" t="str">
        <f>IF(Workforce[[#This Row],[Salary]]&lt;50000,"30k-49k",IF(Workforce[[#This Row],[Salary]]&lt;70000,"50k-69k",IF(Workforce[[#This Row],[Salary]]&lt;90000,"70k-89k","90k+")))</f>
        <v>50k-69k</v>
      </c>
      <c r="M2538" t="s">
        <v>881</v>
      </c>
      <c r="N2538">
        <f t="shared" ca="1" si="158"/>
        <v>10</v>
      </c>
      <c r="O2538" t="str">
        <f t="shared" ca="1" si="159"/>
        <v>Senior level</v>
      </c>
    </row>
    <row r="2539" spans="1:15" x14ac:dyDescent="0.3">
      <c r="A2539" t="s">
        <v>17394</v>
      </c>
      <c r="B2539" t="s">
        <v>17395</v>
      </c>
      <c r="C2539" t="s">
        <v>1159</v>
      </c>
      <c r="D2539" t="s">
        <v>17396</v>
      </c>
      <c r="E2539" t="s">
        <v>17397</v>
      </c>
      <c r="F2539" t="s">
        <v>10586</v>
      </c>
      <c r="G2539" t="s">
        <v>17398</v>
      </c>
      <c r="H2539" t="s">
        <v>17399</v>
      </c>
      <c r="I2539">
        <f t="shared" ca="1" si="156"/>
        <v>36</v>
      </c>
      <c r="J2539" t="str">
        <f t="shared" ca="1" si="157"/>
        <v>30-39</v>
      </c>
      <c r="K2539">
        <v>107450.21</v>
      </c>
      <c r="L2539" t="str">
        <f>IF(Workforce[[#This Row],[Salary]]&lt;50000,"30k-49k",IF(Workforce[[#This Row],[Salary]]&lt;70000,"50k-69k",IF(Workforce[[#This Row],[Salary]]&lt;90000,"70k-89k","90k+")))</f>
        <v>90k+</v>
      </c>
      <c r="M2539" t="s">
        <v>17400</v>
      </c>
      <c r="N2539">
        <f t="shared" ca="1" si="158"/>
        <v>9</v>
      </c>
      <c r="O2539" t="str">
        <f t="shared" ca="1" si="159"/>
        <v>Senior level</v>
      </c>
    </row>
    <row r="2540" spans="1:15" x14ac:dyDescent="0.3">
      <c r="A2540" t="s">
        <v>17401</v>
      </c>
      <c r="B2540" t="s">
        <v>17402</v>
      </c>
      <c r="C2540" t="s">
        <v>326</v>
      </c>
      <c r="D2540" t="s">
        <v>17403</v>
      </c>
      <c r="E2540" t="s">
        <v>17404</v>
      </c>
      <c r="F2540" t="s">
        <v>1665</v>
      </c>
      <c r="G2540" t="s">
        <v>17405</v>
      </c>
      <c r="H2540" t="s">
        <v>17406</v>
      </c>
      <c r="I2540">
        <f t="shared" ca="1" si="156"/>
        <v>45</v>
      </c>
      <c r="J2540" t="str">
        <f t="shared" ca="1" si="157"/>
        <v>40-49</v>
      </c>
      <c r="K2540">
        <v>46045.8</v>
      </c>
      <c r="L2540" t="str">
        <f>IF(Workforce[[#This Row],[Salary]]&lt;50000,"30k-49k",IF(Workforce[[#This Row],[Salary]]&lt;70000,"50k-69k",IF(Workforce[[#This Row],[Salary]]&lt;90000,"70k-89k","90k+")))</f>
        <v>30k-49k</v>
      </c>
      <c r="M2540" t="s">
        <v>10321</v>
      </c>
      <c r="N2540">
        <f t="shared" ca="1" si="158"/>
        <v>8</v>
      </c>
      <c r="O2540" t="str">
        <f t="shared" ca="1" si="159"/>
        <v>Senior level</v>
      </c>
    </row>
    <row r="2541" spans="1:15" x14ac:dyDescent="0.3">
      <c r="A2541" t="s">
        <v>17407</v>
      </c>
      <c r="B2541" t="s">
        <v>17408</v>
      </c>
      <c r="C2541" t="s">
        <v>284</v>
      </c>
      <c r="D2541" t="s">
        <v>17409</v>
      </c>
      <c r="E2541" t="s">
        <v>17410</v>
      </c>
      <c r="F2541" t="s">
        <v>831</v>
      </c>
      <c r="G2541" t="s">
        <v>17411</v>
      </c>
      <c r="H2541" t="s">
        <v>16290</v>
      </c>
      <c r="I2541">
        <f t="shared" ca="1" si="156"/>
        <v>51</v>
      </c>
      <c r="J2541" t="str">
        <f t="shared" ca="1" si="157"/>
        <v>50-59</v>
      </c>
      <c r="K2541">
        <v>60901.55</v>
      </c>
      <c r="L2541" t="str">
        <f>IF(Workforce[[#This Row],[Salary]]&lt;50000,"30k-49k",IF(Workforce[[#This Row],[Salary]]&lt;70000,"50k-69k",IF(Workforce[[#This Row],[Salary]]&lt;90000,"70k-89k","90k+")))</f>
        <v>50k-69k</v>
      </c>
      <c r="M2541" t="s">
        <v>17412</v>
      </c>
      <c r="N2541">
        <f t="shared" ca="1" si="158"/>
        <v>10</v>
      </c>
      <c r="O2541" t="str">
        <f t="shared" ca="1" si="159"/>
        <v>Senior level</v>
      </c>
    </row>
    <row r="2542" spans="1:15" x14ac:dyDescent="0.3">
      <c r="A2542" t="s">
        <v>17413</v>
      </c>
      <c r="B2542" t="s">
        <v>17414</v>
      </c>
      <c r="C2542" t="s">
        <v>106</v>
      </c>
      <c r="D2542" t="s">
        <v>17415</v>
      </c>
      <c r="E2542" t="s">
        <v>17416</v>
      </c>
      <c r="F2542" t="s">
        <v>2028</v>
      </c>
      <c r="G2542" t="s">
        <v>17417</v>
      </c>
      <c r="H2542" t="s">
        <v>17418</v>
      </c>
      <c r="I2542">
        <f t="shared" ca="1" si="156"/>
        <v>26</v>
      </c>
      <c r="J2542" t="str">
        <f t="shared" ca="1" si="157"/>
        <v>18-29</v>
      </c>
      <c r="K2542">
        <v>88365.33</v>
      </c>
      <c r="L2542" t="str">
        <f>IF(Workforce[[#This Row],[Salary]]&lt;50000,"30k-49k",IF(Workforce[[#This Row],[Salary]]&lt;70000,"50k-69k",IF(Workforce[[#This Row],[Salary]]&lt;90000,"70k-89k","90k+")))</f>
        <v>70k-89k</v>
      </c>
      <c r="M2542" t="s">
        <v>7943</v>
      </c>
      <c r="N2542">
        <f t="shared" ca="1" si="158"/>
        <v>1</v>
      </c>
      <c r="O2542" t="str">
        <f t="shared" ca="1" si="159"/>
        <v>Beginner</v>
      </c>
    </row>
    <row r="2543" spans="1:15" x14ac:dyDescent="0.3">
      <c r="A2543" t="s">
        <v>17419</v>
      </c>
      <c r="B2543" t="s">
        <v>17420</v>
      </c>
      <c r="C2543" t="s">
        <v>1043</v>
      </c>
      <c r="D2543" t="s">
        <v>17421</v>
      </c>
      <c r="E2543" t="s">
        <v>17422</v>
      </c>
      <c r="F2543" t="s">
        <v>5053</v>
      </c>
      <c r="G2543" t="s">
        <v>17423</v>
      </c>
      <c r="H2543" t="s">
        <v>17424</v>
      </c>
      <c r="I2543">
        <f t="shared" ca="1" si="156"/>
        <v>41</v>
      </c>
      <c r="J2543" t="str">
        <f t="shared" ca="1" si="157"/>
        <v>40-49</v>
      </c>
      <c r="K2543">
        <v>79148.02</v>
      </c>
      <c r="L2543" t="str">
        <f>IF(Workforce[[#This Row],[Salary]]&lt;50000,"30k-49k",IF(Workforce[[#This Row],[Salary]]&lt;70000,"50k-69k",IF(Workforce[[#This Row],[Salary]]&lt;90000,"70k-89k","90k+")))</f>
        <v>70k-89k</v>
      </c>
      <c r="M2543" t="s">
        <v>5590</v>
      </c>
      <c r="N2543">
        <f t="shared" ca="1" si="158"/>
        <v>7</v>
      </c>
      <c r="O2543" t="str">
        <f t="shared" ca="1" si="159"/>
        <v>Senior level</v>
      </c>
    </row>
    <row r="2544" spans="1:15" x14ac:dyDescent="0.3">
      <c r="A2544" t="s">
        <v>17425</v>
      </c>
      <c r="B2544" t="s">
        <v>17426</v>
      </c>
      <c r="C2544" t="s">
        <v>1159</v>
      </c>
      <c r="D2544" t="s">
        <v>17427</v>
      </c>
      <c r="E2544" t="s">
        <v>17428</v>
      </c>
      <c r="F2544" t="s">
        <v>12864</v>
      </c>
      <c r="G2544" t="s">
        <v>17429</v>
      </c>
      <c r="H2544" t="s">
        <v>17430</v>
      </c>
      <c r="I2544">
        <f t="shared" ca="1" si="156"/>
        <v>41</v>
      </c>
      <c r="J2544" t="str">
        <f t="shared" ca="1" si="157"/>
        <v>40-49</v>
      </c>
      <c r="K2544">
        <v>48576.56</v>
      </c>
      <c r="L2544" t="str">
        <f>IF(Workforce[[#This Row],[Salary]]&lt;50000,"30k-49k",IF(Workforce[[#This Row],[Salary]]&lt;70000,"50k-69k",IF(Workforce[[#This Row],[Salary]]&lt;90000,"70k-89k","90k+")))</f>
        <v>30k-49k</v>
      </c>
      <c r="M2544" t="s">
        <v>17431</v>
      </c>
      <c r="N2544">
        <f t="shared" ca="1" si="158"/>
        <v>2</v>
      </c>
      <c r="O2544" t="str">
        <f t="shared" ca="1" si="159"/>
        <v>Beginner</v>
      </c>
    </row>
    <row r="2545" spans="1:15" x14ac:dyDescent="0.3">
      <c r="A2545" t="s">
        <v>17432</v>
      </c>
      <c r="B2545" t="s">
        <v>17433</v>
      </c>
      <c r="C2545" t="s">
        <v>275</v>
      </c>
      <c r="D2545" t="s">
        <v>17434</v>
      </c>
      <c r="E2545" t="s">
        <v>17435</v>
      </c>
      <c r="F2545" t="s">
        <v>9085</v>
      </c>
      <c r="G2545" t="s">
        <v>17436</v>
      </c>
      <c r="H2545" t="s">
        <v>17437</v>
      </c>
      <c r="I2545">
        <f t="shared" ca="1" si="156"/>
        <v>45</v>
      </c>
      <c r="J2545" t="str">
        <f t="shared" ca="1" si="157"/>
        <v>40-49</v>
      </c>
      <c r="K2545">
        <v>116503</v>
      </c>
      <c r="L2545" t="str">
        <f>IF(Workforce[[#This Row],[Salary]]&lt;50000,"30k-49k",IF(Workforce[[#This Row],[Salary]]&lt;70000,"50k-69k",IF(Workforce[[#This Row],[Salary]]&lt;90000,"70k-89k","90k+")))</f>
        <v>90k+</v>
      </c>
      <c r="M2545" t="s">
        <v>16712</v>
      </c>
      <c r="N2545">
        <f t="shared" ca="1" si="158"/>
        <v>1</v>
      </c>
      <c r="O2545" t="str">
        <f t="shared" ca="1" si="159"/>
        <v>Beginner</v>
      </c>
    </row>
    <row r="2546" spans="1:15" x14ac:dyDescent="0.3">
      <c r="A2546" t="s">
        <v>17438</v>
      </c>
      <c r="B2546" t="s">
        <v>17439</v>
      </c>
      <c r="C2546" t="s">
        <v>35</v>
      </c>
      <c r="D2546" t="s">
        <v>17440</v>
      </c>
      <c r="E2546" t="s">
        <v>17441</v>
      </c>
      <c r="F2546" t="s">
        <v>3668</v>
      </c>
      <c r="G2546" t="s">
        <v>17442</v>
      </c>
      <c r="H2546" t="s">
        <v>17443</v>
      </c>
      <c r="I2546">
        <f t="shared" ca="1" si="156"/>
        <v>27</v>
      </c>
      <c r="J2546" t="str">
        <f t="shared" ca="1" si="157"/>
        <v>18-29</v>
      </c>
      <c r="K2546">
        <v>50526.46</v>
      </c>
      <c r="L2546" t="str">
        <f>IF(Workforce[[#This Row],[Salary]]&lt;50000,"30k-49k",IF(Workforce[[#This Row],[Salary]]&lt;70000,"50k-69k",IF(Workforce[[#This Row],[Salary]]&lt;90000,"70k-89k","90k+")))</f>
        <v>50k-69k</v>
      </c>
      <c r="M2546" t="s">
        <v>15889</v>
      </c>
      <c r="N2546">
        <f t="shared" ca="1" si="158"/>
        <v>3</v>
      </c>
      <c r="O2546" t="str">
        <f t="shared" ca="1" si="159"/>
        <v>Intermediate level</v>
      </c>
    </row>
    <row r="2547" spans="1:15" x14ac:dyDescent="0.3">
      <c r="A2547" t="s">
        <v>17444</v>
      </c>
      <c r="B2547" t="s">
        <v>17445</v>
      </c>
      <c r="C2547" t="s">
        <v>79</v>
      </c>
      <c r="D2547" t="s">
        <v>17446</v>
      </c>
      <c r="E2547" t="s">
        <v>17447</v>
      </c>
      <c r="F2547" t="s">
        <v>2945</v>
      </c>
      <c r="G2547" t="s">
        <v>17448</v>
      </c>
      <c r="H2547" t="s">
        <v>17449</v>
      </c>
      <c r="I2547">
        <f t="shared" ca="1" si="156"/>
        <v>27</v>
      </c>
      <c r="J2547" t="str">
        <f t="shared" ca="1" si="157"/>
        <v>18-29</v>
      </c>
      <c r="K2547">
        <v>94177.3</v>
      </c>
      <c r="L2547" t="str">
        <f>IF(Workforce[[#This Row],[Salary]]&lt;50000,"30k-49k",IF(Workforce[[#This Row],[Salary]]&lt;70000,"50k-69k",IF(Workforce[[#This Row],[Salary]]&lt;90000,"70k-89k","90k+")))</f>
        <v>90k+</v>
      </c>
      <c r="M2547" t="s">
        <v>17450</v>
      </c>
      <c r="N2547">
        <f t="shared" ca="1" si="158"/>
        <v>6</v>
      </c>
      <c r="O2547" t="str">
        <f t="shared" ca="1" si="159"/>
        <v>Intermediate level</v>
      </c>
    </row>
    <row r="2548" spans="1:15" x14ac:dyDescent="0.3">
      <c r="A2548" t="s">
        <v>17451</v>
      </c>
      <c r="B2548" t="s">
        <v>17452</v>
      </c>
      <c r="C2548" t="s">
        <v>213</v>
      </c>
      <c r="D2548" t="s">
        <v>17453</v>
      </c>
      <c r="E2548" t="s">
        <v>17454</v>
      </c>
      <c r="F2548" t="s">
        <v>958</v>
      </c>
      <c r="G2548" t="s">
        <v>17455</v>
      </c>
      <c r="H2548" t="s">
        <v>17456</v>
      </c>
      <c r="I2548">
        <f t="shared" ca="1" si="156"/>
        <v>62</v>
      </c>
      <c r="J2548" t="str">
        <f t="shared" ca="1" si="157"/>
        <v>60+</v>
      </c>
      <c r="K2548">
        <v>95558.7</v>
      </c>
      <c r="L2548" t="str">
        <f>IF(Workforce[[#This Row],[Salary]]&lt;50000,"30k-49k",IF(Workforce[[#This Row],[Salary]]&lt;70000,"50k-69k",IF(Workforce[[#This Row],[Salary]]&lt;90000,"70k-89k","90k+")))</f>
        <v>90k+</v>
      </c>
      <c r="M2548" t="s">
        <v>17457</v>
      </c>
      <c r="N2548">
        <f t="shared" ca="1" si="158"/>
        <v>7</v>
      </c>
      <c r="O2548" t="str">
        <f t="shared" ca="1" si="159"/>
        <v>Senior level</v>
      </c>
    </row>
    <row r="2549" spans="1:15" x14ac:dyDescent="0.3">
      <c r="A2549" t="s">
        <v>17458</v>
      </c>
      <c r="B2549" t="s">
        <v>17459</v>
      </c>
      <c r="C2549" t="s">
        <v>351</v>
      </c>
      <c r="D2549" t="s">
        <v>17460</v>
      </c>
      <c r="E2549" t="s">
        <v>17461</v>
      </c>
      <c r="F2549" t="s">
        <v>4726</v>
      </c>
      <c r="G2549" t="s">
        <v>17462</v>
      </c>
      <c r="H2549" t="s">
        <v>7503</v>
      </c>
      <c r="I2549">
        <f t="shared" ca="1" si="156"/>
        <v>38</v>
      </c>
      <c r="J2549" t="str">
        <f t="shared" ca="1" si="157"/>
        <v>30-39</v>
      </c>
      <c r="K2549">
        <v>36228.620000000003</v>
      </c>
      <c r="L2549" t="str">
        <f>IF(Workforce[[#This Row],[Salary]]&lt;50000,"30k-49k",IF(Workforce[[#This Row],[Salary]]&lt;70000,"50k-69k",IF(Workforce[[#This Row],[Salary]]&lt;90000,"70k-89k","90k+")))</f>
        <v>30k-49k</v>
      </c>
      <c r="M2549" t="s">
        <v>17463</v>
      </c>
      <c r="N2549">
        <f t="shared" ca="1" si="158"/>
        <v>0</v>
      </c>
      <c r="O2549" t="str">
        <f t="shared" ca="1" si="159"/>
        <v>Beginner</v>
      </c>
    </row>
    <row r="2550" spans="1:15" x14ac:dyDescent="0.3">
      <c r="A2550" t="s">
        <v>17464</v>
      </c>
      <c r="B2550" t="s">
        <v>17465</v>
      </c>
      <c r="C2550" t="s">
        <v>17</v>
      </c>
      <c r="D2550" t="s">
        <v>17466</v>
      </c>
      <c r="E2550" t="s">
        <v>17467</v>
      </c>
      <c r="F2550" t="s">
        <v>726</v>
      </c>
      <c r="G2550" t="s">
        <v>17468</v>
      </c>
      <c r="H2550" t="s">
        <v>17469</v>
      </c>
      <c r="I2550">
        <f t="shared" ca="1" si="156"/>
        <v>41</v>
      </c>
      <c r="J2550" t="str">
        <f t="shared" ca="1" si="157"/>
        <v>40-49</v>
      </c>
      <c r="K2550">
        <v>48280.56</v>
      </c>
      <c r="L2550" t="str">
        <f>IF(Workforce[[#This Row],[Salary]]&lt;50000,"30k-49k",IF(Workforce[[#This Row],[Salary]]&lt;70000,"50k-69k",IF(Workforce[[#This Row],[Salary]]&lt;90000,"70k-89k","90k+")))</f>
        <v>30k-49k</v>
      </c>
      <c r="M2550" t="s">
        <v>17470</v>
      </c>
      <c r="N2550">
        <f t="shared" ca="1" si="158"/>
        <v>2</v>
      </c>
      <c r="O2550" t="str">
        <f t="shared" ca="1" si="159"/>
        <v>Beginner</v>
      </c>
    </row>
    <row r="2551" spans="1:15" x14ac:dyDescent="0.3">
      <c r="A2551" t="s">
        <v>17471</v>
      </c>
      <c r="B2551" t="s">
        <v>17472</v>
      </c>
      <c r="C2551" t="s">
        <v>133</v>
      </c>
      <c r="D2551" t="s">
        <v>17473</v>
      </c>
      <c r="E2551" t="s">
        <v>17474</v>
      </c>
      <c r="F2551" t="s">
        <v>17475</v>
      </c>
      <c r="G2551" t="s">
        <v>17476</v>
      </c>
      <c r="H2551" t="s">
        <v>17477</v>
      </c>
      <c r="I2551">
        <f t="shared" ca="1" si="156"/>
        <v>28</v>
      </c>
      <c r="J2551" t="str">
        <f t="shared" ca="1" si="157"/>
        <v>18-29</v>
      </c>
      <c r="K2551">
        <v>118930.44</v>
      </c>
      <c r="L2551" t="str">
        <f>IF(Workforce[[#This Row],[Salary]]&lt;50000,"30k-49k",IF(Workforce[[#This Row],[Salary]]&lt;70000,"50k-69k",IF(Workforce[[#This Row],[Salary]]&lt;90000,"70k-89k","90k+")))</f>
        <v>90k+</v>
      </c>
      <c r="M2551" t="s">
        <v>17478</v>
      </c>
      <c r="N2551">
        <f t="shared" ca="1" si="158"/>
        <v>4</v>
      </c>
      <c r="O2551" t="str">
        <f t="shared" ca="1" si="159"/>
        <v>Intermediate level</v>
      </c>
    </row>
    <row r="2552" spans="1:15" x14ac:dyDescent="0.3">
      <c r="A2552" t="s">
        <v>17479</v>
      </c>
      <c r="B2552" t="s">
        <v>17480</v>
      </c>
      <c r="C2552" t="s">
        <v>196</v>
      </c>
      <c r="D2552" t="s">
        <v>17481</v>
      </c>
      <c r="E2552" t="s">
        <v>17482</v>
      </c>
      <c r="F2552" t="s">
        <v>9543</v>
      </c>
      <c r="G2552" t="s">
        <v>3142</v>
      </c>
      <c r="H2552" t="s">
        <v>17483</v>
      </c>
      <c r="I2552">
        <f t="shared" ca="1" si="156"/>
        <v>58</v>
      </c>
      <c r="J2552" t="str">
        <f t="shared" ca="1" si="157"/>
        <v>50-59</v>
      </c>
      <c r="K2552">
        <v>64401.77</v>
      </c>
      <c r="L2552" t="str">
        <f>IF(Workforce[[#This Row],[Salary]]&lt;50000,"30k-49k",IF(Workforce[[#This Row],[Salary]]&lt;70000,"50k-69k",IF(Workforce[[#This Row],[Salary]]&lt;90000,"70k-89k","90k+")))</f>
        <v>50k-69k</v>
      </c>
      <c r="M2552" t="s">
        <v>17484</v>
      </c>
      <c r="N2552">
        <f t="shared" ca="1" si="158"/>
        <v>3</v>
      </c>
      <c r="O2552" t="str">
        <f t="shared" ca="1" si="159"/>
        <v>Intermediate level</v>
      </c>
    </row>
    <row r="2553" spans="1:15" x14ac:dyDescent="0.3">
      <c r="A2553" t="s">
        <v>17485</v>
      </c>
      <c r="B2553" t="s">
        <v>17486</v>
      </c>
      <c r="C2553" t="s">
        <v>61</v>
      </c>
      <c r="D2553" t="s">
        <v>17487</v>
      </c>
      <c r="E2553" t="s">
        <v>17488</v>
      </c>
      <c r="F2553" t="s">
        <v>4772</v>
      </c>
      <c r="G2553" t="s">
        <v>17489</v>
      </c>
      <c r="H2553" t="s">
        <v>17490</v>
      </c>
      <c r="I2553">
        <f t="shared" ca="1" si="156"/>
        <v>30</v>
      </c>
      <c r="J2553" t="str">
        <f t="shared" ca="1" si="157"/>
        <v>30-39</v>
      </c>
      <c r="K2553">
        <v>51033.1</v>
      </c>
      <c r="L2553" t="str">
        <f>IF(Workforce[[#This Row],[Salary]]&lt;50000,"30k-49k",IF(Workforce[[#This Row],[Salary]]&lt;70000,"50k-69k",IF(Workforce[[#This Row],[Salary]]&lt;90000,"70k-89k","90k+")))</f>
        <v>50k-69k</v>
      </c>
      <c r="M2553" t="s">
        <v>16471</v>
      </c>
      <c r="N2553">
        <f t="shared" ca="1" si="158"/>
        <v>6</v>
      </c>
      <c r="O2553" t="str">
        <f t="shared" ca="1" si="159"/>
        <v>Intermediate level</v>
      </c>
    </row>
    <row r="2554" spans="1:15" x14ac:dyDescent="0.3">
      <c r="A2554" t="s">
        <v>17491</v>
      </c>
      <c r="B2554" t="s">
        <v>17492</v>
      </c>
      <c r="C2554" t="s">
        <v>17</v>
      </c>
      <c r="D2554" t="s">
        <v>17493</v>
      </c>
      <c r="E2554" t="s">
        <v>17494</v>
      </c>
      <c r="F2554" t="s">
        <v>5322</v>
      </c>
      <c r="G2554" t="s">
        <v>17495</v>
      </c>
      <c r="H2554" t="s">
        <v>9878</v>
      </c>
      <c r="I2554">
        <f t="shared" ca="1" si="156"/>
        <v>55</v>
      </c>
      <c r="J2554" t="str">
        <f t="shared" ca="1" si="157"/>
        <v>50-59</v>
      </c>
      <c r="K2554">
        <v>45812.639999999999</v>
      </c>
      <c r="L2554" t="str">
        <f>IF(Workforce[[#This Row],[Salary]]&lt;50000,"30k-49k",IF(Workforce[[#This Row],[Salary]]&lt;70000,"50k-69k",IF(Workforce[[#This Row],[Salary]]&lt;90000,"70k-89k","90k+")))</f>
        <v>30k-49k</v>
      </c>
      <c r="M2554" t="s">
        <v>2485</v>
      </c>
      <c r="N2554">
        <f t="shared" ca="1" si="158"/>
        <v>7</v>
      </c>
      <c r="O2554" t="str">
        <f t="shared" ca="1" si="159"/>
        <v>Senior level</v>
      </c>
    </row>
    <row r="2555" spans="1:15" x14ac:dyDescent="0.3">
      <c r="A2555" t="s">
        <v>15132</v>
      </c>
      <c r="B2555" t="s">
        <v>17496</v>
      </c>
      <c r="C2555" t="s">
        <v>1223</v>
      </c>
      <c r="D2555" t="s">
        <v>17497</v>
      </c>
      <c r="E2555" t="s">
        <v>17498</v>
      </c>
      <c r="F2555" t="s">
        <v>9013</v>
      </c>
      <c r="G2555" t="s">
        <v>17499</v>
      </c>
      <c r="H2555" t="s">
        <v>17500</v>
      </c>
      <c r="I2555">
        <f t="shared" ca="1" si="156"/>
        <v>34</v>
      </c>
      <c r="J2555" t="str">
        <f t="shared" ca="1" si="157"/>
        <v>30-39</v>
      </c>
      <c r="K2555">
        <v>78268.62</v>
      </c>
      <c r="L2555" t="str">
        <f>IF(Workforce[[#This Row],[Salary]]&lt;50000,"30k-49k",IF(Workforce[[#This Row],[Salary]]&lt;70000,"50k-69k",IF(Workforce[[#This Row],[Salary]]&lt;90000,"70k-89k","90k+")))</f>
        <v>70k-89k</v>
      </c>
      <c r="M2555" t="s">
        <v>17501</v>
      </c>
      <c r="N2555">
        <f t="shared" ca="1" si="158"/>
        <v>8</v>
      </c>
      <c r="O2555" t="str">
        <f t="shared" ca="1" si="159"/>
        <v>Senior level</v>
      </c>
    </row>
    <row r="2556" spans="1:15" x14ac:dyDescent="0.3">
      <c r="A2556" t="s">
        <v>17502</v>
      </c>
      <c r="B2556" t="s">
        <v>17503</v>
      </c>
      <c r="C2556" t="s">
        <v>326</v>
      </c>
      <c r="D2556" t="s">
        <v>17504</v>
      </c>
      <c r="E2556" t="s">
        <v>17505</v>
      </c>
      <c r="F2556" t="s">
        <v>6876</v>
      </c>
      <c r="G2556" t="s">
        <v>17506</v>
      </c>
      <c r="H2556" t="s">
        <v>17507</v>
      </c>
      <c r="I2556">
        <f t="shared" ca="1" si="156"/>
        <v>30</v>
      </c>
      <c r="J2556" t="str">
        <f t="shared" ca="1" si="157"/>
        <v>30-39</v>
      </c>
      <c r="K2556">
        <v>93442.67</v>
      </c>
      <c r="L2556" t="str">
        <f>IF(Workforce[[#This Row],[Salary]]&lt;50000,"30k-49k",IF(Workforce[[#This Row],[Salary]]&lt;70000,"50k-69k",IF(Workforce[[#This Row],[Salary]]&lt;90000,"70k-89k","90k+")))</f>
        <v>90k+</v>
      </c>
      <c r="M2556" t="s">
        <v>7066</v>
      </c>
      <c r="N2556">
        <f t="shared" ca="1" si="158"/>
        <v>9</v>
      </c>
      <c r="O2556" t="str">
        <f t="shared" ca="1" si="159"/>
        <v>Senior level</v>
      </c>
    </row>
    <row r="2557" spans="1:15" x14ac:dyDescent="0.3">
      <c r="A2557" t="s">
        <v>17508</v>
      </c>
      <c r="B2557" t="s">
        <v>17509</v>
      </c>
      <c r="C2557" t="s">
        <v>482</v>
      </c>
      <c r="D2557" t="s">
        <v>17510</v>
      </c>
      <c r="E2557" t="s">
        <v>17511</v>
      </c>
      <c r="F2557" t="s">
        <v>199</v>
      </c>
      <c r="G2557" t="s">
        <v>17512</v>
      </c>
      <c r="H2557" t="s">
        <v>17513</v>
      </c>
      <c r="I2557">
        <f t="shared" ca="1" si="156"/>
        <v>46</v>
      </c>
      <c r="J2557" t="str">
        <f t="shared" ca="1" si="157"/>
        <v>40-49</v>
      </c>
      <c r="K2557">
        <v>119033.66</v>
      </c>
      <c r="L2557" t="str">
        <f>IF(Workforce[[#This Row],[Salary]]&lt;50000,"30k-49k",IF(Workforce[[#This Row],[Salary]]&lt;70000,"50k-69k",IF(Workforce[[#This Row],[Salary]]&lt;90000,"70k-89k","90k+")))</f>
        <v>90k+</v>
      </c>
      <c r="M2557" t="s">
        <v>17514</v>
      </c>
      <c r="N2557">
        <f t="shared" ca="1" si="158"/>
        <v>6</v>
      </c>
      <c r="O2557" t="str">
        <f t="shared" ca="1" si="159"/>
        <v>Intermediate level</v>
      </c>
    </row>
    <row r="2558" spans="1:15" x14ac:dyDescent="0.3">
      <c r="A2558" t="s">
        <v>17515</v>
      </c>
      <c r="B2558" t="s">
        <v>17516</v>
      </c>
      <c r="C2558" t="s">
        <v>17</v>
      </c>
      <c r="D2558" t="s">
        <v>17517</v>
      </c>
      <c r="E2558" t="s">
        <v>17518</v>
      </c>
      <c r="F2558" t="s">
        <v>7582</v>
      </c>
      <c r="G2558" t="s">
        <v>17519</v>
      </c>
      <c r="H2558" t="s">
        <v>17520</v>
      </c>
      <c r="I2558">
        <f t="shared" ca="1" si="156"/>
        <v>54</v>
      </c>
      <c r="J2558" t="str">
        <f t="shared" ca="1" si="157"/>
        <v>50-59</v>
      </c>
      <c r="K2558">
        <v>55817.69</v>
      </c>
      <c r="L2558" t="str">
        <f>IF(Workforce[[#This Row],[Salary]]&lt;50000,"30k-49k",IF(Workforce[[#This Row],[Salary]]&lt;70000,"50k-69k",IF(Workforce[[#This Row],[Salary]]&lt;90000,"70k-89k","90k+")))</f>
        <v>50k-69k</v>
      </c>
      <c r="M2558" t="s">
        <v>2197</v>
      </c>
      <c r="N2558">
        <f t="shared" ca="1" si="158"/>
        <v>5</v>
      </c>
      <c r="O2558" t="str">
        <f t="shared" ca="1" si="159"/>
        <v>Intermediate level</v>
      </c>
    </row>
    <row r="2559" spans="1:15" x14ac:dyDescent="0.3">
      <c r="A2559" t="s">
        <v>17521</v>
      </c>
      <c r="B2559" t="s">
        <v>17522</v>
      </c>
      <c r="C2559" t="s">
        <v>61</v>
      </c>
      <c r="D2559" t="s">
        <v>17523</v>
      </c>
      <c r="E2559" t="s">
        <v>17524</v>
      </c>
      <c r="F2559" t="s">
        <v>4843</v>
      </c>
      <c r="G2559" t="s">
        <v>17525</v>
      </c>
      <c r="H2559" t="s">
        <v>17526</v>
      </c>
      <c r="I2559">
        <f t="shared" ca="1" si="156"/>
        <v>37</v>
      </c>
      <c r="J2559" t="str">
        <f t="shared" ca="1" si="157"/>
        <v>30-39</v>
      </c>
      <c r="K2559">
        <v>53786.33</v>
      </c>
      <c r="L2559" t="str">
        <f>IF(Workforce[[#This Row],[Salary]]&lt;50000,"30k-49k",IF(Workforce[[#This Row],[Salary]]&lt;70000,"50k-69k",IF(Workforce[[#This Row],[Salary]]&lt;90000,"70k-89k","90k+")))</f>
        <v>50k-69k</v>
      </c>
      <c r="M2559" t="s">
        <v>8404</v>
      </c>
      <c r="N2559">
        <f t="shared" ca="1" si="158"/>
        <v>1</v>
      </c>
      <c r="O2559" t="str">
        <f t="shared" ca="1" si="159"/>
        <v>Beginner</v>
      </c>
    </row>
    <row r="2560" spans="1:15" x14ac:dyDescent="0.3">
      <c r="A2560" t="s">
        <v>17527</v>
      </c>
      <c r="B2560" t="s">
        <v>17528</v>
      </c>
      <c r="C2560" t="s">
        <v>257</v>
      </c>
      <c r="D2560" t="s">
        <v>17529</v>
      </c>
      <c r="E2560" t="s">
        <v>17530</v>
      </c>
      <c r="F2560" t="s">
        <v>8319</v>
      </c>
      <c r="G2560" t="s">
        <v>17531</v>
      </c>
      <c r="H2560" t="s">
        <v>17532</v>
      </c>
      <c r="I2560">
        <f t="shared" ca="1" si="156"/>
        <v>54</v>
      </c>
      <c r="J2560" t="str">
        <f t="shared" ca="1" si="157"/>
        <v>50-59</v>
      </c>
      <c r="K2560">
        <v>115666.77</v>
      </c>
      <c r="L2560" t="str">
        <f>IF(Workforce[[#This Row],[Salary]]&lt;50000,"30k-49k",IF(Workforce[[#This Row],[Salary]]&lt;70000,"50k-69k",IF(Workforce[[#This Row],[Salary]]&lt;90000,"70k-89k","90k+")))</f>
        <v>90k+</v>
      </c>
      <c r="M2560" t="s">
        <v>17533</v>
      </c>
      <c r="N2560">
        <f t="shared" ca="1" si="158"/>
        <v>3</v>
      </c>
      <c r="O2560" t="str">
        <f t="shared" ca="1" si="159"/>
        <v>Intermediate level</v>
      </c>
    </row>
    <row r="2561" spans="1:15" x14ac:dyDescent="0.3">
      <c r="A2561" t="s">
        <v>17534</v>
      </c>
      <c r="B2561" t="s">
        <v>17535</v>
      </c>
      <c r="C2561" t="s">
        <v>61</v>
      </c>
      <c r="D2561" t="s">
        <v>17536</v>
      </c>
      <c r="E2561" t="s">
        <v>17537</v>
      </c>
      <c r="F2561" t="s">
        <v>2630</v>
      </c>
      <c r="G2561" t="s">
        <v>17538</v>
      </c>
      <c r="H2561" t="s">
        <v>17539</v>
      </c>
      <c r="I2561">
        <f t="shared" ca="1" si="156"/>
        <v>36</v>
      </c>
      <c r="J2561" t="str">
        <f t="shared" ca="1" si="157"/>
        <v>30-39</v>
      </c>
      <c r="K2561">
        <v>98883.12</v>
      </c>
      <c r="L2561" t="str">
        <f>IF(Workforce[[#This Row],[Salary]]&lt;50000,"30k-49k",IF(Workforce[[#This Row],[Salary]]&lt;70000,"50k-69k",IF(Workforce[[#This Row],[Salary]]&lt;90000,"70k-89k","90k+")))</f>
        <v>90k+</v>
      </c>
      <c r="M2561" t="s">
        <v>12138</v>
      </c>
      <c r="N2561">
        <f t="shared" ca="1" si="158"/>
        <v>2</v>
      </c>
      <c r="O2561" t="str">
        <f t="shared" ca="1" si="159"/>
        <v>Beginner</v>
      </c>
    </row>
    <row r="2562" spans="1:15" x14ac:dyDescent="0.3">
      <c r="A2562" t="s">
        <v>17540</v>
      </c>
      <c r="B2562" t="s">
        <v>17541</v>
      </c>
      <c r="C2562" t="s">
        <v>604</v>
      </c>
      <c r="D2562" t="s">
        <v>17542</v>
      </c>
      <c r="E2562" t="s">
        <v>17543</v>
      </c>
      <c r="F2562" t="s">
        <v>6132</v>
      </c>
      <c r="G2562" t="s">
        <v>17544</v>
      </c>
      <c r="H2562" t="s">
        <v>17545</v>
      </c>
      <c r="I2562">
        <f t="shared" ref="I2562:I2625" ca="1" si="160">DATEDIF(H2562,TODAY(),"y")</f>
        <v>42</v>
      </c>
      <c r="J2562" t="str">
        <f t="shared" ref="J2562:J2625" ca="1" si="161">IF(I2562&lt;30,"18-29",IF(I2562&lt;40,"30-39",IF(I2562&lt;50,"40-49",IF(I2562&lt;60,"50-59","60+"))))</f>
        <v>40-49</v>
      </c>
      <c r="K2562">
        <v>57501.13</v>
      </c>
      <c r="L2562" t="str">
        <f>IF(Workforce[[#This Row],[Salary]]&lt;50000,"30k-49k",IF(Workforce[[#This Row],[Salary]]&lt;70000,"50k-69k",IF(Workforce[[#This Row],[Salary]]&lt;90000,"70k-89k","90k+")))</f>
        <v>50k-69k</v>
      </c>
      <c r="M2562" t="s">
        <v>17546</v>
      </c>
      <c r="N2562">
        <f t="shared" ref="N2562:N2625" ca="1" si="162">DATEDIF(M2562,TODAY(),"y")</f>
        <v>2</v>
      </c>
      <c r="O2562" t="str">
        <f t="shared" ref="O2562:O2625" ca="1" si="163">IF(N2562&lt;=2,"Beginner",IF(N2562&lt;=6,"Intermediate level","Senior level"))</f>
        <v>Beginner</v>
      </c>
    </row>
    <row r="2563" spans="1:15" x14ac:dyDescent="0.3">
      <c r="A2563" t="s">
        <v>17547</v>
      </c>
      <c r="B2563" t="s">
        <v>17548</v>
      </c>
      <c r="C2563" t="s">
        <v>995</v>
      </c>
      <c r="D2563" t="s">
        <v>17549</v>
      </c>
      <c r="E2563" t="s">
        <v>17550</v>
      </c>
      <c r="F2563" t="s">
        <v>742</v>
      </c>
      <c r="G2563" t="s">
        <v>17551</v>
      </c>
      <c r="H2563" t="s">
        <v>17552</v>
      </c>
      <c r="I2563">
        <f t="shared" ca="1" si="160"/>
        <v>39</v>
      </c>
      <c r="J2563" t="str">
        <f t="shared" ca="1" si="161"/>
        <v>30-39</v>
      </c>
      <c r="K2563">
        <v>54559.48</v>
      </c>
      <c r="L2563" t="str">
        <f>IF(Workforce[[#This Row],[Salary]]&lt;50000,"30k-49k",IF(Workforce[[#This Row],[Salary]]&lt;70000,"50k-69k",IF(Workforce[[#This Row],[Salary]]&lt;90000,"70k-89k","90k+")))</f>
        <v>50k-69k</v>
      </c>
      <c r="M2563" t="s">
        <v>17553</v>
      </c>
      <c r="N2563">
        <f t="shared" ca="1" si="162"/>
        <v>10</v>
      </c>
      <c r="O2563" t="str">
        <f t="shared" ca="1" si="163"/>
        <v>Senior level</v>
      </c>
    </row>
    <row r="2564" spans="1:15" x14ac:dyDescent="0.3">
      <c r="A2564" t="s">
        <v>17554</v>
      </c>
      <c r="B2564" t="s">
        <v>17555</v>
      </c>
      <c r="C2564" t="s">
        <v>231</v>
      </c>
      <c r="D2564" t="s">
        <v>17556</v>
      </c>
      <c r="E2564" t="s">
        <v>17557</v>
      </c>
      <c r="F2564" t="s">
        <v>4096</v>
      </c>
      <c r="G2564" t="s">
        <v>17558</v>
      </c>
      <c r="H2564" t="s">
        <v>17559</v>
      </c>
      <c r="I2564">
        <f t="shared" ca="1" si="160"/>
        <v>61</v>
      </c>
      <c r="J2564" t="str">
        <f t="shared" ca="1" si="161"/>
        <v>60+</v>
      </c>
      <c r="K2564">
        <v>30883.91</v>
      </c>
      <c r="L2564" t="str">
        <f>IF(Workforce[[#This Row],[Salary]]&lt;50000,"30k-49k",IF(Workforce[[#This Row],[Salary]]&lt;70000,"50k-69k",IF(Workforce[[#This Row],[Salary]]&lt;90000,"70k-89k","90k+")))</f>
        <v>30k-49k</v>
      </c>
      <c r="M2564" t="s">
        <v>3121</v>
      </c>
      <c r="N2564">
        <f t="shared" ca="1" si="162"/>
        <v>3</v>
      </c>
      <c r="O2564" t="str">
        <f t="shared" ca="1" si="163"/>
        <v>Intermediate level</v>
      </c>
    </row>
    <row r="2565" spans="1:15" x14ac:dyDescent="0.3">
      <c r="A2565" t="s">
        <v>17560</v>
      </c>
      <c r="B2565" t="s">
        <v>17561</v>
      </c>
      <c r="C2565" t="s">
        <v>317</v>
      </c>
      <c r="D2565" t="s">
        <v>17562</v>
      </c>
      <c r="E2565" t="s">
        <v>17563</v>
      </c>
      <c r="F2565" t="s">
        <v>1572</v>
      </c>
      <c r="G2565" t="s">
        <v>17564</v>
      </c>
      <c r="H2565" t="s">
        <v>17565</v>
      </c>
      <c r="I2565">
        <f t="shared" ca="1" si="160"/>
        <v>33</v>
      </c>
      <c r="J2565" t="str">
        <f t="shared" ca="1" si="161"/>
        <v>30-39</v>
      </c>
      <c r="K2565">
        <v>102212.75</v>
      </c>
      <c r="L2565" t="str">
        <f>IF(Workforce[[#This Row],[Salary]]&lt;50000,"30k-49k",IF(Workforce[[#This Row],[Salary]]&lt;70000,"50k-69k",IF(Workforce[[#This Row],[Salary]]&lt;90000,"70k-89k","90k+")))</f>
        <v>90k+</v>
      </c>
      <c r="M2565" t="s">
        <v>14710</v>
      </c>
      <c r="N2565">
        <f t="shared" ca="1" si="162"/>
        <v>7</v>
      </c>
      <c r="O2565" t="str">
        <f t="shared" ca="1" si="163"/>
        <v>Senior level</v>
      </c>
    </row>
    <row r="2566" spans="1:15" x14ac:dyDescent="0.3">
      <c r="A2566" t="s">
        <v>11207</v>
      </c>
      <c r="B2566" t="s">
        <v>17566</v>
      </c>
      <c r="C2566" t="s">
        <v>757</v>
      </c>
      <c r="D2566" t="s">
        <v>17567</v>
      </c>
      <c r="E2566" t="s">
        <v>17568</v>
      </c>
      <c r="F2566" t="s">
        <v>6763</v>
      </c>
      <c r="G2566" t="s">
        <v>3704</v>
      </c>
      <c r="H2566" t="s">
        <v>15162</v>
      </c>
      <c r="I2566">
        <f t="shared" ca="1" si="160"/>
        <v>44</v>
      </c>
      <c r="J2566" t="str">
        <f t="shared" ca="1" si="161"/>
        <v>40-49</v>
      </c>
      <c r="K2566">
        <v>67031.360000000001</v>
      </c>
      <c r="L2566" t="str">
        <f>IF(Workforce[[#This Row],[Salary]]&lt;50000,"30k-49k",IF(Workforce[[#This Row],[Salary]]&lt;70000,"50k-69k",IF(Workforce[[#This Row],[Salary]]&lt;90000,"70k-89k","90k+")))</f>
        <v>50k-69k</v>
      </c>
      <c r="M2566" t="s">
        <v>3194</v>
      </c>
      <c r="N2566">
        <f t="shared" ca="1" si="162"/>
        <v>0</v>
      </c>
      <c r="O2566" t="str">
        <f t="shared" ca="1" si="163"/>
        <v>Beginner</v>
      </c>
    </row>
    <row r="2567" spans="1:15" x14ac:dyDescent="0.3">
      <c r="A2567" t="s">
        <v>17569</v>
      </c>
      <c r="B2567" t="s">
        <v>17570</v>
      </c>
      <c r="C2567" t="s">
        <v>257</v>
      </c>
      <c r="D2567" t="s">
        <v>17571</v>
      </c>
      <c r="E2567" t="s">
        <v>17572</v>
      </c>
      <c r="F2567" t="s">
        <v>1665</v>
      </c>
      <c r="G2567" t="s">
        <v>17573</v>
      </c>
      <c r="H2567" t="s">
        <v>17574</v>
      </c>
      <c r="I2567">
        <f t="shared" ca="1" si="160"/>
        <v>61</v>
      </c>
      <c r="J2567" t="str">
        <f t="shared" ca="1" si="161"/>
        <v>60+</v>
      </c>
      <c r="K2567">
        <v>51400.7</v>
      </c>
      <c r="L2567" t="str">
        <f>IF(Workforce[[#This Row],[Salary]]&lt;50000,"30k-49k",IF(Workforce[[#This Row],[Salary]]&lt;70000,"50k-69k",IF(Workforce[[#This Row],[Salary]]&lt;90000,"70k-89k","90k+")))</f>
        <v>50k-69k</v>
      </c>
      <c r="M2567" t="s">
        <v>17575</v>
      </c>
      <c r="N2567">
        <f t="shared" ca="1" si="162"/>
        <v>9</v>
      </c>
      <c r="O2567" t="str">
        <f t="shared" ca="1" si="163"/>
        <v>Senior level</v>
      </c>
    </row>
    <row r="2568" spans="1:15" x14ac:dyDescent="0.3">
      <c r="A2568" t="s">
        <v>17576</v>
      </c>
      <c r="B2568" t="s">
        <v>17577</v>
      </c>
      <c r="C2568" t="s">
        <v>151</v>
      </c>
      <c r="D2568" t="s">
        <v>17578</v>
      </c>
      <c r="E2568" t="s">
        <v>17579</v>
      </c>
      <c r="F2568" t="s">
        <v>6260</v>
      </c>
      <c r="G2568" t="s">
        <v>17580</v>
      </c>
      <c r="H2568" t="s">
        <v>17581</v>
      </c>
      <c r="I2568">
        <f t="shared" ca="1" si="160"/>
        <v>25</v>
      </c>
      <c r="J2568" t="str">
        <f t="shared" ca="1" si="161"/>
        <v>18-29</v>
      </c>
      <c r="K2568">
        <v>107981.93</v>
      </c>
      <c r="L2568" t="str">
        <f>IF(Workforce[[#This Row],[Salary]]&lt;50000,"30k-49k",IF(Workforce[[#This Row],[Salary]]&lt;70000,"50k-69k",IF(Workforce[[#This Row],[Salary]]&lt;90000,"70k-89k","90k+")))</f>
        <v>90k+</v>
      </c>
      <c r="M2568" t="s">
        <v>3511</v>
      </c>
      <c r="N2568">
        <f t="shared" ca="1" si="162"/>
        <v>3</v>
      </c>
      <c r="O2568" t="str">
        <f t="shared" ca="1" si="163"/>
        <v>Intermediate level</v>
      </c>
    </row>
    <row r="2569" spans="1:15" x14ac:dyDescent="0.3">
      <c r="A2569" t="s">
        <v>17582</v>
      </c>
      <c r="B2569" t="s">
        <v>17583</v>
      </c>
      <c r="C2569" t="s">
        <v>231</v>
      </c>
      <c r="D2569" t="s">
        <v>17584</v>
      </c>
      <c r="E2569" t="s">
        <v>17585</v>
      </c>
      <c r="F2569" t="s">
        <v>5432</v>
      </c>
      <c r="G2569" t="s">
        <v>17586</v>
      </c>
      <c r="H2569" t="s">
        <v>17587</v>
      </c>
      <c r="I2569">
        <f t="shared" ca="1" si="160"/>
        <v>48</v>
      </c>
      <c r="J2569" t="str">
        <f t="shared" ca="1" si="161"/>
        <v>40-49</v>
      </c>
      <c r="K2569">
        <v>68300.89</v>
      </c>
      <c r="L2569" t="str">
        <f>IF(Workforce[[#This Row],[Salary]]&lt;50000,"30k-49k",IF(Workforce[[#This Row],[Salary]]&lt;70000,"50k-69k",IF(Workforce[[#This Row],[Salary]]&lt;90000,"70k-89k","90k+")))</f>
        <v>50k-69k</v>
      </c>
      <c r="M2569" t="s">
        <v>969</v>
      </c>
      <c r="N2569">
        <f t="shared" ca="1" si="162"/>
        <v>1</v>
      </c>
      <c r="O2569" t="str">
        <f t="shared" ca="1" si="163"/>
        <v>Beginner</v>
      </c>
    </row>
    <row r="2570" spans="1:15" x14ac:dyDescent="0.3">
      <c r="A2570" t="s">
        <v>17588</v>
      </c>
      <c r="B2570" t="s">
        <v>17589</v>
      </c>
      <c r="C2570" t="s">
        <v>482</v>
      </c>
      <c r="D2570" t="s">
        <v>17590</v>
      </c>
      <c r="E2570" t="s">
        <v>17591</v>
      </c>
      <c r="F2570" t="s">
        <v>2170</v>
      </c>
      <c r="G2570" t="s">
        <v>17592</v>
      </c>
      <c r="H2570" t="s">
        <v>17593</v>
      </c>
      <c r="I2570">
        <f t="shared" ca="1" si="160"/>
        <v>58</v>
      </c>
      <c r="J2570" t="str">
        <f t="shared" ca="1" si="161"/>
        <v>50-59</v>
      </c>
      <c r="K2570">
        <v>116627.89</v>
      </c>
      <c r="L2570" t="str">
        <f>IF(Workforce[[#This Row],[Salary]]&lt;50000,"30k-49k",IF(Workforce[[#This Row],[Salary]]&lt;70000,"50k-69k",IF(Workforce[[#This Row],[Salary]]&lt;90000,"70k-89k","90k+")))</f>
        <v>90k+</v>
      </c>
      <c r="M2570" t="s">
        <v>17594</v>
      </c>
      <c r="N2570">
        <f t="shared" ca="1" si="162"/>
        <v>9</v>
      </c>
      <c r="O2570" t="str">
        <f t="shared" ca="1" si="163"/>
        <v>Senior level</v>
      </c>
    </row>
    <row r="2571" spans="1:15" x14ac:dyDescent="0.3">
      <c r="A2571" t="s">
        <v>17595</v>
      </c>
      <c r="B2571" t="s">
        <v>17596</v>
      </c>
      <c r="C2571" t="s">
        <v>88</v>
      </c>
      <c r="D2571" t="s">
        <v>17597</v>
      </c>
      <c r="E2571" t="s">
        <v>17598</v>
      </c>
      <c r="F2571" t="s">
        <v>2645</v>
      </c>
      <c r="G2571" t="s">
        <v>17599</v>
      </c>
      <c r="H2571" t="s">
        <v>17600</v>
      </c>
      <c r="I2571">
        <f t="shared" ca="1" si="160"/>
        <v>20</v>
      </c>
      <c r="J2571" t="str">
        <f t="shared" ca="1" si="161"/>
        <v>18-29</v>
      </c>
      <c r="K2571">
        <v>30499.98</v>
      </c>
      <c r="L2571" t="str">
        <f>IF(Workforce[[#This Row],[Salary]]&lt;50000,"30k-49k",IF(Workforce[[#This Row],[Salary]]&lt;70000,"50k-69k",IF(Workforce[[#This Row],[Salary]]&lt;90000,"70k-89k","90k+")))</f>
        <v>30k-49k</v>
      </c>
      <c r="M2571" t="s">
        <v>17601</v>
      </c>
      <c r="N2571">
        <f t="shared" ca="1" si="162"/>
        <v>10</v>
      </c>
      <c r="O2571" t="str">
        <f t="shared" ca="1" si="163"/>
        <v>Senior level</v>
      </c>
    </row>
    <row r="2572" spans="1:15" x14ac:dyDescent="0.3">
      <c r="A2572" t="s">
        <v>17602</v>
      </c>
      <c r="B2572" t="s">
        <v>17603</v>
      </c>
      <c r="C2572" t="s">
        <v>115</v>
      </c>
      <c r="D2572" t="s">
        <v>17604</v>
      </c>
      <c r="E2572" t="s">
        <v>17605</v>
      </c>
      <c r="F2572" t="s">
        <v>10095</v>
      </c>
      <c r="G2572" t="s">
        <v>17606</v>
      </c>
      <c r="H2572" t="s">
        <v>17607</v>
      </c>
      <c r="I2572">
        <f t="shared" ca="1" si="160"/>
        <v>42</v>
      </c>
      <c r="J2572" t="str">
        <f t="shared" ca="1" si="161"/>
        <v>40-49</v>
      </c>
      <c r="K2572">
        <v>109310.08</v>
      </c>
      <c r="L2572" t="str">
        <f>IF(Workforce[[#This Row],[Salary]]&lt;50000,"30k-49k",IF(Workforce[[#This Row],[Salary]]&lt;70000,"50k-69k",IF(Workforce[[#This Row],[Salary]]&lt;90000,"70k-89k","90k+")))</f>
        <v>90k+</v>
      </c>
      <c r="M2572" t="s">
        <v>5340</v>
      </c>
      <c r="N2572">
        <f t="shared" ca="1" si="162"/>
        <v>4</v>
      </c>
      <c r="O2572" t="str">
        <f t="shared" ca="1" si="163"/>
        <v>Intermediate level</v>
      </c>
    </row>
    <row r="2573" spans="1:15" x14ac:dyDescent="0.3">
      <c r="A2573" t="s">
        <v>17608</v>
      </c>
      <c r="B2573" t="s">
        <v>17609</v>
      </c>
      <c r="C2573" t="s">
        <v>1159</v>
      </c>
      <c r="D2573" t="s">
        <v>17610</v>
      </c>
      <c r="E2573" t="s">
        <v>17611</v>
      </c>
      <c r="F2573" t="s">
        <v>5493</v>
      </c>
      <c r="G2573" t="s">
        <v>17612</v>
      </c>
      <c r="H2573" t="s">
        <v>17613</v>
      </c>
      <c r="I2573">
        <f t="shared" ca="1" si="160"/>
        <v>47</v>
      </c>
      <c r="J2573" t="str">
        <f t="shared" ca="1" si="161"/>
        <v>40-49</v>
      </c>
      <c r="K2573">
        <v>86704.29</v>
      </c>
      <c r="L2573" t="str">
        <f>IF(Workforce[[#This Row],[Salary]]&lt;50000,"30k-49k",IF(Workforce[[#This Row],[Salary]]&lt;70000,"50k-69k",IF(Workforce[[#This Row],[Salary]]&lt;90000,"70k-89k","90k+")))</f>
        <v>70k-89k</v>
      </c>
      <c r="M2573" t="s">
        <v>2668</v>
      </c>
      <c r="N2573">
        <f t="shared" ca="1" si="162"/>
        <v>2</v>
      </c>
      <c r="O2573" t="str">
        <f t="shared" ca="1" si="163"/>
        <v>Beginner</v>
      </c>
    </row>
    <row r="2574" spans="1:15" x14ac:dyDescent="0.3">
      <c r="A2574" t="s">
        <v>17614</v>
      </c>
      <c r="B2574" t="s">
        <v>17615</v>
      </c>
      <c r="C2574" t="s">
        <v>70</v>
      </c>
      <c r="D2574" t="s">
        <v>17616</v>
      </c>
      <c r="E2574" t="s">
        <v>17617</v>
      </c>
      <c r="F2574" t="s">
        <v>2365</v>
      </c>
      <c r="G2574" t="s">
        <v>17618</v>
      </c>
      <c r="H2574" t="s">
        <v>17619</v>
      </c>
      <c r="I2574">
        <f t="shared" ca="1" si="160"/>
        <v>24</v>
      </c>
      <c r="J2574" t="str">
        <f t="shared" ca="1" si="161"/>
        <v>18-29</v>
      </c>
      <c r="K2574">
        <v>60273.25</v>
      </c>
      <c r="L2574" t="str">
        <f>IF(Workforce[[#This Row],[Salary]]&lt;50000,"30k-49k",IF(Workforce[[#This Row],[Salary]]&lt;70000,"50k-69k",IF(Workforce[[#This Row],[Salary]]&lt;90000,"70k-89k","90k+")))</f>
        <v>50k-69k</v>
      </c>
      <c r="M2574" t="s">
        <v>17620</v>
      </c>
      <c r="N2574">
        <f t="shared" ca="1" si="162"/>
        <v>5</v>
      </c>
      <c r="O2574" t="str">
        <f t="shared" ca="1" si="163"/>
        <v>Intermediate level</v>
      </c>
    </row>
    <row r="2575" spans="1:15" x14ac:dyDescent="0.3">
      <c r="A2575" t="s">
        <v>17621</v>
      </c>
      <c r="B2575" t="s">
        <v>17622</v>
      </c>
      <c r="C2575" t="s">
        <v>1004</v>
      </c>
      <c r="D2575" t="s">
        <v>17623</v>
      </c>
      <c r="E2575" t="s">
        <v>17624</v>
      </c>
      <c r="F2575" t="s">
        <v>7920</v>
      </c>
      <c r="G2575" t="s">
        <v>17625</v>
      </c>
      <c r="H2575" t="s">
        <v>17626</v>
      </c>
      <c r="I2575">
        <f t="shared" ca="1" si="160"/>
        <v>65</v>
      </c>
      <c r="J2575" t="str">
        <f t="shared" ca="1" si="161"/>
        <v>60+</v>
      </c>
      <c r="K2575">
        <v>72709.25</v>
      </c>
      <c r="L2575" t="str">
        <f>IF(Workforce[[#This Row],[Salary]]&lt;50000,"30k-49k",IF(Workforce[[#This Row],[Salary]]&lt;70000,"50k-69k",IF(Workforce[[#This Row],[Salary]]&lt;90000,"70k-89k","90k+")))</f>
        <v>70k-89k</v>
      </c>
      <c r="M2575" t="s">
        <v>11670</v>
      </c>
      <c r="N2575">
        <f t="shared" ca="1" si="162"/>
        <v>6</v>
      </c>
      <c r="O2575" t="str">
        <f t="shared" ca="1" si="163"/>
        <v>Intermediate level</v>
      </c>
    </row>
    <row r="2576" spans="1:15" x14ac:dyDescent="0.3">
      <c r="A2576" t="s">
        <v>17627</v>
      </c>
      <c r="B2576" t="s">
        <v>17628</v>
      </c>
      <c r="C2576" t="s">
        <v>757</v>
      </c>
      <c r="D2576" t="s">
        <v>17629</v>
      </c>
      <c r="E2576" t="s">
        <v>17630</v>
      </c>
      <c r="F2576" t="s">
        <v>11183</v>
      </c>
      <c r="G2576" t="s">
        <v>17631</v>
      </c>
      <c r="H2576" t="s">
        <v>227</v>
      </c>
      <c r="I2576">
        <f t="shared" ca="1" si="160"/>
        <v>59</v>
      </c>
      <c r="J2576" t="str">
        <f t="shared" ca="1" si="161"/>
        <v>50-59</v>
      </c>
      <c r="K2576">
        <v>98669.63</v>
      </c>
      <c r="L2576" t="str">
        <f>IF(Workforce[[#This Row],[Salary]]&lt;50000,"30k-49k",IF(Workforce[[#This Row],[Salary]]&lt;70000,"50k-69k",IF(Workforce[[#This Row],[Salary]]&lt;90000,"70k-89k","90k+")))</f>
        <v>90k+</v>
      </c>
      <c r="M2576" t="s">
        <v>17632</v>
      </c>
      <c r="N2576">
        <f t="shared" ca="1" si="162"/>
        <v>4</v>
      </c>
      <c r="O2576" t="str">
        <f t="shared" ca="1" si="163"/>
        <v>Intermediate level</v>
      </c>
    </row>
    <row r="2577" spans="1:15" x14ac:dyDescent="0.3">
      <c r="A2577" t="s">
        <v>17633</v>
      </c>
      <c r="B2577" t="s">
        <v>17634</v>
      </c>
      <c r="C2577" t="s">
        <v>844</v>
      </c>
      <c r="D2577" t="s">
        <v>17635</v>
      </c>
      <c r="E2577" t="s">
        <v>17636</v>
      </c>
      <c r="F2577" t="s">
        <v>3191</v>
      </c>
      <c r="G2577" t="s">
        <v>17637</v>
      </c>
      <c r="H2577" t="s">
        <v>17638</v>
      </c>
      <c r="I2577">
        <f t="shared" ca="1" si="160"/>
        <v>29</v>
      </c>
      <c r="J2577" t="str">
        <f t="shared" ca="1" si="161"/>
        <v>18-29</v>
      </c>
      <c r="K2577">
        <v>72956.62</v>
      </c>
      <c r="L2577" t="str">
        <f>IF(Workforce[[#This Row],[Salary]]&lt;50000,"30k-49k",IF(Workforce[[#This Row],[Salary]]&lt;70000,"50k-69k",IF(Workforce[[#This Row],[Salary]]&lt;90000,"70k-89k","90k+")))</f>
        <v>70k-89k</v>
      </c>
      <c r="M2577" t="s">
        <v>17639</v>
      </c>
      <c r="N2577">
        <f t="shared" ca="1" si="162"/>
        <v>7</v>
      </c>
      <c r="O2577" t="str">
        <f t="shared" ca="1" si="163"/>
        <v>Senior level</v>
      </c>
    </row>
    <row r="2578" spans="1:15" x14ac:dyDescent="0.3">
      <c r="A2578" t="s">
        <v>17640</v>
      </c>
      <c r="B2578" t="s">
        <v>17641</v>
      </c>
      <c r="C2578" t="s">
        <v>335</v>
      </c>
      <c r="D2578" t="s">
        <v>17642</v>
      </c>
      <c r="E2578" t="s">
        <v>17643</v>
      </c>
      <c r="F2578" t="s">
        <v>5191</v>
      </c>
      <c r="G2578" t="s">
        <v>17644</v>
      </c>
      <c r="H2578" t="s">
        <v>17645</v>
      </c>
      <c r="I2578">
        <f t="shared" ca="1" si="160"/>
        <v>29</v>
      </c>
      <c r="J2578" t="str">
        <f t="shared" ca="1" si="161"/>
        <v>18-29</v>
      </c>
      <c r="K2578">
        <v>64837.48</v>
      </c>
      <c r="L2578" t="str">
        <f>IF(Workforce[[#This Row],[Salary]]&lt;50000,"30k-49k",IF(Workforce[[#This Row],[Salary]]&lt;70000,"50k-69k",IF(Workforce[[#This Row],[Salary]]&lt;90000,"70k-89k","90k+")))</f>
        <v>50k-69k</v>
      </c>
      <c r="M2578" t="s">
        <v>17646</v>
      </c>
      <c r="N2578">
        <f t="shared" ca="1" si="162"/>
        <v>4</v>
      </c>
      <c r="O2578" t="str">
        <f t="shared" ca="1" si="163"/>
        <v>Intermediate level</v>
      </c>
    </row>
    <row r="2579" spans="1:15" x14ac:dyDescent="0.3">
      <c r="A2579" t="s">
        <v>17647</v>
      </c>
      <c r="B2579" t="s">
        <v>17648</v>
      </c>
      <c r="C2579" t="s">
        <v>97</v>
      </c>
      <c r="D2579" t="s">
        <v>17649</v>
      </c>
      <c r="E2579" t="s">
        <v>17650</v>
      </c>
      <c r="F2579" t="s">
        <v>934</v>
      </c>
      <c r="G2579" t="s">
        <v>17651</v>
      </c>
      <c r="H2579" t="s">
        <v>17652</v>
      </c>
      <c r="I2579">
        <f t="shared" ca="1" si="160"/>
        <v>24</v>
      </c>
      <c r="J2579" t="str">
        <f t="shared" ca="1" si="161"/>
        <v>18-29</v>
      </c>
      <c r="K2579">
        <v>77933.78</v>
      </c>
      <c r="L2579" t="str">
        <f>IF(Workforce[[#This Row],[Salary]]&lt;50000,"30k-49k",IF(Workforce[[#This Row],[Salary]]&lt;70000,"50k-69k",IF(Workforce[[#This Row],[Salary]]&lt;90000,"70k-89k","90k+")))</f>
        <v>70k-89k</v>
      </c>
      <c r="M2579" t="s">
        <v>4308</v>
      </c>
      <c r="N2579">
        <f t="shared" ca="1" si="162"/>
        <v>1</v>
      </c>
      <c r="O2579" t="str">
        <f t="shared" ca="1" si="163"/>
        <v>Beginner</v>
      </c>
    </row>
    <row r="2580" spans="1:15" x14ac:dyDescent="0.3">
      <c r="A2580" t="s">
        <v>17653</v>
      </c>
      <c r="B2580" t="s">
        <v>17654</v>
      </c>
      <c r="C2580" t="s">
        <v>222</v>
      </c>
      <c r="D2580" t="s">
        <v>17655</v>
      </c>
      <c r="E2580" t="s">
        <v>17656</v>
      </c>
      <c r="F2580" t="s">
        <v>6888</v>
      </c>
      <c r="G2580" t="s">
        <v>17657</v>
      </c>
      <c r="H2580" t="s">
        <v>17658</v>
      </c>
      <c r="I2580">
        <f t="shared" ca="1" si="160"/>
        <v>27</v>
      </c>
      <c r="J2580" t="str">
        <f t="shared" ca="1" si="161"/>
        <v>18-29</v>
      </c>
      <c r="K2580">
        <v>106823.28</v>
      </c>
      <c r="L2580" t="str">
        <f>IF(Workforce[[#This Row],[Salary]]&lt;50000,"30k-49k",IF(Workforce[[#This Row],[Salary]]&lt;70000,"50k-69k",IF(Workforce[[#This Row],[Salary]]&lt;90000,"70k-89k","90k+")))</f>
        <v>90k+</v>
      </c>
      <c r="M2580" t="s">
        <v>17659</v>
      </c>
      <c r="N2580">
        <f t="shared" ca="1" si="162"/>
        <v>5</v>
      </c>
      <c r="O2580" t="str">
        <f t="shared" ca="1" si="163"/>
        <v>Intermediate level</v>
      </c>
    </row>
    <row r="2581" spans="1:15" x14ac:dyDescent="0.3">
      <c r="A2581" t="s">
        <v>17660</v>
      </c>
      <c r="B2581" t="s">
        <v>17661</v>
      </c>
      <c r="C2581" t="s">
        <v>88</v>
      </c>
      <c r="D2581" t="s">
        <v>17662</v>
      </c>
      <c r="E2581" t="s">
        <v>17663</v>
      </c>
      <c r="F2581" t="s">
        <v>7249</v>
      </c>
      <c r="G2581" t="s">
        <v>17664</v>
      </c>
      <c r="H2581" t="s">
        <v>17665</v>
      </c>
      <c r="I2581">
        <f t="shared" ca="1" si="160"/>
        <v>50</v>
      </c>
      <c r="J2581" t="str">
        <f t="shared" ca="1" si="161"/>
        <v>50-59</v>
      </c>
      <c r="K2581">
        <v>92956.03</v>
      </c>
      <c r="L2581" t="str">
        <f>IF(Workforce[[#This Row],[Salary]]&lt;50000,"30k-49k",IF(Workforce[[#This Row],[Salary]]&lt;70000,"50k-69k",IF(Workforce[[#This Row],[Salary]]&lt;90000,"70k-89k","90k+")))</f>
        <v>90k+</v>
      </c>
      <c r="M2581" t="s">
        <v>4301</v>
      </c>
      <c r="N2581">
        <f t="shared" ca="1" si="162"/>
        <v>9</v>
      </c>
      <c r="O2581" t="str">
        <f t="shared" ca="1" si="163"/>
        <v>Senior level</v>
      </c>
    </row>
    <row r="2582" spans="1:15" x14ac:dyDescent="0.3">
      <c r="A2582" t="s">
        <v>17666</v>
      </c>
      <c r="B2582" t="s">
        <v>17667</v>
      </c>
      <c r="C2582" t="s">
        <v>106</v>
      </c>
      <c r="D2582" t="s">
        <v>17668</v>
      </c>
      <c r="E2582" t="s">
        <v>17669</v>
      </c>
      <c r="F2582" t="s">
        <v>1726</v>
      </c>
      <c r="G2582" t="s">
        <v>17670</v>
      </c>
      <c r="H2582" t="s">
        <v>17671</v>
      </c>
      <c r="I2582">
        <f t="shared" ca="1" si="160"/>
        <v>21</v>
      </c>
      <c r="J2582" t="str">
        <f t="shared" ca="1" si="161"/>
        <v>18-29</v>
      </c>
      <c r="K2582">
        <v>118306.36</v>
      </c>
      <c r="L2582" t="str">
        <f>IF(Workforce[[#This Row],[Salary]]&lt;50000,"30k-49k",IF(Workforce[[#This Row],[Salary]]&lt;70000,"50k-69k",IF(Workforce[[#This Row],[Salary]]&lt;90000,"70k-89k","90k+")))</f>
        <v>90k+</v>
      </c>
      <c r="M2582" t="s">
        <v>4744</v>
      </c>
      <c r="N2582">
        <f t="shared" ca="1" si="162"/>
        <v>6</v>
      </c>
      <c r="O2582" t="str">
        <f t="shared" ca="1" si="163"/>
        <v>Intermediate level</v>
      </c>
    </row>
    <row r="2583" spans="1:15" x14ac:dyDescent="0.3">
      <c r="A2583" t="s">
        <v>8746</v>
      </c>
      <c r="B2583" t="s">
        <v>17672</v>
      </c>
      <c r="C2583" t="s">
        <v>187</v>
      </c>
      <c r="D2583" t="s">
        <v>17673</v>
      </c>
      <c r="E2583" t="s">
        <v>17674</v>
      </c>
      <c r="F2583" t="s">
        <v>5501</v>
      </c>
      <c r="G2583" t="s">
        <v>17675</v>
      </c>
      <c r="H2583" t="s">
        <v>17676</v>
      </c>
      <c r="I2583">
        <f t="shared" ca="1" si="160"/>
        <v>30</v>
      </c>
      <c r="J2583" t="str">
        <f t="shared" ca="1" si="161"/>
        <v>30-39</v>
      </c>
      <c r="K2583">
        <v>77836.429999999993</v>
      </c>
      <c r="L2583" t="str">
        <f>IF(Workforce[[#This Row],[Salary]]&lt;50000,"30k-49k",IF(Workforce[[#This Row],[Salary]]&lt;70000,"50k-69k",IF(Workforce[[#This Row],[Salary]]&lt;90000,"70k-89k","90k+")))</f>
        <v>70k-89k</v>
      </c>
      <c r="M2583" t="s">
        <v>17677</v>
      </c>
      <c r="N2583">
        <f t="shared" ca="1" si="162"/>
        <v>2</v>
      </c>
      <c r="O2583" t="str">
        <f t="shared" ca="1" si="163"/>
        <v>Beginner</v>
      </c>
    </row>
    <row r="2584" spans="1:15" x14ac:dyDescent="0.3">
      <c r="A2584" t="s">
        <v>17678</v>
      </c>
      <c r="B2584" t="s">
        <v>17679</v>
      </c>
      <c r="C2584" t="s">
        <v>1223</v>
      </c>
      <c r="D2584" t="s">
        <v>17680</v>
      </c>
      <c r="E2584" t="s">
        <v>17681</v>
      </c>
      <c r="F2584" t="s">
        <v>6275</v>
      </c>
      <c r="G2584" t="s">
        <v>17682</v>
      </c>
      <c r="H2584" t="s">
        <v>17683</v>
      </c>
      <c r="I2584">
        <f t="shared" ca="1" si="160"/>
        <v>19</v>
      </c>
      <c r="J2584" t="str">
        <f t="shared" ca="1" si="161"/>
        <v>18-29</v>
      </c>
      <c r="K2584">
        <v>85778.58</v>
      </c>
      <c r="L2584" t="str">
        <f>IF(Workforce[[#This Row],[Salary]]&lt;50000,"30k-49k",IF(Workforce[[#This Row],[Salary]]&lt;70000,"50k-69k",IF(Workforce[[#This Row],[Salary]]&lt;90000,"70k-89k","90k+")))</f>
        <v>70k-89k</v>
      </c>
      <c r="M2584" t="s">
        <v>10342</v>
      </c>
      <c r="N2584">
        <f t="shared" ca="1" si="162"/>
        <v>3</v>
      </c>
      <c r="O2584" t="str">
        <f t="shared" ca="1" si="163"/>
        <v>Intermediate level</v>
      </c>
    </row>
    <row r="2585" spans="1:15" x14ac:dyDescent="0.3">
      <c r="A2585" t="s">
        <v>17684</v>
      </c>
      <c r="B2585" t="s">
        <v>17685</v>
      </c>
      <c r="C2585" t="s">
        <v>231</v>
      </c>
      <c r="D2585" t="s">
        <v>17686</v>
      </c>
      <c r="E2585" t="s">
        <v>17687</v>
      </c>
      <c r="F2585" t="s">
        <v>7218</v>
      </c>
      <c r="G2585" t="s">
        <v>17688</v>
      </c>
      <c r="H2585" t="s">
        <v>17689</v>
      </c>
      <c r="I2585">
        <f t="shared" ca="1" si="160"/>
        <v>42</v>
      </c>
      <c r="J2585" t="str">
        <f t="shared" ca="1" si="161"/>
        <v>40-49</v>
      </c>
      <c r="K2585">
        <v>105277.58</v>
      </c>
      <c r="L2585" t="str">
        <f>IF(Workforce[[#This Row],[Salary]]&lt;50000,"30k-49k",IF(Workforce[[#This Row],[Salary]]&lt;70000,"50k-69k",IF(Workforce[[#This Row],[Salary]]&lt;90000,"70k-89k","90k+")))</f>
        <v>90k+</v>
      </c>
      <c r="M2585" t="s">
        <v>16391</v>
      </c>
      <c r="N2585">
        <f t="shared" ca="1" si="162"/>
        <v>1</v>
      </c>
      <c r="O2585" t="str">
        <f t="shared" ca="1" si="163"/>
        <v>Beginner</v>
      </c>
    </row>
    <row r="2586" spans="1:15" x14ac:dyDescent="0.3">
      <c r="A2586" t="s">
        <v>17690</v>
      </c>
      <c r="B2586" t="s">
        <v>17691</v>
      </c>
      <c r="C2586" t="s">
        <v>580</v>
      </c>
      <c r="D2586" t="s">
        <v>17692</v>
      </c>
      <c r="E2586" t="s">
        <v>17693</v>
      </c>
      <c r="F2586" t="s">
        <v>9497</v>
      </c>
      <c r="G2586" t="s">
        <v>17694</v>
      </c>
      <c r="H2586" t="s">
        <v>17695</v>
      </c>
      <c r="I2586">
        <f t="shared" ca="1" si="160"/>
        <v>45</v>
      </c>
      <c r="J2586" t="str">
        <f t="shared" ca="1" si="161"/>
        <v>40-49</v>
      </c>
      <c r="K2586">
        <v>94019.65</v>
      </c>
      <c r="L2586" t="str">
        <f>IF(Workforce[[#This Row],[Salary]]&lt;50000,"30k-49k",IF(Workforce[[#This Row],[Salary]]&lt;70000,"50k-69k",IF(Workforce[[#This Row],[Salary]]&lt;90000,"70k-89k","90k+")))</f>
        <v>90k+</v>
      </c>
      <c r="M2586" t="s">
        <v>16866</v>
      </c>
      <c r="N2586">
        <f t="shared" ca="1" si="162"/>
        <v>8</v>
      </c>
      <c r="O2586" t="str">
        <f t="shared" ca="1" si="163"/>
        <v>Senior level</v>
      </c>
    </row>
    <row r="2587" spans="1:15" x14ac:dyDescent="0.3">
      <c r="A2587" t="s">
        <v>17696</v>
      </c>
      <c r="B2587" t="s">
        <v>17697</v>
      </c>
      <c r="C2587" t="s">
        <v>178</v>
      </c>
      <c r="D2587" t="s">
        <v>17698</v>
      </c>
      <c r="E2587" t="s">
        <v>17699</v>
      </c>
      <c r="F2587" t="s">
        <v>2416</v>
      </c>
      <c r="G2587" t="s">
        <v>3683</v>
      </c>
      <c r="H2587" t="s">
        <v>17700</v>
      </c>
      <c r="I2587">
        <f t="shared" ca="1" si="160"/>
        <v>57</v>
      </c>
      <c r="J2587" t="str">
        <f t="shared" ca="1" si="161"/>
        <v>50-59</v>
      </c>
      <c r="K2587">
        <v>107981.7</v>
      </c>
      <c r="L2587" t="str">
        <f>IF(Workforce[[#This Row],[Salary]]&lt;50000,"30k-49k",IF(Workforce[[#This Row],[Salary]]&lt;70000,"50k-69k",IF(Workforce[[#This Row],[Salary]]&lt;90000,"70k-89k","90k+")))</f>
        <v>90k+</v>
      </c>
      <c r="M2587" t="s">
        <v>1413</v>
      </c>
      <c r="N2587">
        <f t="shared" ca="1" si="162"/>
        <v>5</v>
      </c>
      <c r="O2587" t="str">
        <f t="shared" ca="1" si="163"/>
        <v>Intermediate level</v>
      </c>
    </row>
    <row r="2588" spans="1:15" x14ac:dyDescent="0.3">
      <c r="A2588" t="s">
        <v>17701</v>
      </c>
      <c r="B2588" t="s">
        <v>17702</v>
      </c>
      <c r="C2588" t="s">
        <v>275</v>
      </c>
      <c r="D2588" t="s">
        <v>17703</v>
      </c>
      <c r="E2588" t="s">
        <v>17704</v>
      </c>
      <c r="F2588" t="s">
        <v>1942</v>
      </c>
      <c r="G2588" t="s">
        <v>17705</v>
      </c>
      <c r="H2588" t="s">
        <v>17706</v>
      </c>
      <c r="I2588">
        <f t="shared" ca="1" si="160"/>
        <v>57</v>
      </c>
      <c r="J2588" t="str">
        <f t="shared" ca="1" si="161"/>
        <v>50-59</v>
      </c>
      <c r="K2588">
        <v>90620.53</v>
      </c>
      <c r="L2588" t="str">
        <f>IF(Workforce[[#This Row],[Salary]]&lt;50000,"30k-49k",IF(Workforce[[#This Row],[Salary]]&lt;70000,"50k-69k",IF(Workforce[[#This Row],[Salary]]&lt;90000,"70k-89k","90k+")))</f>
        <v>90k+</v>
      </c>
      <c r="M2588" t="s">
        <v>17707</v>
      </c>
      <c r="N2588">
        <f t="shared" ca="1" si="162"/>
        <v>5</v>
      </c>
      <c r="O2588" t="str">
        <f t="shared" ca="1" si="163"/>
        <v>Intermediate level</v>
      </c>
    </row>
    <row r="2589" spans="1:15" x14ac:dyDescent="0.3">
      <c r="A2589" t="s">
        <v>17708</v>
      </c>
      <c r="B2589" t="s">
        <v>17709</v>
      </c>
      <c r="C2589" t="s">
        <v>844</v>
      </c>
      <c r="D2589" t="s">
        <v>17710</v>
      </c>
      <c r="E2589" t="s">
        <v>17711</v>
      </c>
      <c r="F2589" t="s">
        <v>742</v>
      </c>
      <c r="G2589" t="s">
        <v>13863</v>
      </c>
      <c r="H2589" t="s">
        <v>17712</v>
      </c>
      <c r="I2589">
        <f t="shared" ca="1" si="160"/>
        <v>44</v>
      </c>
      <c r="J2589" t="str">
        <f t="shared" ca="1" si="161"/>
        <v>40-49</v>
      </c>
      <c r="K2589">
        <v>84980.800000000003</v>
      </c>
      <c r="L2589" t="str">
        <f>IF(Workforce[[#This Row],[Salary]]&lt;50000,"30k-49k",IF(Workforce[[#This Row],[Salary]]&lt;70000,"50k-69k",IF(Workforce[[#This Row],[Salary]]&lt;90000,"70k-89k","90k+")))</f>
        <v>70k-89k</v>
      </c>
      <c r="M2589" t="s">
        <v>17713</v>
      </c>
      <c r="N2589">
        <f t="shared" ca="1" si="162"/>
        <v>2</v>
      </c>
      <c r="O2589" t="str">
        <f t="shared" ca="1" si="163"/>
        <v>Beginner</v>
      </c>
    </row>
    <row r="2590" spans="1:15" x14ac:dyDescent="0.3">
      <c r="A2590" t="s">
        <v>17714</v>
      </c>
      <c r="B2590" t="s">
        <v>17715</v>
      </c>
      <c r="C2590" t="s">
        <v>196</v>
      </c>
      <c r="D2590" t="s">
        <v>17716</v>
      </c>
      <c r="E2590" t="s">
        <v>17717</v>
      </c>
      <c r="F2590" t="s">
        <v>1241</v>
      </c>
      <c r="G2590" t="s">
        <v>2103</v>
      </c>
      <c r="H2590" t="s">
        <v>17718</v>
      </c>
      <c r="I2590">
        <f t="shared" ca="1" si="160"/>
        <v>65</v>
      </c>
      <c r="J2590" t="str">
        <f t="shared" ca="1" si="161"/>
        <v>60+</v>
      </c>
      <c r="K2590">
        <v>81371.22</v>
      </c>
      <c r="L2590" t="str">
        <f>IF(Workforce[[#This Row],[Salary]]&lt;50000,"30k-49k",IF(Workforce[[#This Row],[Salary]]&lt;70000,"50k-69k",IF(Workforce[[#This Row],[Salary]]&lt;90000,"70k-89k","90k+")))</f>
        <v>70k-89k</v>
      </c>
      <c r="M2590" t="s">
        <v>6671</v>
      </c>
      <c r="N2590">
        <f t="shared" ca="1" si="162"/>
        <v>1</v>
      </c>
      <c r="O2590" t="str">
        <f t="shared" ca="1" si="163"/>
        <v>Beginner</v>
      </c>
    </row>
    <row r="2591" spans="1:15" x14ac:dyDescent="0.3">
      <c r="A2591" t="s">
        <v>17719</v>
      </c>
      <c r="B2591" t="s">
        <v>17720</v>
      </c>
      <c r="C2591" t="s">
        <v>748</v>
      </c>
      <c r="D2591" t="s">
        <v>17721</v>
      </c>
      <c r="E2591" t="s">
        <v>17722</v>
      </c>
      <c r="F2591" t="s">
        <v>1942</v>
      </c>
      <c r="G2591" t="s">
        <v>17723</v>
      </c>
      <c r="H2591" t="s">
        <v>17724</v>
      </c>
      <c r="I2591">
        <f t="shared" ca="1" si="160"/>
        <v>49</v>
      </c>
      <c r="J2591" t="str">
        <f t="shared" ca="1" si="161"/>
        <v>40-49</v>
      </c>
      <c r="K2591">
        <v>59519.75</v>
      </c>
      <c r="L2591" t="str">
        <f>IF(Workforce[[#This Row],[Salary]]&lt;50000,"30k-49k",IF(Workforce[[#This Row],[Salary]]&lt;70000,"50k-69k",IF(Workforce[[#This Row],[Salary]]&lt;90000,"70k-89k","90k+")))</f>
        <v>50k-69k</v>
      </c>
      <c r="M2591" t="s">
        <v>17725</v>
      </c>
      <c r="N2591">
        <f t="shared" ca="1" si="162"/>
        <v>6</v>
      </c>
      <c r="O2591" t="str">
        <f t="shared" ca="1" si="163"/>
        <v>Intermediate level</v>
      </c>
    </row>
    <row r="2592" spans="1:15" x14ac:dyDescent="0.3">
      <c r="A2592" t="s">
        <v>17726</v>
      </c>
      <c r="B2592" t="s">
        <v>17727</v>
      </c>
      <c r="C2592" t="s">
        <v>61</v>
      </c>
      <c r="D2592" t="s">
        <v>17728</v>
      </c>
      <c r="E2592" t="s">
        <v>17729</v>
      </c>
      <c r="F2592" t="s">
        <v>751</v>
      </c>
      <c r="G2592" t="s">
        <v>17730</v>
      </c>
      <c r="H2592" t="s">
        <v>17731</v>
      </c>
      <c r="I2592">
        <f t="shared" ca="1" si="160"/>
        <v>47</v>
      </c>
      <c r="J2592" t="str">
        <f t="shared" ca="1" si="161"/>
        <v>40-49</v>
      </c>
      <c r="K2592">
        <v>113625.34</v>
      </c>
      <c r="L2592" t="str">
        <f>IF(Workforce[[#This Row],[Salary]]&lt;50000,"30k-49k",IF(Workforce[[#This Row],[Salary]]&lt;70000,"50k-69k",IF(Workforce[[#This Row],[Salary]]&lt;90000,"70k-89k","90k+")))</f>
        <v>90k+</v>
      </c>
      <c r="M2592" t="s">
        <v>5575</v>
      </c>
      <c r="N2592">
        <f t="shared" ca="1" si="162"/>
        <v>10</v>
      </c>
      <c r="O2592" t="str">
        <f t="shared" ca="1" si="163"/>
        <v>Senior level</v>
      </c>
    </row>
    <row r="2593" spans="1:15" x14ac:dyDescent="0.3">
      <c r="A2593" t="s">
        <v>17732</v>
      </c>
      <c r="B2593" t="s">
        <v>17733</v>
      </c>
      <c r="C2593" t="s">
        <v>70</v>
      </c>
      <c r="D2593" t="s">
        <v>17734</v>
      </c>
      <c r="E2593" t="s">
        <v>17735</v>
      </c>
      <c r="F2593" t="s">
        <v>1107</v>
      </c>
      <c r="G2593" t="s">
        <v>1274</v>
      </c>
      <c r="H2593" t="s">
        <v>17736</v>
      </c>
      <c r="I2593">
        <f t="shared" ca="1" si="160"/>
        <v>47</v>
      </c>
      <c r="J2593" t="str">
        <f t="shared" ca="1" si="161"/>
        <v>40-49</v>
      </c>
      <c r="K2593">
        <v>104516.94</v>
      </c>
      <c r="L2593" t="str">
        <f>IF(Workforce[[#This Row],[Salary]]&lt;50000,"30k-49k",IF(Workforce[[#This Row],[Salary]]&lt;70000,"50k-69k",IF(Workforce[[#This Row],[Salary]]&lt;90000,"70k-89k","90k+")))</f>
        <v>90k+</v>
      </c>
      <c r="M2593" t="s">
        <v>17737</v>
      </c>
      <c r="N2593">
        <f t="shared" ca="1" si="162"/>
        <v>9</v>
      </c>
      <c r="O2593" t="str">
        <f t="shared" ca="1" si="163"/>
        <v>Senior level</v>
      </c>
    </row>
    <row r="2594" spans="1:15" x14ac:dyDescent="0.3">
      <c r="A2594" t="s">
        <v>17738</v>
      </c>
      <c r="B2594" t="s">
        <v>17739</v>
      </c>
      <c r="C2594" t="s">
        <v>266</v>
      </c>
      <c r="D2594" t="s">
        <v>17740</v>
      </c>
      <c r="E2594" t="s">
        <v>17741</v>
      </c>
      <c r="F2594" t="s">
        <v>3900</v>
      </c>
      <c r="G2594" t="s">
        <v>17742</v>
      </c>
      <c r="H2594" t="s">
        <v>13944</v>
      </c>
      <c r="I2594">
        <f t="shared" ca="1" si="160"/>
        <v>35</v>
      </c>
      <c r="J2594" t="str">
        <f t="shared" ca="1" si="161"/>
        <v>30-39</v>
      </c>
      <c r="K2594">
        <v>39580.14</v>
      </c>
      <c r="L2594" t="str">
        <f>IF(Workforce[[#This Row],[Salary]]&lt;50000,"30k-49k",IF(Workforce[[#This Row],[Salary]]&lt;70000,"50k-69k",IF(Workforce[[#This Row],[Salary]]&lt;90000,"70k-89k","90k+")))</f>
        <v>30k-49k</v>
      </c>
      <c r="M2594" t="s">
        <v>17743</v>
      </c>
      <c r="N2594">
        <f t="shared" ca="1" si="162"/>
        <v>6</v>
      </c>
      <c r="O2594" t="str">
        <f t="shared" ca="1" si="163"/>
        <v>Intermediate level</v>
      </c>
    </row>
    <row r="2595" spans="1:15" x14ac:dyDescent="0.3">
      <c r="A2595" t="s">
        <v>17744</v>
      </c>
      <c r="B2595" t="s">
        <v>17745</v>
      </c>
      <c r="C2595" t="s">
        <v>351</v>
      </c>
      <c r="D2595" t="s">
        <v>17746</v>
      </c>
      <c r="E2595" t="s">
        <v>17747</v>
      </c>
      <c r="F2595" t="s">
        <v>10232</v>
      </c>
      <c r="G2595" t="s">
        <v>17748</v>
      </c>
      <c r="H2595" t="s">
        <v>17749</v>
      </c>
      <c r="I2595">
        <f t="shared" ca="1" si="160"/>
        <v>33</v>
      </c>
      <c r="J2595" t="str">
        <f t="shared" ca="1" si="161"/>
        <v>30-39</v>
      </c>
      <c r="K2595">
        <v>99533.2</v>
      </c>
      <c r="L2595" t="str">
        <f>IF(Workforce[[#This Row],[Salary]]&lt;50000,"30k-49k",IF(Workforce[[#This Row],[Salary]]&lt;70000,"50k-69k",IF(Workforce[[#This Row],[Salary]]&lt;90000,"70k-89k","90k+")))</f>
        <v>90k+</v>
      </c>
      <c r="M2595" t="s">
        <v>937</v>
      </c>
      <c r="N2595">
        <f t="shared" ca="1" si="162"/>
        <v>8</v>
      </c>
      <c r="O2595" t="str">
        <f t="shared" ca="1" si="163"/>
        <v>Senior level</v>
      </c>
    </row>
    <row r="2596" spans="1:15" x14ac:dyDescent="0.3">
      <c r="A2596" t="s">
        <v>17750</v>
      </c>
      <c r="B2596" t="s">
        <v>17751</v>
      </c>
      <c r="C2596" t="s">
        <v>115</v>
      </c>
      <c r="D2596" t="s">
        <v>17752</v>
      </c>
      <c r="E2596" t="s">
        <v>17753</v>
      </c>
      <c r="F2596" t="s">
        <v>7920</v>
      </c>
      <c r="G2596" t="s">
        <v>17754</v>
      </c>
      <c r="H2596" t="s">
        <v>17755</v>
      </c>
      <c r="I2596">
        <f t="shared" ca="1" si="160"/>
        <v>52</v>
      </c>
      <c r="J2596" t="str">
        <f t="shared" ca="1" si="161"/>
        <v>50-59</v>
      </c>
      <c r="K2596">
        <v>88410.55</v>
      </c>
      <c r="L2596" t="str">
        <f>IF(Workforce[[#This Row],[Salary]]&lt;50000,"30k-49k",IF(Workforce[[#This Row],[Salary]]&lt;70000,"50k-69k",IF(Workforce[[#This Row],[Salary]]&lt;90000,"70k-89k","90k+")))</f>
        <v>70k-89k</v>
      </c>
      <c r="M2596" t="s">
        <v>17756</v>
      </c>
      <c r="N2596">
        <f t="shared" ca="1" si="162"/>
        <v>3</v>
      </c>
      <c r="O2596" t="str">
        <f t="shared" ca="1" si="163"/>
        <v>Intermediate level</v>
      </c>
    </row>
    <row r="2597" spans="1:15" x14ac:dyDescent="0.3">
      <c r="A2597" t="s">
        <v>17757</v>
      </c>
      <c r="B2597" t="s">
        <v>17758</v>
      </c>
      <c r="C2597" t="s">
        <v>995</v>
      </c>
      <c r="D2597" t="s">
        <v>17759</v>
      </c>
      <c r="E2597" t="s">
        <v>17760</v>
      </c>
      <c r="F2597" t="s">
        <v>550</v>
      </c>
      <c r="G2597" t="s">
        <v>17761</v>
      </c>
      <c r="H2597" t="s">
        <v>17762</v>
      </c>
      <c r="I2597">
        <f t="shared" ca="1" si="160"/>
        <v>64</v>
      </c>
      <c r="J2597" t="str">
        <f t="shared" ca="1" si="161"/>
        <v>60+</v>
      </c>
      <c r="K2597">
        <v>66821.03</v>
      </c>
      <c r="L2597" t="str">
        <f>IF(Workforce[[#This Row],[Salary]]&lt;50000,"30k-49k",IF(Workforce[[#This Row],[Salary]]&lt;70000,"50k-69k",IF(Workforce[[#This Row],[Salary]]&lt;90000,"70k-89k","90k+")))</f>
        <v>50k-69k</v>
      </c>
      <c r="M2597" t="s">
        <v>17763</v>
      </c>
      <c r="N2597">
        <f t="shared" ca="1" si="162"/>
        <v>7</v>
      </c>
      <c r="O2597" t="str">
        <f t="shared" ca="1" si="163"/>
        <v>Senior level</v>
      </c>
    </row>
    <row r="2598" spans="1:15" x14ac:dyDescent="0.3">
      <c r="A2598" t="s">
        <v>17764</v>
      </c>
      <c r="B2598" t="s">
        <v>17765</v>
      </c>
      <c r="C2598" t="s">
        <v>178</v>
      </c>
      <c r="D2598" t="s">
        <v>17766</v>
      </c>
      <c r="E2598" t="s">
        <v>17767</v>
      </c>
      <c r="F2598" t="s">
        <v>4787</v>
      </c>
      <c r="G2598" t="s">
        <v>17768</v>
      </c>
      <c r="H2598" t="s">
        <v>17769</v>
      </c>
      <c r="I2598">
        <f t="shared" ca="1" si="160"/>
        <v>46</v>
      </c>
      <c r="J2598" t="str">
        <f t="shared" ca="1" si="161"/>
        <v>40-49</v>
      </c>
      <c r="K2598">
        <v>119631.77</v>
      </c>
      <c r="L2598" t="str">
        <f>IF(Workforce[[#This Row],[Salary]]&lt;50000,"30k-49k",IF(Workforce[[#This Row],[Salary]]&lt;70000,"50k-69k",IF(Workforce[[#This Row],[Salary]]&lt;90000,"70k-89k","90k+")))</f>
        <v>90k+</v>
      </c>
      <c r="M2598" t="s">
        <v>11770</v>
      </c>
      <c r="N2598">
        <f t="shared" ca="1" si="162"/>
        <v>9</v>
      </c>
      <c r="O2598" t="str">
        <f t="shared" ca="1" si="163"/>
        <v>Senior level</v>
      </c>
    </row>
    <row r="2599" spans="1:15" x14ac:dyDescent="0.3">
      <c r="A2599" t="s">
        <v>17770</v>
      </c>
      <c r="B2599" t="s">
        <v>17771</v>
      </c>
      <c r="C2599" t="s">
        <v>457</v>
      </c>
      <c r="D2599" t="s">
        <v>17772</v>
      </c>
      <c r="E2599" t="s">
        <v>17773</v>
      </c>
      <c r="F2599" t="s">
        <v>1811</v>
      </c>
      <c r="G2599" t="s">
        <v>17774</v>
      </c>
      <c r="H2599" t="s">
        <v>17775</v>
      </c>
      <c r="I2599">
        <f t="shared" ca="1" si="160"/>
        <v>33</v>
      </c>
      <c r="J2599" t="str">
        <f t="shared" ca="1" si="161"/>
        <v>30-39</v>
      </c>
      <c r="K2599">
        <v>76680.11</v>
      </c>
      <c r="L2599" t="str">
        <f>IF(Workforce[[#This Row],[Salary]]&lt;50000,"30k-49k",IF(Workforce[[#This Row],[Salary]]&lt;70000,"50k-69k",IF(Workforce[[#This Row],[Salary]]&lt;90000,"70k-89k","90k+")))</f>
        <v>70k-89k</v>
      </c>
      <c r="M2599" t="s">
        <v>17776</v>
      </c>
      <c r="N2599">
        <f t="shared" ca="1" si="162"/>
        <v>7</v>
      </c>
      <c r="O2599" t="str">
        <f t="shared" ca="1" si="163"/>
        <v>Senior level</v>
      </c>
    </row>
    <row r="2600" spans="1:15" x14ac:dyDescent="0.3">
      <c r="A2600" t="s">
        <v>17777</v>
      </c>
      <c r="B2600" t="s">
        <v>17778</v>
      </c>
      <c r="C2600" t="s">
        <v>97</v>
      </c>
      <c r="D2600" t="s">
        <v>17779</v>
      </c>
      <c r="E2600" t="s">
        <v>17780</v>
      </c>
      <c r="F2600" t="s">
        <v>207</v>
      </c>
      <c r="G2600" t="s">
        <v>17781</v>
      </c>
      <c r="H2600" t="s">
        <v>17782</v>
      </c>
      <c r="I2600">
        <f t="shared" ca="1" si="160"/>
        <v>64</v>
      </c>
      <c r="J2600" t="str">
        <f t="shared" ca="1" si="161"/>
        <v>60+</v>
      </c>
      <c r="K2600">
        <v>49552.18</v>
      </c>
      <c r="L2600" t="str">
        <f>IF(Workforce[[#This Row],[Salary]]&lt;50000,"30k-49k",IF(Workforce[[#This Row],[Salary]]&lt;70000,"50k-69k",IF(Workforce[[#This Row],[Salary]]&lt;90000,"70k-89k","90k+")))</f>
        <v>30k-49k</v>
      </c>
      <c r="M2600" t="s">
        <v>17783</v>
      </c>
      <c r="N2600">
        <f t="shared" ca="1" si="162"/>
        <v>8</v>
      </c>
      <c r="O2600" t="str">
        <f t="shared" ca="1" si="163"/>
        <v>Senior level</v>
      </c>
    </row>
    <row r="2601" spans="1:15" x14ac:dyDescent="0.3">
      <c r="A2601" t="s">
        <v>17784</v>
      </c>
      <c r="B2601" t="s">
        <v>17785</v>
      </c>
      <c r="C2601" t="s">
        <v>774</v>
      </c>
      <c r="D2601" t="s">
        <v>17786</v>
      </c>
      <c r="E2601" t="s">
        <v>17787</v>
      </c>
      <c r="F2601" t="s">
        <v>2497</v>
      </c>
      <c r="G2601" t="s">
        <v>17788</v>
      </c>
      <c r="H2601" t="s">
        <v>17789</v>
      </c>
      <c r="I2601">
        <f t="shared" ca="1" si="160"/>
        <v>60</v>
      </c>
      <c r="J2601" t="str">
        <f t="shared" ca="1" si="161"/>
        <v>60+</v>
      </c>
      <c r="K2601">
        <v>72000.320000000007</v>
      </c>
      <c r="L2601" t="str">
        <f>IF(Workforce[[#This Row],[Salary]]&lt;50000,"30k-49k",IF(Workforce[[#This Row],[Salary]]&lt;70000,"50k-69k",IF(Workforce[[#This Row],[Salary]]&lt;90000,"70k-89k","90k+")))</f>
        <v>70k-89k</v>
      </c>
      <c r="M2601" t="s">
        <v>6236</v>
      </c>
      <c r="N2601">
        <f t="shared" ca="1" si="162"/>
        <v>7</v>
      </c>
      <c r="O2601" t="str">
        <f t="shared" ca="1" si="163"/>
        <v>Senior level</v>
      </c>
    </row>
    <row r="2602" spans="1:15" x14ac:dyDescent="0.3">
      <c r="A2602" t="s">
        <v>17790</v>
      </c>
      <c r="B2602" t="s">
        <v>17791</v>
      </c>
      <c r="C2602" t="s">
        <v>653</v>
      </c>
      <c r="D2602" t="s">
        <v>17792</v>
      </c>
      <c r="E2602" t="s">
        <v>17793</v>
      </c>
      <c r="F2602" t="s">
        <v>13590</v>
      </c>
      <c r="G2602" t="s">
        <v>17794</v>
      </c>
      <c r="H2602" t="s">
        <v>17795</v>
      </c>
      <c r="I2602">
        <f t="shared" ca="1" si="160"/>
        <v>65</v>
      </c>
      <c r="J2602" t="str">
        <f t="shared" ca="1" si="161"/>
        <v>60+</v>
      </c>
      <c r="K2602">
        <v>44087.96</v>
      </c>
      <c r="L2602" t="str">
        <f>IF(Workforce[[#This Row],[Salary]]&lt;50000,"30k-49k",IF(Workforce[[#This Row],[Salary]]&lt;70000,"50k-69k",IF(Workforce[[#This Row],[Salary]]&lt;90000,"70k-89k","90k+")))</f>
        <v>30k-49k</v>
      </c>
      <c r="M2602" t="s">
        <v>8044</v>
      </c>
      <c r="N2602">
        <f t="shared" ca="1" si="162"/>
        <v>2</v>
      </c>
      <c r="O2602" t="str">
        <f t="shared" ca="1" si="163"/>
        <v>Beginner</v>
      </c>
    </row>
    <row r="2603" spans="1:15" x14ac:dyDescent="0.3">
      <c r="A2603" t="s">
        <v>17796</v>
      </c>
      <c r="B2603" t="s">
        <v>17797</v>
      </c>
      <c r="C2603" t="s">
        <v>79</v>
      </c>
      <c r="D2603" t="s">
        <v>17798</v>
      </c>
      <c r="E2603" t="s">
        <v>17799</v>
      </c>
      <c r="F2603" t="s">
        <v>2358</v>
      </c>
      <c r="G2603" t="s">
        <v>17800</v>
      </c>
      <c r="H2603" t="s">
        <v>17801</v>
      </c>
      <c r="I2603">
        <f t="shared" ca="1" si="160"/>
        <v>49</v>
      </c>
      <c r="J2603" t="str">
        <f t="shared" ca="1" si="161"/>
        <v>40-49</v>
      </c>
      <c r="K2603">
        <v>115035.57</v>
      </c>
      <c r="L2603" t="str">
        <f>IF(Workforce[[#This Row],[Salary]]&lt;50000,"30k-49k",IF(Workforce[[#This Row],[Salary]]&lt;70000,"50k-69k",IF(Workforce[[#This Row],[Salary]]&lt;90000,"70k-89k","90k+")))</f>
        <v>90k+</v>
      </c>
      <c r="M2603" t="s">
        <v>7950</v>
      </c>
      <c r="N2603">
        <f t="shared" ca="1" si="162"/>
        <v>5</v>
      </c>
      <c r="O2603" t="str">
        <f t="shared" ca="1" si="163"/>
        <v>Intermediate level</v>
      </c>
    </row>
    <row r="2604" spans="1:15" x14ac:dyDescent="0.3">
      <c r="A2604" t="s">
        <v>17802</v>
      </c>
      <c r="B2604" t="s">
        <v>17803</v>
      </c>
      <c r="C2604" t="s">
        <v>1159</v>
      </c>
      <c r="D2604" t="s">
        <v>17804</v>
      </c>
      <c r="E2604" t="s">
        <v>17805</v>
      </c>
      <c r="F2604" t="s">
        <v>4895</v>
      </c>
      <c r="G2604" t="s">
        <v>17806</v>
      </c>
      <c r="H2604" t="s">
        <v>17807</v>
      </c>
      <c r="I2604">
        <f t="shared" ca="1" si="160"/>
        <v>32</v>
      </c>
      <c r="J2604" t="str">
        <f t="shared" ca="1" si="161"/>
        <v>30-39</v>
      </c>
      <c r="K2604">
        <v>91499.27</v>
      </c>
      <c r="L2604" t="str">
        <f>IF(Workforce[[#This Row],[Salary]]&lt;50000,"30k-49k",IF(Workforce[[#This Row],[Salary]]&lt;70000,"50k-69k",IF(Workforce[[#This Row],[Salary]]&lt;90000,"70k-89k","90k+")))</f>
        <v>90k+</v>
      </c>
      <c r="M2604" t="s">
        <v>8490</v>
      </c>
      <c r="N2604">
        <f t="shared" ca="1" si="162"/>
        <v>8</v>
      </c>
      <c r="O2604" t="str">
        <f t="shared" ca="1" si="163"/>
        <v>Senior level</v>
      </c>
    </row>
    <row r="2605" spans="1:15" x14ac:dyDescent="0.3">
      <c r="A2605" t="s">
        <v>17808</v>
      </c>
      <c r="B2605" t="s">
        <v>17809</v>
      </c>
      <c r="C2605" t="s">
        <v>26</v>
      </c>
      <c r="D2605" t="s">
        <v>17810</v>
      </c>
      <c r="E2605" t="s">
        <v>17811</v>
      </c>
      <c r="F2605" t="s">
        <v>4262</v>
      </c>
      <c r="G2605" t="s">
        <v>17812</v>
      </c>
      <c r="H2605" t="s">
        <v>17813</v>
      </c>
      <c r="I2605">
        <f t="shared" ca="1" si="160"/>
        <v>52</v>
      </c>
      <c r="J2605" t="str">
        <f t="shared" ca="1" si="161"/>
        <v>50-59</v>
      </c>
      <c r="K2605">
        <v>42320.94</v>
      </c>
      <c r="L2605" t="str">
        <f>IF(Workforce[[#This Row],[Salary]]&lt;50000,"30k-49k",IF(Workforce[[#This Row],[Salary]]&lt;70000,"50k-69k",IF(Workforce[[#This Row],[Salary]]&lt;90000,"70k-89k","90k+")))</f>
        <v>30k-49k</v>
      </c>
      <c r="M2605" t="s">
        <v>14100</v>
      </c>
      <c r="N2605">
        <f t="shared" ca="1" si="162"/>
        <v>2</v>
      </c>
      <c r="O2605" t="str">
        <f t="shared" ca="1" si="163"/>
        <v>Beginner</v>
      </c>
    </row>
    <row r="2606" spans="1:15" x14ac:dyDescent="0.3">
      <c r="A2606" t="s">
        <v>17814</v>
      </c>
      <c r="B2606" t="s">
        <v>17815</v>
      </c>
      <c r="C2606" t="s">
        <v>133</v>
      </c>
      <c r="D2606" t="s">
        <v>17816</v>
      </c>
      <c r="E2606" t="s">
        <v>17817</v>
      </c>
      <c r="F2606" t="s">
        <v>278</v>
      </c>
      <c r="G2606" t="s">
        <v>17818</v>
      </c>
      <c r="H2606" t="s">
        <v>17819</v>
      </c>
      <c r="I2606">
        <f t="shared" ca="1" si="160"/>
        <v>51</v>
      </c>
      <c r="J2606" t="str">
        <f t="shared" ca="1" si="161"/>
        <v>50-59</v>
      </c>
      <c r="K2606">
        <v>73955.210000000006</v>
      </c>
      <c r="L2606" t="str">
        <f>IF(Workforce[[#This Row],[Salary]]&lt;50000,"30k-49k",IF(Workforce[[#This Row],[Salary]]&lt;70000,"50k-69k",IF(Workforce[[#This Row],[Salary]]&lt;90000,"70k-89k","90k+")))</f>
        <v>70k-89k</v>
      </c>
      <c r="M2606" t="s">
        <v>4158</v>
      </c>
      <c r="N2606">
        <f t="shared" ca="1" si="162"/>
        <v>4</v>
      </c>
      <c r="O2606" t="str">
        <f t="shared" ca="1" si="163"/>
        <v>Intermediate level</v>
      </c>
    </row>
    <row r="2607" spans="1:15" x14ac:dyDescent="0.3">
      <c r="A2607" t="s">
        <v>17820</v>
      </c>
      <c r="B2607" t="s">
        <v>17821</v>
      </c>
      <c r="C2607" t="s">
        <v>133</v>
      </c>
      <c r="D2607" t="s">
        <v>17822</v>
      </c>
      <c r="E2607" t="s">
        <v>17823</v>
      </c>
      <c r="F2607" t="s">
        <v>4488</v>
      </c>
      <c r="G2607" t="s">
        <v>17824</v>
      </c>
      <c r="H2607" t="s">
        <v>174</v>
      </c>
      <c r="I2607">
        <f t="shared" ca="1" si="160"/>
        <v>24</v>
      </c>
      <c r="J2607" t="str">
        <f t="shared" ca="1" si="161"/>
        <v>18-29</v>
      </c>
      <c r="K2607">
        <v>107469.78</v>
      </c>
      <c r="L2607" t="str">
        <f>IF(Workforce[[#This Row],[Salary]]&lt;50000,"30k-49k",IF(Workforce[[#This Row],[Salary]]&lt;70000,"50k-69k",IF(Workforce[[#This Row],[Salary]]&lt;90000,"70k-89k","90k+")))</f>
        <v>90k+</v>
      </c>
      <c r="M2607" t="s">
        <v>17825</v>
      </c>
      <c r="N2607">
        <f t="shared" ca="1" si="162"/>
        <v>7</v>
      </c>
      <c r="O2607" t="str">
        <f t="shared" ca="1" si="163"/>
        <v>Senior level</v>
      </c>
    </row>
    <row r="2608" spans="1:15" x14ac:dyDescent="0.3">
      <c r="A2608" t="s">
        <v>17826</v>
      </c>
      <c r="B2608" t="s">
        <v>17827</v>
      </c>
      <c r="C2608" t="s">
        <v>539</v>
      </c>
      <c r="D2608" t="s">
        <v>17828</v>
      </c>
      <c r="E2608" t="s">
        <v>17829</v>
      </c>
      <c r="F2608" t="s">
        <v>1061</v>
      </c>
      <c r="G2608" t="s">
        <v>17830</v>
      </c>
      <c r="H2608" t="s">
        <v>17831</v>
      </c>
      <c r="I2608">
        <f t="shared" ca="1" si="160"/>
        <v>60</v>
      </c>
      <c r="J2608" t="str">
        <f t="shared" ca="1" si="161"/>
        <v>60+</v>
      </c>
      <c r="K2608">
        <v>95310.89</v>
      </c>
      <c r="L2608" t="str">
        <f>IF(Workforce[[#This Row],[Salary]]&lt;50000,"30k-49k",IF(Workforce[[#This Row],[Salary]]&lt;70000,"50k-69k",IF(Workforce[[#This Row],[Salary]]&lt;90000,"70k-89k","90k+")))</f>
        <v>90k+</v>
      </c>
      <c r="M2608" t="s">
        <v>17832</v>
      </c>
      <c r="N2608">
        <f t="shared" ca="1" si="162"/>
        <v>8</v>
      </c>
      <c r="O2608" t="str">
        <f t="shared" ca="1" si="163"/>
        <v>Senior level</v>
      </c>
    </row>
    <row r="2609" spans="1:15" x14ac:dyDescent="0.3">
      <c r="A2609" t="s">
        <v>17833</v>
      </c>
      <c r="B2609" t="s">
        <v>17834</v>
      </c>
      <c r="C2609" t="s">
        <v>457</v>
      </c>
      <c r="D2609" t="s">
        <v>17835</v>
      </c>
      <c r="E2609" t="s">
        <v>17836</v>
      </c>
      <c r="F2609" t="s">
        <v>3293</v>
      </c>
      <c r="G2609" t="s">
        <v>17837</v>
      </c>
      <c r="H2609" t="s">
        <v>17838</v>
      </c>
      <c r="I2609">
        <f t="shared" ca="1" si="160"/>
        <v>37</v>
      </c>
      <c r="J2609" t="str">
        <f t="shared" ca="1" si="161"/>
        <v>30-39</v>
      </c>
      <c r="K2609">
        <v>118390.74</v>
      </c>
      <c r="L2609" t="str">
        <f>IF(Workforce[[#This Row],[Salary]]&lt;50000,"30k-49k",IF(Workforce[[#This Row],[Salary]]&lt;70000,"50k-69k",IF(Workforce[[#This Row],[Salary]]&lt;90000,"70k-89k","90k+")))</f>
        <v>90k+</v>
      </c>
      <c r="M2609" t="s">
        <v>17839</v>
      </c>
      <c r="N2609">
        <f t="shared" ca="1" si="162"/>
        <v>1</v>
      </c>
      <c r="O2609" t="str">
        <f t="shared" ca="1" si="163"/>
        <v>Beginner</v>
      </c>
    </row>
    <row r="2610" spans="1:15" x14ac:dyDescent="0.3">
      <c r="A2610" t="s">
        <v>17840</v>
      </c>
      <c r="B2610" t="s">
        <v>17841</v>
      </c>
      <c r="C2610" t="s">
        <v>748</v>
      </c>
      <c r="D2610" t="s">
        <v>17842</v>
      </c>
      <c r="E2610" t="s">
        <v>17843</v>
      </c>
      <c r="F2610" t="s">
        <v>7071</v>
      </c>
      <c r="G2610" t="s">
        <v>17844</v>
      </c>
      <c r="H2610" t="s">
        <v>17845</v>
      </c>
      <c r="I2610">
        <f t="shared" ca="1" si="160"/>
        <v>32</v>
      </c>
      <c r="J2610" t="str">
        <f t="shared" ca="1" si="161"/>
        <v>30-39</v>
      </c>
      <c r="K2610">
        <v>96324.65</v>
      </c>
      <c r="L2610" t="str">
        <f>IF(Workforce[[#This Row],[Salary]]&lt;50000,"30k-49k",IF(Workforce[[#This Row],[Salary]]&lt;70000,"50k-69k",IF(Workforce[[#This Row],[Salary]]&lt;90000,"70k-89k","90k+")))</f>
        <v>90k+</v>
      </c>
      <c r="M2610" t="s">
        <v>1010</v>
      </c>
      <c r="N2610">
        <f t="shared" ca="1" si="162"/>
        <v>8</v>
      </c>
      <c r="O2610" t="str">
        <f t="shared" ca="1" si="163"/>
        <v>Senior level</v>
      </c>
    </row>
    <row r="2611" spans="1:15" x14ac:dyDescent="0.3">
      <c r="A2611" t="s">
        <v>17846</v>
      </c>
      <c r="B2611" t="s">
        <v>17847</v>
      </c>
      <c r="C2611" t="s">
        <v>124</v>
      </c>
      <c r="D2611" t="s">
        <v>17848</v>
      </c>
      <c r="E2611" t="s">
        <v>17849</v>
      </c>
      <c r="F2611" t="s">
        <v>3079</v>
      </c>
      <c r="G2611" t="s">
        <v>17850</v>
      </c>
      <c r="H2611" t="s">
        <v>17851</v>
      </c>
      <c r="I2611">
        <f t="shared" ca="1" si="160"/>
        <v>38</v>
      </c>
      <c r="J2611" t="str">
        <f t="shared" ca="1" si="161"/>
        <v>30-39</v>
      </c>
      <c r="K2611">
        <v>46336.2</v>
      </c>
      <c r="L2611" t="str">
        <f>IF(Workforce[[#This Row],[Salary]]&lt;50000,"30k-49k",IF(Workforce[[#This Row],[Salary]]&lt;70000,"50k-69k",IF(Workforce[[#This Row],[Salary]]&lt;90000,"70k-89k","90k+")))</f>
        <v>30k-49k</v>
      </c>
      <c r="M2611" t="s">
        <v>14959</v>
      </c>
      <c r="N2611">
        <f t="shared" ca="1" si="162"/>
        <v>7</v>
      </c>
      <c r="O2611" t="str">
        <f t="shared" ca="1" si="163"/>
        <v>Senior level</v>
      </c>
    </row>
    <row r="2612" spans="1:15" x14ac:dyDescent="0.3">
      <c r="A2612" t="s">
        <v>8887</v>
      </c>
      <c r="B2612" t="s">
        <v>17852</v>
      </c>
      <c r="C2612" t="s">
        <v>240</v>
      </c>
      <c r="D2612" t="s">
        <v>17853</v>
      </c>
      <c r="E2612" t="s">
        <v>17854</v>
      </c>
      <c r="F2612" t="s">
        <v>3191</v>
      </c>
      <c r="G2612" t="s">
        <v>17855</v>
      </c>
      <c r="H2612" t="s">
        <v>17856</v>
      </c>
      <c r="I2612">
        <f t="shared" ca="1" si="160"/>
        <v>42</v>
      </c>
      <c r="J2612" t="str">
        <f t="shared" ca="1" si="161"/>
        <v>40-49</v>
      </c>
      <c r="K2612">
        <v>50785.86</v>
      </c>
      <c r="L2612" t="str">
        <f>IF(Workforce[[#This Row],[Salary]]&lt;50000,"30k-49k",IF(Workforce[[#This Row],[Salary]]&lt;70000,"50k-69k",IF(Workforce[[#This Row],[Salary]]&lt;90000,"70k-89k","90k+")))</f>
        <v>50k-69k</v>
      </c>
      <c r="M2612" t="s">
        <v>17857</v>
      </c>
      <c r="N2612">
        <f t="shared" ca="1" si="162"/>
        <v>9</v>
      </c>
      <c r="O2612" t="str">
        <f t="shared" ca="1" si="163"/>
        <v>Senior level</v>
      </c>
    </row>
    <row r="2613" spans="1:15" x14ac:dyDescent="0.3">
      <c r="A2613" t="s">
        <v>17858</v>
      </c>
      <c r="B2613" t="s">
        <v>17859</v>
      </c>
      <c r="C2613" t="s">
        <v>1043</v>
      </c>
      <c r="D2613" t="s">
        <v>17860</v>
      </c>
      <c r="E2613" t="s">
        <v>17861</v>
      </c>
      <c r="F2613" t="s">
        <v>16257</v>
      </c>
      <c r="G2613" t="s">
        <v>17862</v>
      </c>
      <c r="H2613" t="s">
        <v>17863</v>
      </c>
      <c r="I2613">
        <f t="shared" ca="1" si="160"/>
        <v>23</v>
      </c>
      <c r="J2613" t="str">
        <f t="shared" ca="1" si="161"/>
        <v>18-29</v>
      </c>
      <c r="K2613">
        <v>36982.01</v>
      </c>
      <c r="L2613" t="str">
        <f>IF(Workforce[[#This Row],[Salary]]&lt;50000,"30k-49k",IF(Workforce[[#This Row],[Salary]]&lt;70000,"50k-69k",IF(Workforce[[#This Row],[Salary]]&lt;90000,"70k-89k","90k+")))</f>
        <v>30k-49k</v>
      </c>
      <c r="M2613" t="s">
        <v>2181</v>
      </c>
      <c r="N2613">
        <f t="shared" ca="1" si="162"/>
        <v>5</v>
      </c>
      <c r="O2613" t="str">
        <f t="shared" ca="1" si="163"/>
        <v>Intermediate level</v>
      </c>
    </row>
    <row r="2614" spans="1:15" x14ac:dyDescent="0.3">
      <c r="A2614" t="s">
        <v>17864</v>
      </c>
      <c r="B2614" t="s">
        <v>17865</v>
      </c>
      <c r="C2614" t="s">
        <v>275</v>
      </c>
      <c r="D2614" t="s">
        <v>17866</v>
      </c>
      <c r="E2614" t="s">
        <v>17867</v>
      </c>
      <c r="F2614" t="s">
        <v>485</v>
      </c>
      <c r="G2614" t="s">
        <v>17868</v>
      </c>
      <c r="H2614" t="s">
        <v>17869</v>
      </c>
      <c r="I2614">
        <f t="shared" ca="1" si="160"/>
        <v>29</v>
      </c>
      <c r="J2614" t="str">
        <f t="shared" ca="1" si="161"/>
        <v>18-29</v>
      </c>
      <c r="K2614">
        <v>53554.03</v>
      </c>
      <c r="L2614" t="str">
        <f>IF(Workforce[[#This Row],[Salary]]&lt;50000,"30k-49k",IF(Workforce[[#This Row],[Salary]]&lt;70000,"50k-69k",IF(Workforce[[#This Row],[Salary]]&lt;90000,"70k-89k","90k+")))</f>
        <v>50k-69k</v>
      </c>
      <c r="M2614" t="s">
        <v>6112</v>
      </c>
      <c r="N2614">
        <f t="shared" ca="1" si="162"/>
        <v>1</v>
      </c>
      <c r="O2614" t="str">
        <f t="shared" ca="1" si="163"/>
        <v>Beginner</v>
      </c>
    </row>
    <row r="2615" spans="1:15" x14ac:dyDescent="0.3">
      <c r="A2615" t="s">
        <v>17870</v>
      </c>
      <c r="B2615" t="s">
        <v>17871</v>
      </c>
      <c r="C2615" t="s">
        <v>79</v>
      </c>
      <c r="D2615" t="s">
        <v>17872</v>
      </c>
      <c r="E2615" t="s">
        <v>17873</v>
      </c>
      <c r="F2615" t="s">
        <v>5516</v>
      </c>
      <c r="G2615" t="s">
        <v>208</v>
      </c>
      <c r="H2615" t="s">
        <v>17874</v>
      </c>
      <c r="I2615">
        <f t="shared" ca="1" si="160"/>
        <v>35</v>
      </c>
      <c r="J2615" t="str">
        <f t="shared" ca="1" si="161"/>
        <v>30-39</v>
      </c>
      <c r="K2615">
        <v>91001.47</v>
      </c>
      <c r="L2615" t="str">
        <f>IF(Workforce[[#This Row],[Salary]]&lt;50000,"30k-49k",IF(Workforce[[#This Row],[Salary]]&lt;70000,"50k-69k",IF(Workforce[[#This Row],[Salary]]&lt;90000,"70k-89k","90k+")))</f>
        <v>90k+</v>
      </c>
      <c r="M2615" t="s">
        <v>17875</v>
      </c>
      <c r="N2615">
        <f t="shared" ca="1" si="162"/>
        <v>1</v>
      </c>
      <c r="O2615" t="str">
        <f t="shared" ca="1" si="163"/>
        <v>Beginner</v>
      </c>
    </row>
    <row r="2616" spans="1:15" x14ac:dyDescent="0.3">
      <c r="A2616" t="s">
        <v>17876</v>
      </c>
      <c r="B2616" t="s">
        <v>17877</v>
      </c>
      <c r="C2616" t="s">
        <v>151</v>
      </c>
      <c r="D2616" t="s">
        <v>17878</v>
      </c>
      <c r="E2616" t="s">
        <v>17879</v>
      </c>
      <c r="F2616" t="s">
        <v>6684</v>
      </c>
      <c r="G2616" t="s">
        <v>17880</v>
      </c>
      <c r="H2616" t="s">
        <v>17881</v>
      </c>
      <c r="I2616">
        <f t="shared" ca="1" si="160"/>
        <v>44</v>
      </c>
      <c r="J2616" t="str">
        <f t="shared" ca="1" si="161"/>
        <v>40-49</v>
      </c>
      <c r="K2616">
        <v>105673.53</v>
      </c>
      <c r="L2616" t="str">
        <f>IF(Workforce[[#This Row],[Salary]]&lt;50000,"30k-49k",IF(Workforce[[#This Row],[Salary]]&lt;70000,"50k-69k",IF(Workforce[[#This Row],[Salary]]&lt;90000,"70k-89k","90k+")))</f>
        <v>90k+</v>
      </c>
      <c r="M2616" t="s">
        <v>13837</v>
      </c>
      <c r="N2616">
        <f t="shared" ca="1" si="162"/>
        <v>3</v>
      </c>
      <c r="O2616" t="str">
        <f t="shared" ca="1" si="163"/>
        <v>Intermediate level</v>
      </c>
    </row>
    <row r="2617" spans="1:15" x14ac:dyDescent="0.3">
      <c r="A2617" t="s">
        <v>17882</v>
      </c>
      <c r="B2617" t="s">
        <v>17883</v>
      </c>
      <c r="C2617" t="s">
        <v>231</v>
      </c>
      <c r="D2617" t="s">
        <v>17884</v>
      </c>
      <c r="E2617" t="s">
        <v>17885</v>
      </c>
      <c r="F2617" t="s">
        <v>2080</v>
      </c>
      <c r="G2617" t="s">
        <v>17886</v>
      </c>
      <c r="H2617" t="s">
        <v>17887</v>
      </c>
      <c r="I2617">
        <f t="shared" ca="1" si="160"/>
        <v>33</v>
      </c>
      <c r="J2617" t="str">
        <f t="shared" ca="1" si="161"/>
        <v>30-39</v>
      </c>
      <c r="K2617">
        <v>37759.980000000003</v>
      </c>
      <c r="L2617" t="str">
        <f>IF(Workforce[[#This Row],[Salary]]&lt;50000,"30k-49k",IF(Workforce[[#This Row],[Salary]]&lt;70000,"50k-69k",IF(Workforce[[#This Row],[Salary]]&lt;90000,"70k-89k","90k+")))</f>
        <v>30k-49k</v>
      </c>
      <c r="M2617" t="s">
        <v>2149</v>
      </c>
      <c r="N2617">
        <f t="shared" ca="1" si="162"/>
        <v>3</v>
      </c>
      <c r="O2617" t="str">
        <f t="shared" ca="1" si="163"/>
        <v>Intermediate level</v>
      </c>
    </row>
    <row r="2618" spans="1:15" x14ac:dyDescent="0.3">
      <c r="A2618" t="s">
        <v>17888</v>
      </c>
      <c r="B2618" t="s">
        <v>17889</v>
      </c>
      <c r="C2618" t="s">
        <v>169</v>
      </c>
      <c r="D2618" t="s">
        <v>17890</v>
      </c>
      <c r="E2618" t="s">
        <v>17891</v>
      </c>
      <c r="F2618" t="s">
        <v>199</v>
      </c>
      <c r="G2618" t="s">
        <v>17892</v>
      </c>
      <c r="H2618" t="s">
        <v>17893</v>
      </c>
      <c r="I2618">
        <f t="shared" ca="1" si="160"/>
        <v>24</v>
      </c>
      <c r="J2618" t="str">
        <f t="shared" ca="1" si="161"/>
        <v>18-29</v>
      </c>
      <c r="K2618">
        <v>31904.42</v>
      </c>
      <c r="L2618" t="str">
        <f>IF(Workforce[[#This Row],[Salary]]&lt;50000,"30k-49k",IF(Workforce[[#This Row],[Salary]]&lt;70000,"50k-69k",IF(Workforce[[#This Row],[Salary]]&lt;90000,"70k-89k","90k+")))</f>
        <v>30k-49k</v>
      </c>
      <c r="M2618" t="s">
        <v>17894</v>
      </c>
      <c r="N2618">
        <f t="shared" ca="1" si="162"/>
        <v>9</v>
      </c>
      <c r="O2618" t="str">
        <f t="shared" ca="1" si="163"/>
        <v>Senior level</v>
      </c>
    </row>
    <row r="2619" spans="1:15" x14ac:dyDescent="0.3">
      <c r="A2619" t="s">
        <v>17895</v>
      </c>
      <c r="B2619" t="s">
        <v>17896</v>
      </c>
      <c r="C2619" t="s">
        <v>335</v>
      </c>
      <c r="D2619" t="s">
        <v>17897</v>
      </c>
      <c r="E2619" t="s">
        <v>17898</v>
      </c>
      <c r="F2619" t="s">
        <v>4836</v>
      </c>
      <c r="G2619" t="s">
        <v>17899</v>
      </c>
      <c r="H2619" t="s">
        <v>17900</v>
      </c>
      <c r="I2619">
        <f t="shared" ca="1" si="160"/>
        <v>52</v>
      </c>
      <c r="J2619" t="str">
        <f t="shared" ca="1" si="161"/>
        <v>50-59</v>
      </c>
      <c r="K2619">
        <v>67734.759999999995</v>
      </c>
      <c r="L2619" t="str">
        <f>IF(Workforce[[#This Row],[Salary]]&lt;50000,"30k-49k",IF(Workforce[[#This Row],[Salary]]&lt;70000,"50k-69k",IF(Workforce[[#This Row],[Salary]]&lt;90000,"70k-89k","90k+")))</f>
        <v>50k-69k</v>
      </c>
      <c r="M2619" t="s">
        <v>17737</v>
      </c>
      <c r="N2619">
        <f t="shared" ca="1" si="162"/>
        <v>9</v>
      </c>
      <c r="O2619" t="str">
        <f t="shared" ca="1" si="163"/>
        <v>Senior level</v>
      </c>
    </row>
    <row r="2620" spans="1:15" x14ac:dyDescent="0.3">
      <c r="A2620" t="s">
        <v>17901</v>
      </c>
      <c r="B2620" t="s">
        <v>17902</v>
      </c>
      <c r="C2620" t="s">
        <v>169</v>
      </c>
      <c r="D2620" t="s">
        <v>17903</v>
      </c>
      <c r="E2620" t="s">
        <v>17904</v>
      </c>
      <c r="F2620" t="s">
        <v>647</v>
      </c>
      <c r="G2620" t="s">
        <v>1008</v>
      </c>
      <c r="H2620" t="s">
        <v>14341</v>
      </c>
      <c r="I2620">
        <f t="shared" ca="1" si="160"/>
        <v>52</v>
      </c>
      <c r="J2620" t="str">
        <f t="shared" ca="1" si="161"/>
        <v>50-59</v>
      </c>
      <c r="K2620">
        <v>116452.08</v>
      </c>
      <c r="L2620" t="str">
        <f>IF(Workforce[[#This Row],[Salary]]&lt;50000,"30k-49k",IF(Workforce[[#This Row],[Salary]]&lt;70000,"50k-69k",IF(Workforce[[#This Row],[Salary]]&lt;90000,"70k-89k","90k+")))</f>
        <v>90k+</v>
      </c>
      <c r="M2620" t="s">
        <v>5274</v>
      </c>
      <c r="N2620">
        <f t="shared" ca="1" si="162"/>
        <v>7</v>
      </c>
      <c r="O2620" t="str">
        <f t="shared" ca="1" si="163"/>
        <v>Senior level</v>
      </c>
    </row>
    <row r="2621" spans="1:15" x14ac:dyDescent="0.3">
      <c r="A2621" t="s">
        <v>17905</v>
      </c>
      <c r="B2621" t="s">
        <v>17906</v>
      </c>
      <c r="C2621" t="s">
        <v>88</v>
      </c>
      <c r="D2621" t="s">
        <v>17907</v>
      </c>
      <c r="E2621" t="s">
        <v>17908</v>
      </c>
      <c r="F2621" t="s">
        <v>517</v>
      </c>
      <c r="G2621" t="s">
        <v>17909</v>
      </c>
      <c r="H2621" t="s">
        <v>17910</v>
      </c>
      <c r="I2621">
        <f t="shared" ca="1" si="160"/>
        <v>27</v>
      </c>
      <c r="J2621" t="str">
        <f t="shared" ca="1" si="161"/>
        <v>18-29</v>
      </c>
      <c r="K2621">
        <v>89764.02</v>
      </c>
      <c r="L2621" t="str">
        <f>IF(Workforce[[#This Row],[Salary]]&lt;50000,"30k-49k",IF(Workforce[[#This Row],[Salary]]&lt;70000,"50k-69k",IF(Workforce[[#This Row],[Salary]]&lt;90000,"70k-89k","90k+")))</f>
        <v>70k-89k</v>
      </c>
      <c r="M2621" t="s">
        <v>2270</v>
      </c>
      <c r="N2621">
        <f t="shared" ca="1" si="162"/>
        <v>2</v>
      </c>
      <c r="O2621" t="str">
        <f t="shared" ca="1" si="163"/>
        <v>Beginner</v>
      </c>
    </row>
    <row r="2622" spans="1:15" x14ac:dyDescent="0.3">
      <c r="A2622" t="s">
        <v>17911</v>
      </c>
      <c r="B2622" t="s">
        <v>17912</v>
      </c>
      <c r="C2622" t="s">
        <v>231</v>
      </c>
      <c r="D2622" t="s">
        <v>17913</v>
      </c>
      <c r="E2622" t="s">
        <v>17914</v>
      </c>
      <c r="F2622" t="s">
        <v>6399</v>
      </c>
      <c r="G2622" t="s">
        <v>6720</v>
      </c>
      <c r="H2622" t="s">
        <v>17915</v>
      </c>
      <c r="I2622">
        <f t="shared" ca="1" si="160"/>
        <v>28</v>
      </c>
      <c r="J2622" t="str">
        <f t="shared" ca="1" si="161"/>
        <v>18-29</v>
      </c>
      <c r="K2622">
        <v>82897.63</v>
      </c>
      <c r="L2622" t="str">
        <f>IF(Workforce[[#This Row],[Salary]]&lt;50000,"30k-49k",IF(Workforce[[#This Row],[Salary]]&lt;70000,"50k-69k",IF(Workforce[[#This Row],[Salary]]&lt;90000,"70k-89k","90k+")))</f>
        <v>70k-89k</v>
      </c>
      <c r="M2622" t="s">
        <v>17916</v>
      </c>
      <c r="N2622">
        <f t="shared" ca="1" si="162"/>
        <v>10</v>
      </c>
      <c r="O2622" t="str">
        <f t="shared" ca="1" si="163"/>
        <v>Senior level</v>
      </c>
    </row>
    <row r="2623" spans="1:15" x14ac:dyDescent="0.3">
      <c r="A2623" t="s">
        <v>17917</v>
      </c>
      <c r="B2623" t="s">
        <v>17918</v>
      </c>
      <c r="C2623" t="s">
        <v>457</v>
      </c>
      <c r="D2623" t="s">
        <v>17919</v>
      </c>
      <c r="E2623" t="s">
        <v>17920</v>
      </c>
      <c r="F2623" t="s">
        <v>1634</v>
      </c>
      <c r="G2623" t="s">
        <v>17921</v>
      </c>
      <c r="H2623" t="s">
        <v>17922</v>
      </c>
      <c r="I2623">
        <f t="shared" ca="1" si="160"/>
        <v>49</v>
      </c>
      <c r="J2623" t="str">
        <f t="shared" ca="1" si="161"/>
        <v>40-49</v>
      </c>
      <c r="K2623">
        <v>75642.31</v>
      </c>
      <c r="L2623" t="str">
        <f>IF(Workforce[[#This Row],[Salary]]&lt;50000,"30k-49k",IF(Workforce[[#This Row],[Salary]]&lt;70000,"50k-69k",IF(Workforce[[#This Row],[Salary]]&lt;90000,"70k-89k","90k+")))</f>
        <v>70k-89k</v>
      </c>
      <c r="M2623" t="s">
        <v>17923</v>
      </c>
      <c r="N2623">
        <f t="shared" ca="1" si="162"/>
        <v>5</v>
      </c>
      <c r="O2623" t="str">
        <f t="shared" ca="1" si="163"/>
        <v>Intermediate level</v>
      </c>
    </row>
    <row r="2624" spans="1:15" x14ac:dyDescent="0.3">
      <c r="A2624" t="s">
        <v>17924</v>
      </c>
      <c r="B2624" t="s">
        <v>17925</v>
      </c>
      <c r="C2624" t="s">
        <v>97</v>
      </c>
      <c r="D2624" t="s">
        <v>17926</v>
      </c>
      <c r="E2624" t="s">
        <v>17927</v>
      </c>
      <c r="F2624" t="s">
        <v>4488</v>
      </c>
      <c r="G2624" t="s">
        <v>17928</v>
      </c>
      <c r="H2624" t="s">
        <v>17929</v>
      </c>
      <c r="I2624">
        <f t="shared" ca="1" si="160"/>
        <v>48</v>
      </c>
      <c r="J2624" t="str">
        <f t="shared" ca="1" si="161"/>
        <v>40-49</v>
      </c>
      <c r="K2624">
        <v>88101.62</v>
      </c>
      <c r="L2624" t="str">
        <f>IF(Workforce[[#This Row],[Salary]]&lt;50000,"30k-49k",IF(Workforce[[#This Row],[Salary]]&lt;70000,"50k-69k",IF(Workforce[[#This Row],[Salary]]&lt;90000,"70k-89k","90k+")))</f>
        <v>70k-89k</v>
      </c>
      <c r="M2624" t="s">
        <v>10098</v>
      </c>
      <c r="N2624">
        <f t="shared" ca="1" si="162"/>
        <v>5</v>
      </c>
      <c r="O2624" t="str">
        <f t="shared" ca="1" si="163"/>
        <v>Intermediate level</v>
      </c>
    </row>
    <row r="2625" spans="1:15" x14ac:dyDescent="0.3">
      <c r="A2625" t="s">
        <v>17930</v>
      </c>
      <c r="B2625" t="s">
        <v>17931</v>
      </c>
      <c r="C2625" t="s">
        <v>757</v>
      </c>
      <c r="D2625" t="s">
        <v>17932</v>
      </c>
      <c r="E2625" t="s">
        <v>17933</v>
      </c>
      <c r="F2625" t="s">
        <v>3087</v>
      </c>
      <c r="G2625" t="s">
        <v>17934</v>
      </c>
      <c r="H2625" t="s">
        <v>17935</v>
      </c>
      <c r="I2625">
        <f t="shared" ca="1" si="160"/>
        <v>28</v>
      </c>
      <c r="J2625" t="str">
        <f t="shared" ca="1" si="161"/>
        <v>18-29</v>
      </c>
      <c r="K2625">
        <v>37473.699999999997</v>
      </c>
      <c r="L2625" t="str">
        <f>IF(Workforce[[#This Row],[Salary]]&lt;50000,"30k-49k",IF(Workforce[[#This Row],[Salary]]&lt;70000,"50k-69k",IF(Workforce[[#This Row],[Salary]]&lt;90000,"70k-89k","90k+")))</f>
        <v>30k-49k</v>
      </c>
      <c r="M2625" t="s">
        <v>17936</v>
      </c>
      <c r="N2625">
        <f t="shared" ca="1" si="162"/>
        <v>2</v>
      </c>
      <c r="O2625" t="str">
        <f t="shared" ca="1" si="163"/>
        <v>Beginner</v>
      </c>
    </row>
    <row r="2626" spans="1:15" x14ac:dyDescent="0.3">
      <c r="A2626" t="s">
        <v>17937</v>
      </c>
      <c r="B2626" t="s">
        <v>17938</v>
      </c>
      <c r="C2626" t="s">
        <v>1043</v>
      </c>
      <c r="D2626" t="s">
        <v>17939</v>
      </c>
      <c r="E2626" t="s">
        <v>17940</v>
      </c>
      <c r="F2626" t="s">
        <v>10095</v>
      </c>
      <c r="G2626" t="s">
        <v>17941</v>
      </c>
      <c r="H2626" t="s">
        <v>17942</v>
      </c>
      <c r="I2626">
        <f t="shared" ref="I2626:I2689" ca="1" si="164">DATEDIF(H2626,TODAY(),"y")</f>
        <v>31</v>
      </c>
      <c r="J2626" t="str">
        <f t="shared" ref="J2626:J2689" ca="1" si="165">IF(I2626&lt;30,"18-29",IF(I2626&lt;40,"30-39",IF(I2626&lt;50,"40-49",IF(I2626&lt;60,"50-59","60+"))))</f>
        <v>30-39</v>
      </c>
      <c r="K2626">
        <v>107383.51</v>
      </c>
      <c r="L2626" t="str">
        <f>IF(Workforce[[#This Row],[Salary]]&lt;50000,"30k-49k",IF(Workforce[[#This Row],[Salary]]&lt;70000,"50k-69k",IF(Workforce[[#This Row],[Salary]]&lt;90000,"70k-89k","90k+")))</f>
        <v>90k+</v>
      </c>
      <c r="M2626" t="s">
        <v>17943</v>
      </c>
      <c r="N2626">
        <f t="shared" ref="N2626:N2689" ca="1" si="166">DATEDIF(M2626,TODAY(),"y")</f>
        <v>9</v>
      </c>
      <c r="O2626" t="str">
        <f t="shared" ref="O2626:O2689" ca="1" si="167">IF(N2626&lt;=2,"Beginner",IF(N2626&lt;=6,"Intermediate level","Senior level"))</f>
        <v>Senior level</v>
      </c>
    </row>
    <row r="2627" spans="1:15" x14ac:dyDescent="0.3">
      <c r="A2627" t="s">
        <v>17944</v>
      </c>
      <c r="B2627" t="s">
        <v>17945</v>
      </c>
      <c r="C2627" t="s">
        <v>326</v>
      </c>
      <c r="D2627" t="s">
        <v>17946</v>
      </c>
      <c r="E2627" t="s">
        <v>17947</v>
      </c>
      <c r="F2627" t="s">
        <v>4941</v>
      </c>
      <c r="G2627" t="s">
        <v>17948</v>
      </c>
      <c r="H2627" t="s">
        <v>17949</v>
      </c>
      <c r="I2627">
        <f t="shared" ca="1" si="164"/>
        <v>41</v>
      </c>
      <c r="J2627" t="str">
        <f t="shared" ca="1" si="165"/>
        <v>40-49</v>
      </c>
      <c r="K2627">
        <v>32301.37</v>
      </c>
      <c r="L2627" t="str">
        <f>IF(Workforce[[#This Row],[Salary]]&lt;50000,"30k-49k",IF(Workforce[[#This Row],[Salary]]&lt;70000,"50k-69k",IF(Workforce[[#This Row],[Salary]]&lt;90000,"70k-89k","90k+")))</f>
        <v>30k-49k</v>
      </c>
      <c r="M2627" t="s">
        <v>5091</v>
      </c>
      <c r="N2627">
        <f t="shared" ca="1" si="166"/>
        <v>9</v>
      </c>
      <c r="O2627" t="str">
        <f t="shared" ca="1" si="167"/>
        <v>Senior level</v>
      </c>
    </row>
    <row r="2628" spans="1:15" x14ac:dyDescent="0.3">
      <c r="A2628" t="s">
        <v>17950</v>
      </c>
      <c r="B2628" t="s">
        <v>17951</v>
      </c>
      <c r="C2628" t="s">
        <v>326</v>
      </c>
      <c r="D2628" t="s">
        <v>17952</v>
      </c>
      <c r="E2628" t="s">
        <v>17953</v>
      </c>
      <c r="F2628" t="s">
        <v>5751</v>
      </c>
      <c r="G2628" t="s">
        <v>17954</v>
      </c>
      <c r="H2628" t="s">
        <v>17955</v>
      </c>
      <c r="I2628">
        <f t="shared" ca="1" si="164"/>
        <v>20</v>
      </c>
      <c r="J2628" t="str">
        <f t="shared" ca="1" si="165"/>
        <v>18-29</v>
      </c>
      <c r="K2628">
        <v>90246.18</v>
      </c>
      <c r="L2628" t="str">
        <f>IF(Workforce[[#This Row],[Salary]]&lt;50000,"30k-49k",IF(Workforce[[#This Row],[Salary]]&lt;70000,"50k-69k",IF(Workforce[[#This Row],[Salary]]&lt;90000,"70k-89k","90k+")))</f>
        <v>90k+</v>
      </c>
      <c r="M2628" t="s">
        <v>8148</v>
      </c>
      <c r="N2628">
        <f t="shared" ca="1" si="166"/>
        <v>7</v>
      </c>
      <c r="O2628" t="str">
        <f t="shared" ca="1" si="167"/>
        <v>Senior level</v>
      </c>
    </row>
    <row r="2629" spans="1:15" x14ac:dyDescent="0.3">
      <c r="A2629" t="s">
        <v>17956</v>
      </c>
      <c r="B2629" t="s">
        <v>17957</v>
      </c>
      <c r="C2629" t="s">
        <v>257</v>
      </c>
      <c r="D2629" t="s">
        <v>17958</v>
      </c>
      <c r="E2629" t="s">
        <v>17959</v>
      </c>
      <c r="F2629" t="s">
        <v>485</v>
      </c>
      <c r="G2629" t="s">
        <v>17960</v>
      </c>
      <c r="H2629" t="s">
        <v>17961</v>
      </c>
      <c r="I2629">
        <f t="shared" ca="1" si="164"/>
        <v>58</v>
      </c>
      <c r="J2629" t="str">
        <f t="shared" ca="1" si="165"/>
        <v>50-59</v>
      </c>
      <c r="K2629">
        <v>71872.429999999993</v>
      </c>
      <c r="L2629" t="str">
        <f>IF(Workforce[[#This Row],[Salary]]&lt;50000,"30k-49k",IF(Workforce[[#This Row],[Salary]]&lt;70000,"50k-69k",IF(Workforce[[#This Row],[Salary]]&lt;90000,"70k-89k","90k+")))</f>
        <v>70k-89k</v>
      </c>
      <c r="M2629" t="s">
        <v>237</v>
      </c>
      <c r="N2629">
        <f t="shared" ca="1" si="166"/>
        <v>6</v>
      </c>
      <c r="O2629" t="str">
        <f t="shared" ca="1" si="167"/>
        <v>Intermediate level</v>
      </c>
    </row>
    <row r="2630" spans="1:15" x14ac:dyDescent="0.3">
      <c r="A2630" t="s">
        <v>17962</v>
      </c>
      <c r="B2630" t="s">
        <v>17963</v>
      </c>
      <c r="C2630" t="s">
        <v>539</v>
      </c>
      <c r="D2630" t="s">
        <v>17964</v>
      </c>
      <c r="E2630" t="s">
        <v>17965</v>
      </c>
      <c r="F2630" t="s">
        <v>9805</v>
      </c>
      <c r="G2630" t="s">
        <v>839</v>
      </c>
      <c r="H2630" t="s">
        <v>6228</v>
      </c>
      <c r="I2630">
        <f t="shared" ca="1" si="164"/>
        <v>24</v>
      </c>
      <c r="J2630" t="str">
        <f t="shared" ca="1" si="165"/>
        <v>18-29</v>
      </c>
      <c r="K2630">
        <v>41366.86</v>
      </c>
      <c r="L2630" t="str">
        <f>IF(Workforce[[#This Row],[Salary]]&lt;50000,"30k-49k",IF(Workforce[[#This Row],[Salary]]&lt;70000,"50k-69k",IF(Workforce[[#This Row],[Salary]]&lt;90000,"70k-89k","90k+")))</f>
        <v>30k-49k</v>
      </c>
      <c r="M2630" t="s">
        <v>17376</v>
      </c>
      <c r="N2630">
        <f t="shared" ca="1" si="166"/>
        <v>4</v>
      </c>
      <c r="O2630" t="str">
        <f t="shared" ca="1" si="167"/>
        <v>Intermediate level</v>
      </c>
    </row>
    <row r="2631" spans="1:15" x14ac:dyDescent="0.3">
      <c r="A2631" t="s">
        <v>17966</v>
      </c>
      <c r="B2631" t="s">
        <v>17967</v>
      </c>
      <c r="C2631" t="s">
        <v>17</v>
      </c>
      <c r="D2631" t="s">
        <v>17968</v>
      </c>
      <c r="E2631" t="s">
        <v>17969</v>
      </c>
      <c r="F2631" t="s">
        <v>9652</v>
      </c>
      <c r="G2631" t="s">
        <v>17970</v>
      </c>
      <c r="H2631" t="s">
        <v>17971</v>
      </c>
      <c r="I2631">
        <f t="shared" ca="1" si="164"/>
        <v>44</v>
      </c>
      <c r="J2631" t="str">
        <f t="shared" ca="1" si="165"/>
        <v>40-49</v>
      </c>
      <c r="K2631">
        <v>71436.62</v>
      </c>
      <c r="L2631" t="str">
        <f>IF(Workforce[[#This Row],[Salary]]&lt;50000,"30k-49k",IF(Workforce[[#This Row],[Salary]]&lt;70000,"50k-69k",IF(Workforce[[#This Row],[Salary]]&lt;90000,"70k-89k","90k+")))</f>
        <v>70k-89k</v>
      </c>
      <c r="M2631" t="s">
        <v>17972</v>
      </c>
      <c r="N2631">
        <f t="shared" ca="1" si="166"/>
        <v>9</v>
      </c>
      <c r="O2631" t="str">
        <f t="shared" ca="1" si="167"/>
        <v>Senior level</v>
      </c>
    </row>
    <row r="2632" spans="1:15" x14ac:dyDescent="0.3">
      <c r="A2632" t="s">
        <v>17973</v>
      </c>
      <c r="B2632" t="s">
        <v>17974</v>
      </c>
      <c r="C2632" t="s">
        <v>124</v>
      </c>
      <c r="D2632" t="s">
        <v>17975</v>
      </c>
      <c r="E2632" t="s">
        <v>17976</v>
      </c>
      <c r="F2632" t="s">
        <v>2687</v>
      </c>
      <c r="G2632" t="s">
        <v>1336</v>
      </c>
      <c r="H2632" t="s">
        <v>17977</v>
      </c>
      <c r="I2632">
        <f t="shared" ca="1" si="164"/>
        <v>42</v>
      </c>
      <c r="J2632" t="str">
        <f t="shared" ca="1" si="165"/>
        <v>40-49</v>
      </c>
      <c r="K2632">
        <v>83059.009999999995</v>
      </c>
      <c r="L2632" t="str">
        <f>IF(Workforce[[#This Row],[Salary]]&lt;50000,"30k-49k",IF(Workforce[[#This Row],[Salary]]&lt;70000,"50k-69k",IF(Workforce[[#This Row],[Salary]]&lt;90000,"70k-89k","90k+")))</f>
        <v>70k-89k</v>
      </c>
      <c r="M2632" t="s">
        <v>4216</v>
      </c>
      <c r="N2632">
        <f t="shared" ca="1" si="166"/>
        <v>3</v>
      </c>
      <c r="O2632" t="str">
        <f t="shared" ca="1" si="167"/>
        <v>Intermediate level</v>
      </c>
    </row>
    <row r="2633" spans="1:15" x14ac:dyDescent="0.3">
      <c r="A2633" t="s">
        <v>17978</v>
      </c>
      <c r="B2633" t="s">
        <v>17979</v>
      </c>
      <c r="C2633" t="s">
        <v>106</v>
      </c>
      <c r="D2633" t="s">
        <v>17980</v>
      </c>
      <c r="E2633" t="s">
        <v>17981</v>
      </c>
      <c r="F2633" t="s">
        <v>9318</v>
      </c>
      <c r="G2633" t="s">
        <v>17982</v>
      </c>
      <c r="H2633" t="s">
        <v>3150</v>
      </c>
      <c r="I2633">
        <f t="shared" ca="1" si="164"/>
        <v>42</v>
      </c>
      <c r="J2633" t="str">
        <f t="shared" ca="1" si="165"/>
        <v>40-49</v>
      </c>
      <c r="K2633">
        <v>79310.080000000002</v>
      </c>
      <c r="L2633" t="str">
        <f>IF(Workforce[[#This Row],[Salary]]&lt;50000,"30k-49k",IF(Workforce[[#This Row],[Salary]]&lt;70000,"50k-69k",IF(Workforce[[#This Row],[Salary]]&lt;90000,"70k-89k","90k+")))</f>
        <v>70k-89k</v>
      </c>
      <c r="M2633" t="s">
        <v>5962</v>
      </c>
      <c r="N2633">
        <f t="shared" ca="1" si="166"/>
        <v>9</v>
      </c>
      <c r="O2633" t="str">
        <f t="shared" ca="1" si="167"/>
        <v>Senior level</v>
      </c>
    </row>
    <row r="2634" spans="1:15" x14ac:dyDescent="0.3">
      <c r="A2634" t="s">
        <v>17983</v>
      </c>
      <c r="B2634" t="s">
        <v>17984</v>
      </c>
      <c r="C2634" t="s">
        <v>142</v>
      </c>
      <c r="D2634" t="s">
        <v>17985</v>
      </c>
      <c r="E2634" t="s">
        <v>17986</v>
      </c>
      <c r="F2634" t="s">
        <v>4873</v>
      </c>
      <c r="G2634" t="s">
        <v>17987</v>
      </c>
      <c r="H2634" t="s">
        <v>17988</v>
      </c>
      <c r="I2634">
        <f t="shared" ca="1" si="164"/>
        <v>44</v>
      </c>
      <c r="J2634" t="str">
        <f t="shared" ca="1" si="165"/>
        <v>40-49</v>
      </c>
      <c r="K2634">
        <v>114125.09</v>
      </c>
      <c r="L2634" t="str">
        <f>IF(Workforce[[#This Row],[Salary]]&lt;50000,"30k-49k",IF(Workforce[[#This Row],[Salary]]&lt;70000,"50k-69k",IF(Workforce[[#This Row],[Salary]]&lt;90000,"70k-89k","90k+")))</f>
        <v>90k+</v>
      </c>
      <c r="M2634" t="s">
        <v>17989</v>
      </c>
      <c r="N2634">
        <f t="shared" ca="1" si="166"/>
        <v>4</v>
      </c>
      <c r="O2634" t="str">
        <f t="shared" ca="1" si="167"/>
        <v>Intermediate level</v>
      </c>
    </row>
    <row r="2635" spans="1:15" x14ac:dyDescent="0.3">
      <c r="A2635" t="s">
        <v>17990</v>
      </c>
      <c r="B2635" t="s">
        <v>17991</v>
      </c>
      <c r="C2635" t="s">
        <v>231</v>
      </c>
      <c r="D2635" t="s">
        <v>17992</v>
      </c>
      <c r="E2635" t="s">
        <v>17993</v>
      </c>
      <c r="F2635" t="s">
        <v>5729</v>
      </c>
      <c r="G2635" t="s">
        <v>17994</v>
      </c>
      <c r="H2635" t="s">
        <v>17995</v>
      </c>
      <c r="I2635">
        <f t="shared" ca="1" si="164"/>
        <v>25</v>
      </c>
      <c r="J2635" t="str">
        <f t="shared" ca="1" si="165"/>
        <v>18-29</v>
      </c>
      <c r="K2635">
        <v>47688.62</v>
      </c>
      <c r="L2635" t="str">
        <f>IF(Workforce[[#This Row],[Salary]]&lt;50000,"30k-49k",IF(Workforce[[#This Row],[Salary]]&lt;70000,"50k-69k",IF(Workforce[[#This Row],[Salary]]&lt;90000,"70k-89k","90k+")))</f>
        <v>30k-49k</v>
      </c>
      <c r="M2635" t="s">
        <v>17996</v>
      </c>
      <c r="N2635">
        <f t="shared" ca="1" si="166"/>
        <v>5</v>
      </c>
      <c r="O2635" t="str">
        <f t="shared" ca="1" si="167"/>
        <v>Intermediate level</v>
      </c>
    </row>
    <row r="2636" spans="1:15" x14ac:dyDescent="0.3">
      <c r="A2636" t="s">
        <v>17997</v>
      </c>
      <c r="B2636" t="s">
        <v>17998</v>
      </c>
      <c r="C2636" t="s">
        <v>151</v>
      </c>
      <c r="D2636" t="s">
        <v>17999</v>
      </c>
      <c r="E2636" t="s">
        <v>18000</v>
      </c>
      <c r="F2636" t="s">
        <v>9497</v>
      </c>
      <c r="G2636" t="s">
        <v>18001</v>
      </c>
      <c r="H2636" t="s">
        <v>18002</v>
      </c>
      <c r="I2636">
        <f t="shared" ca="1" si="164"/>
        <v>36</v>
      </c>
      <c r="J2636" t="str">
        <f t="shared" ca="1" si="165"/>
        <v>30-39</v>
      </c>
      <c r="K2636">
        <v>36239.800000000003</v>
      </c>
      <c r="L2636" t="str">
        <f>IF(Workforce[[#This Row],[Salary]]&lt;50000,"30k-49k",IF(Workforce[[#This Row],[Salary]]&lt;70000,"50k-69k",IF(Workforce[[#This Row],[Salary]]&lt;90000,"70k-89k","90k+")))</f>
        <v>30k-49k</v>
      </c>
      <c r="M2636" t="s">
        <v>2595</v>
      </c>
      <c r="N2636">
        <f t="shared" ca="1" si="166"/>
        <v>0</v>
      </c>
      <c r="O2636" t="str">
        <f t="shared" ca="1" si="167"/>
        <v>Beginner</v>
      </c>
    </row>
    <row r="2637" spans="1:15" x14ac:dyDescent="0.3">
      <c r="A2637" t="s">
        <v>18003</v>
      </c>
      <c r="B2637" t="s">
        <v>18004</v>
      </c>
      <c r="C2637" t="s">
        <v>222</v>
      </c>
      <c r="D2637" t="s">
        <v>18005</v>
      </c>
      <c r="E2637" t="s">
        <v>18006</v>
      </c>
      <c r="F2637" t="s">
        <v>7242</v>
      </c>
      <c r="G2637" t="s">
        <v>12129</v>
      </c>
      <c r="H2637" t="s">
        <v>18007</v>
      </c>
      <c r="I2637">
        <f t="shared" ca="1" si="164"/>
        <v>45</v>
      </c>
      <c r="J2637" t="str">
        <f t="shared" ca="1" si="165"/>
        <v>40-49</v>
      </c>
      <c r="K2637">
        <v>50896.480000000003</v>
      </c>
      <c r="L2637" t="str">
        <f>IF(Workforce[[#This Row],[Salary]]&lt;50000,"30k-49k",IF(Workforce[[#This Row],[Salary]]&lt;70000,"50k-69k",IF(Workforce[[#This Row],[Salary]]&lt;90000,"70k-89k","90k+")))</f>
        <v>50k-69k</v>
      </c>
      <c r="M2637" t="s">
        <v>10839</v>
      </c>
      <c r="N2637">
        <f t="shared" ca="1" si="166"/>
        <v>8</v>
      </c>
      <c r="O2637" t="str">
        <f t="shared" ca="1" si="167"/>
        <v>Senior level</v>
      </c>
    </row>
    <row r="2638" spans="1:15" x14ac:dyDescent="0.3">
      <c r="A2638" t="s">
        <v>18008</v>
      </c>
      <c r="B2638" t="s">
        <v>18009</v>
      </c>
      <c r="C2638" t="s">
        <v>351</v>
      </c>
      <c r="D2638" t="s">
        <v>18010</v>
      </c>
      <c r="E2638" t="s">
        <v>18011</v>
      </c>
      <c r="F2638" t="s">
        <v>4402</v>
      </c>
      <c r="G2638" t="s">
        <v>18012</v>
      </c>
      <c r="H2638" t="s">
        <v>18013</v>
      </c>
      <c r="I2638">
        <f t="shared" ca="1" si="164"/>
        <v>47</v>
      </c>
      <c r="J2638" t="str">
        <f t="shared" ca="1" si="165"/>
        <v>40-49</v>
      </c>
      <c r="K2638">
        <v>54641.95</v>
      </c>
      <c r="L2638" t="str">
        <f>IF(Workforce[[#This Row],[Salary]]&lt;50000,"30k-49k",IF(Workforce[[#This Row],[Salary]]&lt;70000,"50k-69k",IF(Workforce[[#This Row],[Salary]]&lt;90000,"70k-89k","90k+")))</f>
        <v>50k-69k</v>
      </c>
      <c r="M2638" t="s">
        <v>18014</v>
      </c>
      <c r="N2638">
        <f t="shared" ca="1" si="166"/>
        <v>8</v>
      </c>
      <c r="O2638" t="str">
        <f t="shared" ca="1" si="167"/>
        <v>Senior level</v>
      </c>
    </row>
    <row r="2639" spans="1:15" x14ac:dyDescent="0.3">
      <c r="A2639" t="s">
        <v>18015</v>
      </c>
      <c r="B2639" t="s">
        <v>18016</v>
      </c>
      <c r="C2639" t="s">
        <v>196</v>
      </c>
      <c r="D2639" t="s">
        <v>18017</v>
      </c>
      <c r="E2639" t="s">
        <v>18018</v>
      </c>
      <c r="F2639" t="s">
        <v>15258</v>
      </c>
      <c r="G2639" t="s">
        <v>18019</v>
      </c>
      <c r="H2639" t="s">
        <v>18020</v>
      </c>
      <c r="I2639">
        <f t="shared" ca="1" si="164"/>
        <v>46</v>
      </c>
      <c r="J2639" t="str">
        <f t="shared" ca="1" si="165"/>
        <v>40-49</v>
      </c>
      <c r="K2639">
        <v>61469.06</v>
      </c>
      <c r="L2639" t="str">
        <f>IF(Workforce[[#This Row],[Salary]]&lt;50000,"30k-49k",IF(Workforce[[#This Row],[Salary]]&lt;70000,"50k-69k",IF(Workforce[[#This Row],[Salary]]&lt;90000,"70k-89k","90k+")))</f>
        <v>50k-69k</v>
      </c>
      <c r="M2639" t="s">
        <v>6416</v>
      </c>
      <c r="N2639">
        <f t="shared" ca="1" si="166"/>
        <v>8</v>
      </c>
      <c r="O2639" t="str">
        <f t="shared" ca="1" si="167"/>
        <v>Senior level</v>
      </c>
    </row>
    <row r="2640" spans="1:15" x14ac:dyDescent="0.3">
      <c r="A2640" t="s">
        <v>18021</v>
      </c>
      <c r="B2640" t="s">
        <v>18022</v>
      </c>
      <c r="C2640" t="s">
        <v>222</v>
      </c>
      <c r="D2640" t="s">
        <v>18023</v>
      </c>
      <c r="E2640" t="s">
        <v>18024</v>
      </c>
      <c r="F2640" t="s">
        <v>1351</v>
      </c>
      <c r="G2640" t="s">
        <v>18025</v>
      </c>
      <c r="H2640" t="s">
        <v>18026</v>
      </c>
      <c r="I2640">
        <f t="shared" ca="1" si="164"/>
        <v>20</v>
      </c>
      <c r="J2640" t="str">
        <f t="shared" ca="1" si="165"/>
        <v>18-29</v>
      </c>
      <c r="K2640">
        <v>100324.13</v>
      </c>
      <c r="L2640" t="str">
        <f>IF(Workforce[[#This Row],[Salary]]&lt;50000,"30k-49k",IF(Workforce[[#This Row],[Salary]]&lt;70000,"50k-69k",IF(Workforce[[#This Row],[Salary]]&lt;90000,"70k-89k","90k+")))</f>
        <v>90k+</v>
      </c>
      <c r="M2640" t="s">
        <v>18027</v>
      </c>
      <c r="N2640">
        <f t="shared" ca="1" si="166"/>
        <v>4</v>
      </c>
      <c r="O2640" t="str">
        <f t="shared" ca="1" si="167"/>
        <v>Intermediate level</v>
      </c>
    </row>
    <row r="2641" spans="1:15" x14ac:dyDescent="0.3">
      <c r="A2641" t="s">
        <v>18028</v>
      </c>
      <c r="B2641" t="s">
        <v>18029</v>
      </c>
      <c r="C2641" t="s">
        <v>1223</v>
      </c>
      <c r="D2641" t="s">
        <v>18030</v>
      </c>
      <c r="E2641" t="s">
        <v>18031</v>
      </c>
      <c r="F2641" t="s">
        <v>6391</v>
      </c>
      <c r="G2641" t="s">
        <v>18032</v>
      </c>
      <c r="H2641" t="s">
        <v>18033</v>
      </c>
      <c r="I2641">
        <f t="shared" ca="1" si="164"/>
        <v>65</v>
      </c>
      <c r="J2641" t="str">
        <f t="shared" ca="1" si="165"/>
        <v>60+</v>
      </c>
      <c r="K2641">
        <v>104000.88</v>
      </c>
      <c r="L2641" t="str">
        <f>IF(Workforce[[#This Row],[Salary]]&lt;50000,"30k-49k",IF(Workforce[[#This Row],[Salary]]&lt;70000,"50k-69k",IF(Workforce[[#This Row],[Salary]]&lt;90000,"70k-89k","90k+")))</f>
        <v>90k+</v>
      </c>
      <c r="M2641" t="s">
        <v>18034</v>
      </c>
      <c r="N2641">
        <f t="shared" ca="1" si="166"/>
        <v>9</v>
      </c>
      <c r="O2641" t="str">
        <f t="shared" ca="1" si="167"/>
        <v>Senior level</v>
      </c>
    </row>
    <row r="2642" spans="1:15" x14ac:dyDescent="0.3">
      <c r="A2642" t="s">
        <v>18035</v>
      </c>
      <c r="B2642" t="s">
        <v>18036</v>
      </c>
      <c r="C2642" t="s">
        <v>482</v>
      </c>
      <c r="D2642" t="s">
        <v>18037</v>
      </c>
      <c r="E2642" t="s">
        <v>18038</v>
      </c>
      <c r="F2642" t="s">
        <v>5222</v>
      </c>
      <c r="G2642" t="s">
        <v>18039</v>
      </c>
      <c r="H2642" t="s">
        <v>18040</v>
      </c>
      <c r="I2642">
        <f t="shared" ca="1" si="164"/>
        <v>28</v>
      </c>
      <c r="J2642" t="str">
        <f t="shared" ca="1" si="165"/>
        <v>18-29</v>
      </c>
      <c r="K2642">
        <v>92673.13</v>
      </c>
      <c r="L2642" t="str">
        <f>IF(Workforce[[#This Row],[Salary]]&lt;50000,"30k-49k",IF(Workforce[[#This Row],[Salary]]&lt;70000,"50k-69k",IF(Workforce[[#This Row],[Salary]]&lt;90000,"70k-89k","90k+")))</f>
        <v>90k+</v>
      </c>
      <c r="M2642" t="s">
        <v>18041</v>
      </c>
      <c r="N2642">
        <f t="shared" ca="1" si="166"/>
        <v>3</v>
      </c>
      <c r="O2642" t="str">
        <f t="shared" ca="1" si="167"/>
        <v>Intermediate level</v>
      </c>
    </row>
    <row r="2643" spans="1:15" x14ac:dyDescent="0.3">
      <c r="A2643" t="s">
        <v>18042</v>
      </c>
      <c r="B2643" t="s">
        <v>18043</v>
      </c>
      <c r="C2643" t="s">
        <v>187</v>
      </c>
      <c r="D2643" t="s">
        <v>18044</v>
      </c>
      <c r="E2643" t="s">
        <v>18045</v>
      </c>
      <c r="F2643" t="s">
        <v>5053</v>
      </c>
      <c r="G2643" t="s">
        <v>18046</v>
      </c>
      <c r="H2643" t="s">
        <v>18047</v>
      </c>
      <c r="I2643">
        <f t="shared" ca="1" si="164"/>
        <v>38</v>
      </c>
      <c r="J2643" t="str">
        <f t="shared" ca="1" si="165"/>
        <v>30-39</v>
      </c>
      <c r="K2643">
        <v>62838.01</v>
      </c>
      <c r="L2643" t="str">
        <f>IF(Workforce[[#This Row],[Salary]]&lt;50000,"30k-49k",IF(Workforce[[#This Row],[Salary]]&lt;70000,"50k-69k",IF(Workforce[[#This Row],[Salary]]&lt;90000,"70k-89k","90k+")))</f>
        <v>50k-69k</v>
      </c>
      <c r="M2643" t="s">
        <v>18048</v>
      </c>
      <c r="N2643">
        <f t="shared" ca="1" si="166"/>
        <v>5</v>
      </c>
      <c r="O2643" t="str">
        <f t="shared" ca="1" si="167"/>
        <v>Intermediate level</v>
      </c>
    </row>
    <row r="2644" spans="1:15" x14ac:dyDescent="0.3">
      <c r="A2644" t="s">
        <v>18049</v>
      </c>
      <c r="B2644" t="s">
        <v>18050</v>
      </c>
      <c r="C2644" t="s">
        <v>539</v>
      </c>
      <c r="D2644" t="s">
        <v>18051</v>
      </c>
      <c r="E2644" t="s">
        <v>18052</v>
      </c>
      <c r="F2644" t="s">
        <v>8637</v>
      </c>
      <c r="G2644" t="s">
        <v>18053</v>
      </c>
      <c r="H2644" t="s">
        <v>18054</v>
      </c>
      <c r="I2644">
        <f t="shared" ca="1" si="164"/>
        <v>21</v>
      </c>
      <c r="J2644" t="str">
        <f t="shared" ca="1" si="165"/>
        <v>18-29</v>
      </c>
      <c r="K2644">
        <v>46855.23</v>
      </c>
      <c r="L2644" t="str">
        <f>IF(Workforce[[#This Row],[Salary]]&lt;50000,"30k-49k",IF(Workforce[[#This Row],[Salary]]&lt;70000,"50k-69k",IF(Workforce[[#This Row],[Salary]]&lt;90000,"70k-89k","90k+")))</f>
        <v>30k-49k</v>
      </c>
      <c r="M2644" t="s">
        <v>18055</v>
      </c>
      <c r="N2644">
        <f t="shared" ca="1" si="166"/>
        <v>3</v>
      </c>
      <c r="O2644" t="str">
        <f t="shared" ca="1" si="167"/>
        <v>Intermediate level</v>
      </c>
    </row>
    <row r="2645" spans="1:15" x14ac:dyDescent="0.3">
      <c r="A2645" t="s">
        <v>18056</v>
      </c>
      <c r="B2645" t="s">
        <v>18057</v>
      </c>
      <c r="C2645" t="s">
        <v>335</v>
      </c>
      <c r="D2645" t="s">
        <v>18058</v>
      </c>
      <c r="E2645" t="s">
        <v>18059</v>
      </c>
      <c r="F2645" t="s">
        <v>4045</v>
      </c>
      <c r="G2645" t="s">
        <v>18060</v>
      </c>
      <c r="H2645" t="s">
        <v>18061</v>
      </c>
      <c r="I2645">
        <f t="shared" ca="1" si="164"/>
        <v>43</v>
      </c>
      <c r="J2645" t="str">
        <f t="shared" ca="1" si="165"/>
        <v>40-49</v>
      </c>
      <c r="K2645">
        <v>47726.8</v>
      </c>
      <c r="L2645" t="str">
        <f>IF(Workforce[[#This Row],[Salary]]&lt;50000,"30k-49k",IF(Workforce[[#This Row],[Salary]]&lt;70000,"50k-69k",IF(Workforce[[#This Row],[Salary]]&lt;90000,"70k-89k","90k+")))</f>
        <v>30k-49k</v>
      </c>
      <c r="M2645" t="s">
        <v>13084</v>
      </c>
      <c r="N2645">
        <f t="shared" ca="1" si="166"/>
        <v>8</v>
      </c>
      <c r="O2645" t="str">
        <f t="shared" ca="1" si="167"/>
        <v>Senior level</v>
      </c>
    </row>
    <row r="2646" spans="1:15" x14ac:dyDescent="0.3">
      <c r="A2646" t="s">
        <v>18062</v>
      </c>
      <c r="B2646" t="s">
        <v>18063</v>
      </c>
      <c r="C2646" t="s">
        <v>757</v>
      </c>
      <c r="D2646" t="s">
        <v>18064</v>
      </c>
      <c r="E2646" t="s">
        <v>18065</v>
      </c>
      <c r="F2646" t="s">
        <v>1795</v>
      </c>
      <c r="G2646" t="s">
        <v>18066</v>
      </c>
      <c r="H2646" t="s">
        <v>18067</v>
      </c>
      <c r="I2646">
        <f t="shared" ca="1" si="164"/>
        <v>28</v>
      </c>
      <c r="J2646" t="str">
        <f t="shared" ca="1" si="165"/>
        <v>18-29</v>
      </c>
      <c r="K2646">
        <v>58664.03</v>
      </c>
      <c r="L2646" t="str">
        <f>IF(Workforce[[#This Row],[Salary]]&lt;50000,"30k-49k",IF(Workforce[[#This Row],[Salary]]&lt;70000,"50k-69k",IF(Workforce[[#This Row],[Salary]]&lt;90000,"70k-89k","90k+")))</f>
        <v>50k-69k</v>
      </c>
      <c r="M2646" t="s">
        <v>1676</v>
      </c>
      <c r="N2646">
        <f t="shared" ca="1" si="166"/>
        <v>1</v>
      </c>
      <c r="O2646" t="str">
        <f t="shared" ca="1" si="167"/>
        <v>Beginner</v>
      </c>
    </row>
    <row r="2647" spans="1:15" x14ac:dyDescent="0.3">
      <c r="A2647" t="s">
        <v>18068</v>
      </c>
      <c r="B2647" t="s">
        <v>18069</v>
      </c>
      <c r="C2647" t="s">
        <v>97</v>
      </c>
      <c r="D2647" t="s">
        <v>18070</v>
      </c>
      <c r="E2647" t="s">
        <v>18071</v>
      </c>
      <c r="F2647" t="s">
        <v>751</v>
      </c>
      <c r="G2647" t="s">
        <v>18072</v>
      </c>
      <c r="H2647" t="s">
        <v>18073</v>
      </c>
      <c r="I2647">
        <f t="shared" ca="1" si="164"/>
        <v>55</v>
      </c>
      <c r="J2647" t="str">
        <f t="shared" ca="1" si="165"/>
        <v>50-59</v>
      </c>
      <c r="K2647">
        <v>91241.36</v>
      </c>
      <c r="L2647" t="str">
        <f>IF(Workforce[[#This Row],[Salary]]&lt;50000,"30k-49k",IF(Workforce[[#This Row],[Salary]]&lt;70000,"50k-69k",IF(Workforce[[#This Row],[Salary]]&lt;90000,"70k-89k","90k+")))</f>
        <v>90k+</v>
      </c>
      <c r="M2647" t="s">
        <v>8692</v>
      </c>
      <c r="N2647">
        <f t="shared" ca="1" si="166"/>
        <v>3</v>
      </c>
      <c r="O2647" t="str">
        <f t="shared" ca="1" si="167"/>
        <v>Intermediate level</v>
      </c>
    </row>
    <row r="2648" spans="1:15" x14ac:dyDescent="0.3">
      <c r="A2648" t="s">
        <v>18074</v>
      </c>
      <c r="B2648" t="s">
        <v>18075</v>
      </c>
      <c r="C2648" t="s">
        <v>317</v>
      </c>
      <c r="D2648" t="s">
        <v>18076</v>
      </c>
      <c r="E2648" t="s">
        <v>18077</v>
      </c>
      <c r="F2648" t="s">
        <v>958</v>
      </c>
      <c r="G2648" t="s">
        <v>18078</v>
      </c>
      <c r="H2648" t="s">
        <v>12778</v>
      </c>
      <c r="I2648">
        <f t="shared" ca="1" si="164"/>
        <v>33</v>
      </c>
      <c r="J2648" t="str">
        <f t="shared" ca="1" si="165"/>
        <v>30-39</v>
      </c>
      <c r="K2648">
        <v>117751.72</v>
      </c>
      <c r="L2648" t="str">
        <f>IF(Workforce[[#This Row],[Salary]]&lt;50000,"30k-49k",IF(Workforce[[#This Row],[Salary]]&lt;70000,"50k-69k",IF(Workforce[[#This Row],[Salary]]&lt;90000,"70k-89k","90k+")))</f>
        <v>90k+</v>
      </c>
      <c r="M2648" t="s">
        <v>18079</v>
      </c>
      <c r="N2648">
        <f t="shared" ca="1" si="166"/>
        <v>8</v>
      </c>
      <c r="O2648" t="str">
        <f t="shared" ca="1" si="167"/>
        <v>Senior level</v>
      </c>
    </row>
    <row r="2649" spans="1:15" x14ac:dyDescent="0.3">
      <c r="A2649" t="s">
        <v>18080</v>
      </c>
      <c r="B2649" t="s">
        <v>18081</v>
      </c>
      <c r="C2649" t="s">
        <v>1159</v>
      </c>
      <c r="D2649" t="s">
        <v>18082</v>
      </c>
      <c r="E2649" t="s">
        <v>18083</v>
      </c>
      <c r="F2649" t="s">
        <v>5053</v>
      </c>
      <c r="G2649" t="s">
        <v>18084</v>
      </c>
      <c r="H2649" t="s">
        <v>18085</v>
      </c>
      <c r="I2649">
        <f t="shared" ca="1" si="164"/>
        <v>39</v>
      </c>
      <c r="J2649" t="str">
        <f t="shared" ca="1" si="165"/>
        <v>30-39</v>
      </c>
      <c r="K2649">
        <v>115398.07</v>
      </c>
      <c r="L2649" t="str">
        <f>IF(Workforce[[#This Row],[Salary]]&lt;50000,"30k-49k",IF(Workforce[[#This Row],[Salary]]&lt;70000,"50k-69k",IF(Workforce[[#This Row],[Salary]]&lt;90000,"70k-89k","90k+")))</f>
        <v>90k+</v>
      </c>
      <c r="M2649" t="s">
        <v>5975</v>
      </c>
      <c r="N2649">
        <f t="shared" ca="1" si="166"/>
        <v>3</v>
      </c>
      <c r="O2649" t="str">
        <f t="shared" ca="1" si="167"/>
        <v>Intermediate level</v>
      </c>
    </row>
    <row r="2650" spans="1:15" x14ac:dyDescent="0.3">
      <c r="A2650" t="s">
        <v>18086</v>
      </c>
      <c r="B2650" t="s">
        <v>18087</v>
      </c>
      <c r="C2650" t="s">
        <v>275</v>
      </c>
      <c r="D2650" t="s">
        <v>18088</v>
      </c>
      <c r="E2650" t="s">
        <v>18089</v>
      </c>
      <c r="F2650" t="s">
        <v>1289</v>
      </c>
      <c r="G2650" t="s">
        <v>18090</v>
      </c>
      <c r="H2650" t="s">
        <v>18091</v>
      </c>
      <c r="I2650">
        <f t="shared" ca="1" si="164"/>
        <v>23</v>
      </c>
      <c r="J2650" t="str">
        <f t="shared" ca="1" si="165"/>
        <v>18-29</v>
      </c>
      <c r="K2650">
        <v>97214.18</v>
      </c>
      <c r="L2650" t="str">
        <f>IF(Workforce[[#This Row],[Salary]]&lt;50000,"30k-49k",IF(Workforce[[#This Row],[Salary]]&lt;70000,"50k-69k",IF(Workforce[[#This Row],[Salary]]&lt;90000,"70k-89k","90k+")))</f>
        <v>90k+</v>
      </c>
      <c r="M2650" t="s">
        <v>18092</v>
      </c>
      <c r="N2650">
        <f t="shared" ca="1" si="166"/>
        <v>3</v>
      </c>
      <c r="O2650" t="str">
        <f t="shared" ca="1" si="167"/>
        <v>Intermediate level</v>
      </c>
    </row>
    <row r="2651" spans="1:15" x14ac:dyDescent="0.3">
      <c r="A2651" t="s">
        <v>18093</v>
      </c>
      <c r="B2651" t="s">
        <v>18094</v>
      </c>
      <c r="C2651" t="s">
        <v>326</v>
      </c>
      <c r="D2651" t="s">
        <v>18095</v>
      </c>
      <c r="E2651" t="s">
        <v>18096</v>
      </c>
      <c r="F2651" t="s">
        <v>1450</v>
      </c>
      <c r="G2651" t="s">
        <v>18097</v>
      </c>
      <c r="H2651" t="s">
        <v>18098</v>
      </c>
      <c r="I2651">
        <f t="shared" ca="1" si="164"/>
        <v>20</v>
      </c>
      <c r="J2651" t="str">
        <f t="shared" ca="1" si="165"/>
        <v>18-29</v>
      </c>
      <c r="K2651">
        <v>30570.91</v>
      </c>
      <c r="L2651" t="str">
        <f>IF(Workforce[[#This Row],[Salary]]&lt;50000,"30k-49k",IF(Workforce[[#This Row],[Salary]]&lt;70000,"50k-69k",IF(Workforce[[#This Row],[Salary]]&lt;90000,"70k-89k","90k+")))</f>
        <v>30k-49k</v>
      </c>
      <c r="M2651" t="s">
        <v>12282</v>
      </c>
      <c r="N2651">
        <f t="shared" ca="1" si="166"/>
        <v>4</v>
      </c>
      <c r="O2651" t="str">
        <f t="shared" ca="1" si="167"/>
        <v>Intermediate level</v>
      </c>
    </row>
    <row r="2652" spans="1:15" x14ac:dyDescent="0.3">
      <c r="A2652" t="s">
        <v>18099</v>
      </c>
      <c r="B2652" t="s">
        <v>18100</v>
      </c>
      <c r="C2652" t="s">
        <v>457</v>
      </c>
      <c r="D2652" t="s">
        <v>18101</v>
      </c>
      <c r="E2652" t="s">
        <v>18102</v>
      </c>
      <c r="F2652" t="s">
        <v>2505</v>
      </c>
      <c r="G2652" t="s">
        <v>18103</v>
      </c>
      <c r="H2652" t="s">
        <v>18104</v>
      </c>
      <c r="I2652">
        <f t="shared" ca="1" si="164"/>
        <v>65</v>
      </c>
      <c r="J2652" t="str">
        <f t="shared" ca="1" si="165"/>
        <v>60+</v>
      </c>
      <c r="K2652">
        <v>39902.85</v>
      </c>
      <c r="L2652" t="str">
        <f>IF(Workforce[[#This Row],[Salary]]&lt;50000,"30k-49k",IF(Workforce[[#This Row],[Salary]]&lt;70000,"50k-69k",IF(Workforce[[#This Row],[Salary]]&lt;90000,"70k-89k","90k+")))</f>
        <v>30k-49k</v>
      </c>
      <c r="M2652" t="s">
        <v>157</v>
      </c>
      <c r="N2652">
        <f t="shared" ca="1" si="166"/>
        <v>8</v>
      </c>
      <c r="O2652" t="str">
        <f t="shared" ca="1" si="167"/>
        <v>Senior level</v>
      </c>
    </row>
    <row r="2653" spans="1:15" x14ac:dyDescent="0.3">
      <c r="A2653" t="s">
        <v>18105</v>
      </c>
      <c r="B2653" t="s">
        <v>18106</v>
      </c>
      <c r="C2653" t="s">
        <v>580</v>
      </c>
      <c r="D2653" t="s">
        <v>18107</v>
      </c>
      <c r="E2653" t="s">
        <v>18108</v>
      </c>
      <c r="F2653" t="s">
        <v>3500</v>
      </c>
      <c r="G2653" t="s">
        <v>18109</v>
      </c>
      <c r="H2653" t="s">
        <v>18110</v>
      </c>
      <c r="I2653">
        <f t="shared" ca="1" si="164"/>
        <v>60</v>
      </c>
      <c r="J2653" t="str">
        <f t="shared" ca="1" si="165"/>
        <v>60+</v>
      </c>
      <c r="K2653">
        <v>98111.01</v>
      </c>
      <c r="L2653" t="str">
        <f>IF(Workforce[[#This Row],[Salary]]&lt;50000,"30k-49k",IF(Workforce[[#This Row],[Salary]]&lt;70000,"50k-69k",IF(Workforce[[#This Row],[Salary]]&lt;90000,"70k-89k","90k+")))</f>
        <v>90k+</v>
      </c>
      <c r="M2653" t="s">
        <v>10947</v>
      </c>
      <c r="N2653">
        <f t="shared" ca="1" si="166"/>
        <v>6</v>
      </c>
      <c r="O2653" t="str">
        <f t="shared" ca="1" si="167"/>
        <v>Intermediate level</v>
      </c>
    </row>
    <row r="2654" spans="1:15" x14ac:dyDescent="0.3">
      <c r="A2654" t="s">
        <v>18111</v>
      </c>
      <c r="B2654" t="s">
        <v>18112</v>
      </c>
      <c r="C2654" t="s">
        <v>106</v>
      </c>
      <c r="D2654" t="s">
        <v>18113</v>
      </c>
      <c r="E2654" t="s">
        <v>18114</v>
      </c>
      <c r="F2654" t="s">
        <v>1145</v>
      </c>
      <c r="G2654" t="s">
        <v>18115</v>
      </c>
      <c r="H2654" t="s">
        <v>18116</v>
      </c>
      <c r="I2654">
        <f t="shared" ca="1" si="164"/>
        <v>62</v>
      </c>
      <c r="J2654" t="str">
        <f t="shared" ca="1" si="165"/>
        <v>60+</v>
      </c>
      <c r="K2654">
        <v>88241.32</v>
      </c>
      <c r="L2654" t="str">
        <f>IF(Workforce[[#This Row],[Salary]]&lt;50000,"30k-49k",IF(Workforce[[#This Row],[Salary]]&lt;70000,"50k-69k",IF(Workforce[[#This Row],[Salary]]&lt;90000,"70k-89k","90k+")))</f>
        <v>70k-89k</v>
      </c>
      <c r="M2654" t="s">
        <v>18117</v>
      </c>
      <c r="N2654">
        <f t="shared" ca="1" si="166"/>
        <v>1</v>
      </c>
      <c r="O2654" t="str">
        <f t="shared" ca="1" si="167"/>
        <v>Beginner</v>
      </c>
    </row>
    <row r="2655" spans="1:15" x14ac:dyDescent="0.3">
      <c r="A2655" t="s">
        <v>18118</v>
      </c>
      <c r="B2655" t="s">
        <v>18119</v>
      </c>
      <c r="C2655" t="s">
        <v>844</v>
      </c>
      <c r="D2655" t="s">
        <v>18120</v>
      </c>
      <c r="E2655" t="s">
        <v>18121</v>
      </c>
      <c r="F2655" t="s">
        <v>2983</v>
      </c>
      <c r="G2655" t="s">
        <v>18122</v>
      </c>
      <c r="H2655" t="s">
        <v>18123</v>
      </c>
      <c r="I2655">
        <f t="shared" ca="1" si="164"/>
        <v>40</v>
      </c>
      <c r="J2655" t="str">
        <f t="shared" ca="1" si="165"/>
        <v>40-49</v>
      </c>
      <c r="K2655">
        <v>113846.46</v>
      </c>
      <c r="L2655" t="str">
        <f>IF(Workforce[[#This Row],[Salary]]&lt;50000,"30k-49k",IF(Workforce[[#This Row],[Salary]]&lt;70000,"50k-69k",IF(Workforce[[#This Row],[Salary]]&lt;90000,"70k-89k","90k+")))</f>
        <v>90k+</v>
      </c>
      <c r="M2655" t="s">
        <v>18124</v>
      </c>
      <c r="N2655">
        <f t="shared" ca="1" si="166"/>
        <v>3</v>
      </c>
      <c r="O2655" t="str">
        <f t="shared" ca="1" si="167"/>
        <v>Intermediate level</v>
      </c>
    </row>
    <row r="2656" spans="1:15" x14ac:dyDescent="0.3">
      <c r="A2656" t="s">
        <v>18125</v>
      </c>
      <c r="B2656" t="s">
        <v>18126</v>
      </c>
      <c r="C2656" t="s">
        <v>257</v>
      </c>
      <c r="D2656" t="s">
        <v>18127</v>
      </c>
      <c r="E2656" t="s">
        <v>18128</v>
      </c>
      <c r="F2656" t="s">
        <v>1473</v>
      </c>
      <c r="G2656" t="s">
        <v>18129</v>
      </c>
      <c r="H2656" t="s">
        <v>18130</v>
      </c>
      <c r="I2656">
        <f t="shared" ca="1" si="164"/>
        <v>59</v>
      </c>
      <c r="J2656" t="str">
        <f t="shared" ca="1" si="165"/>
        <v>50-59</v>
      </c>
      <c r="K2656">
        <v>56557.69</v>
      </c>
      <c r="L2656" t="str">
        <f>IF(Workforce[[#This Row],[Salary]]&lt;50000,"30k-49k",IF(Workforce[[#This Row],[Salary]]&lt;70000,"50k-69k",IF(Workforce[[#This Row],[Salary]]&lt;90000,"70k-89k","90k+")))</f>
        <v>50k-69k</v>
      </c>
      <c r="M2656" t="s">
        <v>18131</v>
      </c>
      <c r="N2656">
        <f t="shared" ca="1" si="166"/>
        <v>4</v>
      </c>
      <c r="O2656" t="str">
        <f t="shared" ca="1" si="167"/>
        <v>Intermediate level</v>
      </c>
    </row>
    <row r="2657" spans="1:15" x14ac:dyDescent="0.3">
      <c r="A2657" t="s">
        <v>18132</v>
      </c>
      <c r="B2657" t="s">
        <v>18133</v>
      </c>
      <c r="C2657" t="s">
        <v>1004</v>
      </c>
      <c r="D2657" t="s">
        <v>18134</v>
      </c>
      <c r="E2657" t="s">
        <v>18135</v>
      </c>
      <c r="F2657" t="s">
        <v>6448</v>
      </c>
      <c r="G2657" t="s">
        <v>18136</v>
      </c>
      <c r="H2657" t="s">
        <v>18137</v>
      </c>
      <c r="I2657">
        <f t="shared" ca="1" si="164"/>
        <v>53</v>
      </c>
      <c r="J2657" t="str">
        <f t="shared" ca="1" si="165"/>
        <v>50-59</v>
      </c>
      <c r="K2657">
        <v>92007.38</v>
      </c>
      <c r="L2657" t="str">
        <f>IF(Workforce[[#This Row],[Salary]]&lt;50000,"30k-49k",IF(Workforce[[#This Row],[Salary]]&lt;70000,"50k-69k",IF(Workforce[[#This Row],[Salary]]&lt;90000,"70k-89k","90k+")))</f>
        <v>90k+</v>
      </c>
      <c r="M2657" t="s">
        <v>5962</v>
      </c>
      <c r="N2657">
        <f t="shared" ca="1" si="166"/>
        <v>9</v>
      </c>
      <c r="O2657" t="str">
        <f t="shared" ca="1" si="167"/>
        <v>Senior level</v>
      </c>
    </row>
    <row r="2658" spans="1:15" x14ac:dyDescent="0.3">
      <c r="A2658" t="s">
        <v>18138</v>
      </c>
      <c r="B2658" t="s">
        <v>18139</v>
      </c>
      <c r="C2658" t="s">
        <v>284</v>
      </c>
      <c r="D2658" t="s">
        <v>18140</v>
      </c>
      <c r="E2658" t="s">
        <v>18141</v>
      </c>
      <c r="F2658" t="s">
        <v>1265</v>
      </c>
      <c r="G2658" t="s">
        <v>18142</v>
      </c>
      <c r="H2658" t="s">
        <v>18143</v>
      </c>
      <c r="I2658">
        <f t="shared" ca="1" si="164"/>
        <v>37</v>
      </c>
      <c r="J2658" t="str">
        <f t="shared" ca="1" si="165"/>
        <v>30-39</v>
      </c>
      <c r="K2658">
        <v>48817.87</v>
      </c>
      <c r="L2658" t="str">
        <f>IF(Workforce[[#This Row],[Salary]]&lt;50000,"30k-49k",IF(Workforce[[#This Row],[Salary]]&lt;70000,"50k-69k",IF(Workforce[[#This Row],[Salary]]&lt;90000,"70k-89k","90k+")))</f>
        <v>30k-49k</v>
      </c>
      <c r="M2658" t="s">
        <v>18144</v>
      </c>
      <c r="N2658">
        <f t="shared" ca="1" si="166"/>
        <v>3</v>
      </c>
      <c r="O2658" t="str">
        <f t="shared" ca="1" si="167"/>
        <v>Intermediate level</v>
      </c>
    </row>
    <row r="2659" spans="1:15" x14ac:dyDescent="0.3">
      <c r="A2659" t="s">
        <v>18145</v>
      </c>
      <c r="B2659" t="s">
        <v>18146</v>
      </c>
      <c r="C2659" t="s">
        <v>231</v>
      </c>
      <c r="D2659" t="s">
        <v>18147</v>
      </c>
      <c r="E2659" t="s">
        <v>18148</v>
      </c>
      <c r="F2659" t="s">
        <v>2482</v>
      </c>
      <c r="G2659" t="s">
        <v>18149</v>
      </c>
      <c r="H2659" t="s">
        <v>18150</v>
      </c>
      <c r="I2659">
        <f t="shared" ca="1" si="164"/>
        <v>43</v>
      </c>
      <c r="J2659" t="str">
        <f t="shared" ca="1" si="165"/>
        <v>40-49</v>
      </c>
      <c r="K2659">
        <v>91442.94</v>
      </c>
      <c r="L2659" t="str">
        <f>IF(Workforce[[#This Row],[Salary]]&lt;50000,"30k-49k",IF(Workforce[[#This Row],[Salary]]&lt;70000,"50k-69k",IF(Workforce[[#This Row],[Salary]]&lt;90000,"70k-89k","90k+")))</f>
        <v>90k+</v>
      </c>
      <c r="M2659" t="s">
        <v>771</v>
      </c>
      <c r="N2659">
        <f t="shared" ca="1" si="166"/>
        <v>9</v>
      </c>
      <c r="O2659" t="str">
        <f t="shared" ca="1" si="167"/>
        <v>Senior level</v>
      </c>
    </row>
    <row r="2660" spans="1:15" x14ac:dyDescent="0.3">
      <c r="A2660" t="s">
        <v>18151</v>
      </c>
      <c r="B2660" t="s">
        <v>18152</v>
      </c>
      <c r="C2660" t="s">
        <v>178</v>
      </c>
      <c r="D2660" t="s">
        <v>18153</v>
      </c>
      <c r="E2660" t="s">
        <v>18154</v>
      </c>
      <c r="F2660" t="s">
        <v>10802</v>
      </c>
      <c r="G2660" t="s">
        <v>17279</v>
      </c>
      <c r="H2660" t="s">
        <v>18155</v>
      </c>
      <c r="I2660">
        <f t="shared" ca="1" si="164"/>
        <v>65</v>
      </c>
      <c r="J2660" t="str">
        <f t="shared" ca="1" si="165"/>
        <v>60+</v>
      </c>
      <c r="K2660">
        <v>48193.15</v>
      </c>
      <c r="L2660" t="str">
        <f>IF(Workforce[[#This Row],[Salary]]&lt;50000,"30k-49k",IF(Workforce[[#This Row],[Salary]]&lt;70000,"50k-69k",IF(Workforce[[#This Row],[Salary]]&lt;90000,"70k-89k","90k+")))</f>
        <v>30k-49k</v>
      </c>
      <c r="M2660" t="s">
        <v>4257</v>
      </c>
      <c r="N2660">
        <f t="shared" ca="1" si="166"/>
        <v>3</v>
      </c>
      <c r="O2660" t="str">
        <f t="shared" ca="1" si="167"/>
        <v>Intermediate level</v>
      </c>
    </row>
    <row r="2661" spans="1:15" x14ac:dyDescent="0.3">
      <c r="A2661" t="s">
        <v>18156</v>
      </c>
      <c r="B2661" t="s">
        <v>18157</v>
      </c>
      <c r="C2661" t="s">
        <v>539</v>
      </c>
      <c r="D2661" t="s">
        <v>18158</v>
      </c>
      <c r="E2661" t="s">
        <v>18159</v>
      </c>
      <c r="F2661" t="s">
        <v>3264</v>
      </c>
      <c r="G2661" t="s">
        <v>18160</v>
      </c>
      <c r="H2661" t="s">
        <v>18161</v>
      </c>
      <c r="I2661">
        <f t="shared" ca="1" si="164"/>
        <v>47</v>
      </c>
      <c r="J2661" t="str">
        <f t="shared" ca="1" si="165"/>
        <v>40-49</v>
      </c>
      <c r="K2661">
        <v>66127.34</v>
      </c>
      <c r="L2661" t="str">
        <f>IF(Workforce[[#This Row],[Salary]]&lt;50000,"30k-49k",IF(Workforce[[#This Row],[Salary]]&lt;70000,"50k-69k",IF(Workforce[[#This Row],[Salary]]&lt;90000,"70k-89k","90k+")))</f>
        <v>50k-69k</v>
      </c>
      <c r="M2661" t="s">
        <v>11935</v>
      </c>
      <c r="N2661">
        <f t="shared" ca="1" si="166"/>
        <v>1</v>
      </c>
      <c r="O2661" t="str">
        <f t="shared" ca="1" si="167"/>
        <v>Beginner</v>
      </c>
    </row>
    <row r="2662" spans="1:15" x14ac:dyDescent="0.3">
      <c r="A2662" t="s">
        <v>18162</v>
      </c>
      <c r="B2662" t="s">
        <v>18163</v>
      </c>
      <c r="C2662" t="s">
        <v>653</v>
      </c>
      <c r="D2662" t="s">
        <v>18164</v>
      </c>
      <c r="E2662" t="s">
        <v>18165</v>
      </c>
      <c r="F2662" t="s">
        <v>287</v>
      </c>
      <c r="G2662" t="s">
        <v>18166</v>
      </c>
      <c r="H2662" t="s">
        <v>8166</v>
      </c>
      <c r="I2662">
        <f t="shared" ca="1" si="164"/>
        <v>44</v>
      </c>
      <c r="J2662" t="str">
        <f t="shared" ca="1" si="165"/>
        <v>40-49</v>
      </c>
      <c r="K2662">
        <v>92805.63</v>
      </c>
      <c r="L2662" t="str">
        <f>IF(Workforce[[#This Row],[Salary]]&lt;50000,"30k-49k",IF(Workforce[[#This Row],[Salary]]&lt;70000,"50k-69k",IF(Workforce[[#This Row],[Salary]]&lt;90000,"70k-89k","90k+")))</f>
        <v>90k+</v>
      </c>
      <c r="M2662" t="s">
        <v>18167</v>
      </c>
      <c r="N2662">
        <f t="shared" ca="1" si="166"/>
        <v>1</v>
      </c>
      <c r="O2662" t="str">
        <f t="shared" ca="1" si="167"/>
        <v>Beginner</v>
      </c>
    </row>
    <row r="2663" spans="1:15" x14ac:dyDescent="0.3">
      <c r="A2663" t="s">
        <v>18168</v>
      </c>
      <c r="B2663" t="s">
        <v>18169</v>
      </c>
      <c r="C2663" t="s">
        <v>133</v>
      </c>
      <c r="D2663" t="s">
        <v>18170</v>
      </c>
      <c r="E2663" t="s">
        <v>18171</v>
      </c>
      <c r="F2663" t="s">
        <v>9543</v>
      </c>
      <c r="G2663" t="s">
        <v>18172</v>
      </c>
      <c r="H2663" t="s">
        <v>18173</v>
      </c>
      <c r="I2663">
        <f t="shared" ca="1" si="164"/>
        <v>57</v>
      </c>
      <c r="J2663" t="str">
        <f t="shared" ca="1" si="165"/>
        <v>50-59</v>
      </c>
      <c r="K2663">
        <v>48711.97</v>
      </c>
      <c r="L2663" t="str">
        <f>IF(Workforce[[#This Row],[Salary]]&lt;50000,"30k-49k",IF(Workforce[[#This Row],[Salary]]&lt;70000,"50k-69k",IF(Workforce[[#This Row],[Salary]]&lt;90000,"70k-89k","90k+")))</f>
        <v>30k-49k</v>
      </c>
      <c r="M2663" t="s">
        <v>18174</v>
      </c>
      <c r="N2663">
        <f t="shared" ca="1" si="166"/>
        <v>6</v>
      </c>
      <c r="O2663" t="str">
        <f t="shared" ca="1" si="167"/>
        <v>Intermediate level</v>
      </c>
    </row>
    <row r="2664" spans="1:15" x14ac:dyDescent="0.3">
      <c r="A2664" t="s">
        <v>18175</v>
      </c>
      <c r="B2664" t="s">
        <v>18176</v>
      </c>
      <c r="C2664" t="s">
        <v>317</v>
      </c>
      <c r="D2664" t="s">
        <v>18177</v>
      </c>
      <c r="E2664" t="s">
        <v>18178</v>
      </c>
      <c r="F2664" t="s">
        <v>2630</v>
      </c>
      <c r="G2664" t="s">
        <v>18179</v>
      </c>
      <c r="H2664" t="s">
        <v>18180</v>
      </c>
      <c r="I2664">
        <f t="shared" ca="1" si="164"/>
        <v>65</v>
      </c>
      <c r="J2664" t="str">
        <f t="shared" ca="1" si="165"/>
        <v>60+</v>
      </c>
      <c r="K2664">
        <v>45057.74</v>
      </c>
      <c r="L2664" t="str">
        <f>IF(Workforce[[#This Row],[Salary]]&lt;50000,"30k-49k",IF(Workforce[[#This Row],[Salary]]&lt;70000,"50k-69k",IF(Workforce[[#This Row],[Salary]]&lt;90000,"70k-89k","90k+")))</f>
        <v>30k-49k</v>
      </c>
      <c r="M2664" t="s">
        <v>2726</v>
      </c>
      <c r="N2664">
        <f t="shared" ca="1" si="166"/>
        <v>10</v>
      </c>
      <c r="O2664" t="str">
        <f t="shared" ca="1" si="167"/>
        <v>Senior level</v>
      </c>
    </row>
    <row r="2665" spans="1:15" x14ac:dyDescent="0.3">
      <c r="A2665" t="s">
        <v>18181</v>
      </c>
      <c r="B2665" t="s">
        <v>18182</v>
      </c>
      <c r="C2665" t="s">
        <v>213</v>
      </c>
      <c r="D2665" t="s">
        <v>18183</v>
      </c>
      <c r="E2665" t="s">
        <v>18184</v>
      </c>
      <c r="F2665" t="s">
        <v>11273</v>
      </c>
      <c r="G2665" t="s">
        <v>18185</v>
      </c>
      <c r="H2665" t="s">
        <v>18186</v>
      </c>
      <c r="I2665">
        <f t="shared" ca="1" si="164"/>
        <v>40</v>
      </c>
      <c r="J2665" t="str">
        <f t="shared" ca="1" si="165"/>
        <v>40-49</v>
      </c>
      <c r="K2665">
        <v>32618.59</v>
      </c>
      <c r="L2665" t="str">
        <f>IF(Workforce[[#This Row],[Salary]]&lt;50000,"30k-49k",IF(Workforce[[#This Row],[Salary]]&lt;70000,"50k-69k",IF(Workforce[[#This Row],[Salary]]&lt;90000,"70k-89k","90k+")))</f>
        <v>30k-49k</v>
      </c>
      <c r="M2665" t="s">
        <v>2648</v>
      </c>
      <c r="N2665">
        <f t="shared" ca="1" si="166"/>
        <v>5</v>
      </c>
      <c r="O2665" t="str">
        <f t="shared" ca="1" si="167"/>
        <v>Intermediate level</v>
      </c>
    </row>
    <row r="2666" spans="1:15" x14ac:dyDescent="0.3">
      <c r="A2666" t="s">
        <v>18187</v>
      </c>
      <c r="B2666" t="s">
        <v>18188</v>
      </c>
      <c r="C2666" t="s">
        <v>317</v>
      </c>
      <c r="D2666" t="s">
        <v>18189</v>
      </c>
      <c r="E2666" t="s">
        <v>18190</v>
      </c>
      <c r="F2666" t="s">
        <v>82</v>
      </c>
      <c r="G2666" t="s">
        <v>18191</v>
      </c>
      <c r="H2666" t="s">
        <v>18192</v>
      </c>
      <c r="I2666">
        <f t="shared" ca="1" si="164"/>
        <v>43</v>
      </c>
      <c r="J2666" t="str">
        <f t="shared" ca="1" si="165"/>
        <v>40-49</v>
      </c>
      <c r="K2666">
        <v>68966.22</v>
      </c>
      <c r="L2666" t="str">
        <f>IF(Workforce[[#This Row],[Salary]]&lt;50000,"30k-49k",IF(Workforce[[#This Row],[Salary]]&lt;70000,"50k-69k",IF(Workforce[[#This Row],[Salary]]&lt;90000,"70k-89k","90k+")))</f>
        <v>50k-69k</v>
      </c>
      <c r="M2666" t="s">
        <v>10335</v>
      </c>
      <c r="N2666">
        <f t="shared" ca="1" si="166"/>
        <v>4</v>
      </c>
      <c r="O2666" t="str">
        <f t="shared" ca="1" si="167"/>
        <v>Intermediate level</v>
      </c>
    </row>
    <row r="2667" spans="1:15" x14ac:dyDescent="0.3">
      <c r="A2667" t="s">
        <v>18193</v>
      </c>
      <c r="B2667" t="s">
        <v>18194</v>
      </c>
      <c r="C2667" t="s">
        <v>79</v>
      </c>
      <c r="D2667" t="s">
        <v>18195</v>
      </c>
      <c r="E2667" t="s">
        <v>18196</v>
      </c>
      <c r="F2667" t="s">
        <v>5516</v>
      </c>
      <c r="G2667" t="s">
        <v>18197</v>
      </c>
      <c r="H2667" t="s">
        <v>18198</v>
      </c>
      <c r="I2667">
        <f t="shared" ca="1" si="164"/>
        <v>38</v>
      </c>
      <c r="J2667" t="str">
        <f t="shared" ca="1" si="165"/>
        <v>30-39</v>
      </c>
      <c r="K2667">
        <v>37316.81</v>
      </c>
      <c r="L2667" t="str">
        <f>IF(Workforce[[#This Row],[Salary]]&lt;50000,"30k-49k",IF(Workforce[[#This Row],[Salary]]&lt;70000,"50k-69k",IF(Workforce[[#This Row],[Salary]]&lt;90000,"70k-89k","90k+")))</f>
        <v>30k-49k</v>
      </c>
      <c r="M2667" t="s">
        <v>18199</v>
      </c>
      <c r="N2667">
        <f t="shared" ca="1" si="166"/>
        <v>5</v>
      </c>
      <c r="O2667" t="str">
        <f t="shared" ca="1" si="167"/>
        <v>Intermediate level</v>
      </c>
    </row>
    <row r="2668" spans="1:15" x14ac:dyDescent="0.3">
      <c r="A2668" t="s">
        <v>18200</v>
      </c>
      <c r="B2668" t="s">
        <v>18201</v>
      </c>
      <c r="C2668" t="s">
        <v>539</v>
      </c>
      <c r="D2668" t="s">
        <v>18202</v>
      </c>
      <c r="E2668" t="s">
        <v>18203</v>
      </c>
      <c r="F2668" t="s">
        <v>5910</v>
      </c>
      <c r="G2668" t="s">
        <v>18204</v>
      </c>
      <c r="H2668" t="s">
        <v>18205</v>
      </c>
      <c r="I2668">
        <f t="shared" ca="1" si="164"/>
        <v>47</v>
      </c>
      <c r="J2668" t="str">
        <f t="shared" ca="1" si="165"/>
        <v>40-49</v>
      </c>
      <c r="K2668">
        <v>32967.949999999997</v>
      </c>
      <c r="L2668" t="str">
        <f>IF(Workforce[[#This Row],[Salary]]&lt;50000,"30k-49k",IF(Workforce[[#This Row],[Salary]]&lt;70000,"50k-69k",IF(Workforce[[#This Row],[Salary]]&lt;90000,"70k-89k","90k+")))</f>
        <v>30k-49k</v>
      </c>
      <c r="M2668" t="s">
        <v>5077</v>
      </c>
      <c r="N2668">
        <f t="shared" ca="1" si="166"/>
        <v>10</v>
      </c>
      <c r="O2668" t="str">
        <f t="shared" ca="1" si="167"/>
        <v>Senior level</v>
      </c>
    </row>
    <row r="2669" spans="1:15" x14ac:dyDescent="0.3">
      <c r="A2669" t="s">
        <v>6271</v>
      </c>
      <c r="B2669" t="s">
        <v>18206</v>
      </c>
      <c r="C2669" t="s">
        <v>115</v>
      </c>
      <c r="D2669" t="s">
        <v>18207</v>
      </c>
      <c r="E2669" t="s">
        <v>18208</v>
      </c>
      <c r="F2669" t="s">
        <v>3345</v>
      </c>
      <c r="G2669" t="s">
        <v>14690</v>
      </c>
      <c r="H2669" t="s">
        <v>18209</v>
      </c>
      <c r="I2669">
        <f t="shared" ca="1" si="164"/>
        <v>39</v>
      </c>
      <c r="J2669" t="str">
        <f t="shared" ca="1" si="165"/>
        <v>30-39</v>
      </c>
      <c r="K2669">
        <v>73672.149999999994</v>
      </c>
      <c r="L2669" t="str">
        <f>IF(Workforce[[#This Row],[Salary]]&lt;50000,"30k-49k",IF(Workforce[[#This Row],[Salary]]&lt;70000,"50k-69k",IF(Workforce[[#This Row],[Salary]]&lt;90000,"70k-89k","90k+")))</f>
        <v>70k-89k</v>
      </c>
      <c r="M2669" t="s">
        <v>18210</v>
      </c>
      <c r="N2669">
        <f t="shared" ca="1" si="166"/>
        <v>6</v>
      </c>
      <c r="O2669" t="str">
        <f t="shared" ca="1" si="167"/>
        <v>Intermediate level</v>
      </c>
    </row>
    <row r="2670" spans="1:15" x14ac:dyDescent="0.3">
      <c r="A2670" t="s">
        <v>18211</v>
      </c>
      <c r="B2670" t="s">
        <v>18212</v>
      </c>
      <c r="C2670" t="s">
        <v>88</v>
      </c>
      <c r="D2670" t="s">
        <v>18213</v>
      </c>
      <c r="E2670" t="s">
        <v>18214</v>
      </c>
      <c r="F2670" t="s">
        <v>1757</v>
      </c>
      <c r="G2670" t="s">
        <v>6640</v>
      </c>
      <c r="H2670" t="s">
        <v>18215</v>
      </c>
      <c r="I2670">
        <f t="shared" ca="1" si="164"/>
        <v>65</v>
      </c>
      <c r="J2670" t="str">
        <f t="shared" ca="1" si="165"/>
        <v>60+</v>
      </c>
      <c r="K2670">
        <v>61404.66</v>
      </c>
      <c r="L2670" t="str">
        <f>IF(Workforce[[#This Row],[Salary]]&lt;50000,"30k-49k",IF(Workforce[[#This Row],[Salary]]&lt;70000,"50k-69k",IF(Workforce[[#This Row],[Salary]]&lt;90000,"70k-89k","90k+")))</f>
        <v>50k-69k</v>
      </c>
      <c r="M2670" t="s">
        <v>10395</v>
      </c>
      <c r="N2670">
        <f t="shared" ca="1" si="166"/>
        <v>3</v>
      </c>
      <c r="O2670" t="str">
        <f t="shared" ca="1" si="167"/>
        <v>Intermediate level</v>
      </c>
    </row>
    <row r="2671" spans="1:15" x14ac:dyDescent="0.3">
      <c r="A2671" t="s">
        <v>18216</v>
      </c>
      <c r="B2671" t="s">
        <v>18217</v>
      </c>
      <c r="C2671" t="s">
        <v>266</v>
      </c>
      <c r="D2671" t="s">
        <v>18218</v>
      </c>
      <c r="E2671" t="s">
        <v>18219</v>
      </c>
      <c r="F2671" t="s">
        <v>2840</v>
      </c>
      <c r="G2671" t="s">
        <v>18220</v>
      </c>
      <c r="H2671" t="s">
        <v>18221</v>
      </c>
      <c r="I2671">
        <f t="shared" ca="1" si="164"/>
        <v>48</v>
      </c>
      <c r="J2671" t="str">
        <f t="shared" ca="1" si="165"/>
        <v>40-49</v>
      </c>
      <c r="K2671">
        <v>100636.56</v>
      </c>
      <c r="L2671" t="str">
        <f>IF(Workforce[[#This Row],[Salary]]&lt;50000,"30k-49k",IF(Workforce[[#This Row],[Salary]]&lt;70000,"50k-69k",IF(Workforce[[#This Row],[Salary]]&lt;90000,"70k-89k","90k+")))</f>
        <v>90k+</v>
      </c>
      <c r="M2671" t="s">
        <v>12759</v>
      </c>
      <c r="N2671">
        <f t="shared" ca="1" si="166"/>
        <v>1</v>
      </c>
      <c r="O2671" t="str">
        <f t="shared" ca="1" si="167"/>
        <v>Beginner</v>
      </c>
    </row>
    <row r="2672" spans="1:15" x14ac:dyDescent="0.3">
      <c r="A2672" t="s">
        <v>18222</v>
      </c>
      <c r="B2672" t="s">
        <v>18223</v>
      </c>
      <c r="C2672" t="s">
        <v>178</v>
      </c>
      <c r="D2672" t="s">
        <v>18224</v>
      </c>
      <c r="E2672" t="s">
        <v>18225</v>
      </c>
      <c r="F2672" t="s">
        <v>136</v>
      </c>
      <c r="G2672" t="s">
        <v>18226</v>
      </c>
      <c r="H2672" t="s">
        <v>18227</v>
      </c>
      <c r="I2672">
        <f t="shared" ca="1" si="164"/>
        <v>28</v>
      </c>
      <c r="J2672" t="str">
        <f t="shared" ca="1" si="165"/>
        <v>18-29</v>
      </c>
      <c r="K2672">
        <v>73197.399999999994</v>
      </c>
      <c r="L2672" t="str">
        <f>IF(Workforce[[#This Row],[Salary]]&lt;50000,"30k-49k",IF(Workforce[[#This Row],[Salary]]&lt;70000,"50k-69k",IF(Workforce[[#This Row],[Salary]]&lt;90000,"70k-89k","90k+")))</f>
        <v>70k-89k</v>
      </c>
      <c r="M2672" t="s">
        <v>18228</v>
      </c>
      <c r="N2672">
        <f t="shared" ca="1" si="166"/>
        <v>8</v>
      </c>
      <c r="O2672" t="str">
        <f t="shared" ca="1" si="167"/>
        <v>Senior level</v>
      </c>
    </row>
    <row r="2673" spans="1:15" x14ac:dyDescent="0.3">
      <c r="A2673" t="s">
        <v>18229</v>
      </c>
      <c r="B2673" t="s">
        <v>18230</v>
      </c>
      <c r="C2673" t="s">
        <v>604</v>
      </c>
      <c r="D2673" t="s">
        <v>18231</v>
      </c>
      <c r="E2673" t="s">
        <v>18232</v>
      </c>
      <c r="F2673" t="s">
        <v>5243</v>
      </c>
      <c r="G2673" t="s">
        <v>18233</v>
      </c>
      <c r="H2673" t="s">
        <v>18234</v>
      </c>
      <c r="I2673">
        <f t="shared" ca="1" si="164"/>
        <v>61</v>
      </c>
      <c r="J2673" t="str">
        <f t="shared" ca="1" si="165"/>
        <v>60+</v>
      </c>
      <c r="K2673">
        <v>115421.17</v>
      </c>
      <c r="L2673" t="str">
        <f>IF(Workforce[[#This Row],[Salary]]&lt;50000,"30k-49k",IF(Workforce[[#This Row],[Salary]]&lt;70000,"50k-69k",IF(Workforce[[#This Row],[Salary]]&lt;90000,"70k-89k","90k+")))</f>
        <v>90k+</v>
      </c>
      <c r="M2673" t="s">
        <v>18235</v>
      </c>
      <c r="N2673">
        <f t="shared" ca="1" si="166"/>
        <v>1</v>
      </c>
      <c r="O2673" t="str">
        <f t="shared" ca="1" si="167"/>
        <v>Beginner</v>
      </c>
    </row>
    <row r="2674" spans="1:15" x14ac:dyDescent="0.3">
      <c r="A2674" t="s">
        <v>18236</v>
      </c>
      <c r="B2674" t="s">
        <v>18237</v>
      </c>
      <c r="C2674" t="s">
        <v>653</v>
      </c>
      <c r="D2674" t="s">
        <v>18238</v>
      </c>
      <c r="E2674" t="s">
        <v>18239</v>
      </c>
      <c r="F2674" t="s">
        <v>3986</v>
      </c>
      <c r="G2674" t="s">
        <v>18240</v>
      </c>
      <c r="H2674" t="s">
        <v>10711</v>
      </c>
      <c r="I2674">
        <f t="shared" ca="1" si="164"/>
        <v>42</v>
      </c>
      <c r="J2674" t="str">
        <f t="shared" ca="1" si="165"/>
        <v>40-49</v>
      </c>
      <c r="K2674">
        <v>87800.4</v>
      </c>
      <c r="L2674" t="str">
        <f>IF(Workforce[[#This Row],[Salary]]&lt;50000,"30k-49k",IF(Workforce[[#This Row],[Salary]]&lt;70000,"50k-69k",IF(Workforce[[#This Row],[Salary]]&lt;90000,"70k-89k","90k+")))</f>
        <v>70k-89k</v>
      </c>
      <c r="M2674" t="s">
        <v>18241</v>
      </c>
      <c r="N2674">
        <f t="shared" ca="1" si="166"/>
        <v>6</v>
      </c>
      <c r="O2674" t="str">
        <f t="shared" ca="1" si="167"/>
        <v>Intermediate level</v>
      </c>
    </row>
    <row r="2675" spans="1:15" x14ac:dyDescent="0.3">
      <c r="A2675" t="s">
        <v>18242</v>
      </c>
      <c r="B2675" t="s">
        <v>18243</v>
      </c>
      <c r="C2675" t="s">
        <v>844</v>
      </c>
      <c r="D2675" t="s">
        <v>18244</v>
      </c>
      <c r="E2675" t="s">
        <v>18245</v>
      </c>
      <c r="F2675" t="s">
        <v>7210</v>
      </c>
      <c r="G2675" t="s">
        <v>18246</v>
      </c>
      <c r="H2675" t="s">
        <v>18247</v>
      </c>
      <c r="I2675">
        <f t="shared" ca="1" si="164"/>
        <v>56</v>
      </c>
      <c r="J2675" t="str">
        <f t="shared" ca="1" si="165"/>
        <v>50-59</v>
      </c>
      <c r="K2675">
        <v>97167.12</v>
      </c>
      <c r="L2675" t="str">
        <f>IF(Workforce[[#This Row],[Salary]]&lt;50000,"30k-49k",IF(Workforce[[#This Row],[Salary]]&lt;70000,"50k-69k",IF(Workforce[[#This Row],[Salary]]&lt;90000,"70k-89k","90k+")))</f>
        <v>90k+</v>
      </c>
      <c r="M2675" t="s">
        <v>1652</v>
      </c>
      <c r="N2675">
        <f t="shared" ca="1" si="166"/>
        <v>7</v>
      </c>
      <c r="O2675" t="str">
        <f t="shared" ca="1" si="167"/>
        <v>Senior level</v>
      </c>
    </row>
    <row r="2676" spans="1:15" x14ac:dyDescent="0.3">
      <c r="A2676" t="s">
        <v>18248</v>
      </c>
      <c r="B2676" t="s">
        <v>18249</v>
      </c>
      <c r="C2676" t="s">
        <v>79</v>
      </c>
      <c r="D2676" t="s">
        <v>18250</v>
      </c>
      <c r="E2676" t="s">
        <v>18251</v>
      </c>
      <c r="F2676" t="s">
        <v>542</v>
      </c>
      <c r="G2676" t="s">
        <v>18252</v>
      </c>
      <c r="H2676" t="s">
        <v>15405</v>
      </c>
      <c r="I2676">
        <f t="shared" ca="1" si="164"/>
        <v>45</v>
      </c>
      <c r="J2676" t="str">
        <f t="shared" ca="1" si="165"/>
        <v>40-49</v>
      </c>
      <c r="K2676">
        <v>78153.09</v>
      </c>
      <c r="L2676" t="str">
        <f>IF(Workforce[[#This Row],[Salary]]&lt;50000,"30k-49k",IF(Workforce[[#This Row],[Salary]]&lt;70000,"50k-69k",IF(Workforce[[#This Row],[Salary]]&lt;90000,"70k-89k","90k+")))</f>
        <v>70k-89k</v>
      </c>
      <c r="M2676" t="s">
        <v>18253</v>
      </c>
      <c r="N2676">
        <f t="shared" ca="1" si="166"/>
        <v>8</v>
      </c>
      <c r="O2676" t="str">
        <f t="shared" ca="1" si="167"/>
        <v>Senior level</v>
      </c>
    </row>
    <row r="2677" spans="1:15" x14ac:dyDescent="0.3">
      <c r="A2677" t="s">
        <v>18254</v>
      </c>
      <c r="B2677" t="s">
        <v>18255</v>
      </c>
      <c r="C2677" t="s">
        <v>257</v>
      </c>
      <c r="D2677" t="s">
        <v>18256</v>
      </c>
      <c r="E2677" t="s">
        <v>18257</v>
      </c>
      <c r="F2677" t="s">
        <v>5792</v>
      </c>
      <c r="G2677" t="s">
        <v>18258</v>
      </c>
      <c r="H2677" t="s">
        <v>18259</v>
      </c>
      <c r="I2677">
        <f t="shared" ca="1" si="164"/>
        <v>21</v>
      </c>
      <c r="J2677" t="str">
        <f t="shared" ca="1" si="165"/>
        <v>18-29</v>
      </c>
      <c r="K2677">
        <v>117783.08</v>
      </c>
      <c r="L2677" t="str">
        <f>IF(Workforce[[#This Row],[Salary]]&lt;50000,"30k-49k",IF(Workforce[[#This Row],[Salary]]&lt;70000,"50k-69k",IF(Workforce[[#This Row],[Salary]]&lt;90000,"70k-89k","90k+")))</f>
        <v>90k+</v>
      </c>
      <c r="M2677" t="s">
        <v>18260</v>
      </c>
      <c r="N2677">
        <f t="shared" ca="1" si="166"/>
        <v>7</v>
      </c>
      <c r="O2677" t="str">
        <f t="shared" ca="1" si="167"/>
        <v>Senior level</v>
      </c>
    </row>
    <row r="2678" spans="1:15" x14ac:dyDescent="0.3">
      <c r="A2678" t="s">
        <v>18261</v>
      </c>
      <c r="B2678" t="s">
        <v>18262</v>
      </c>
      <c r="C2678" t="s">
        <v>653</v>
      </c>
      <c r="D2678" t="s">
        <v>18263</v>
      </c>
      <c r="E2678" t="s">
        <v>18264</v>
      </c>
      <c r="F2678" t="s">
        <v>1726</v>
      </c>
      <c r="G2678" t="s">
        <v>18265</v>
      </c>
      <c r="H2678" t="s">
        <v>2196</v>
      </c>
      <c r="I2678">
        <f t="shared" ca="1" si="164"/>
        <v>49</v>
      </c>
      <c r="J2678" t="str">
        <f t="shared" ca="1" si="165"/>
        <v>40-49</v>
      </c>
      <c r="K2678">
        <v>104224.22</v>
      </c>
      <c r="L2678" t="str">
        <f>IF(Workforce[[#This Row],[Salary]]&lt;50000,"30k-49k",IF(Workforce[[#This Row],[Salary]]&lt;70000,"50k-69k",IF(Workforce[[#This Row],[Salary]]&lt;90000,"70k-89k","90k+")))</f>
        <v>90k+</v>
      </c>
      <c r="M2678" t="s">
        <v>18266</v>
      </c>
      <c r="N2678">
        <f t="shared" ca="1" si="166"/>
        <v>5</v>
      </c>
      <c r="O2678" t="str">
        <f t="shared" ca="1" si="167"/>
        <v>Intermediate level</v>
      </c>
    </row>
    <row r="2679" spans="1:15" x14ac:dyDescent="0.3">
      <c r="A2679" t="s">
        <v>18267</v>
      </c>
      <c r="B2679" t="s">
        <v>18268</v>
      </c>
      <c r="C2679" t="s">
        <v>222</v>
      </c>
      <c r="D2679" t="s">
        <v>18269</v>
      </c>
      <c r="E2679" t="s">
        <v>18270</v>
      </c>
      <c r="F2679" t="s">
        <v>2117</v>
      </c>
      <c r="G2679" t="s">
        <v>15881</v>
      </c>
      <c r="H2679" t="s">
        <v>18271</v>
      </c>
      <c r="I2679">
        <f t="shared" ca="1" si="164"/>
        <v>51</v>
      </c>
      <c r="J2679" t="str">
        <f t="shared" ca="1" si="165"/>
        <v>50-59</v>
      </c>
      <c r="K2679">
        <v>40279.11</v>
      </c>
      <c r="L2679" t="str">
        <f>IF(Workforce[[#This Row],[Salary]]&lt;50000,"30k-49k",IF(Workforce[[#This Row],[Salary]]&lt;70000,"50k-69k",IF(Workforce[[#This Row],[Salary]]&lt;90000,"70k-89k","90k+")))</f>
        <v>30k-49k</v>
      </c>
      <c r="M2679" t="s">
        <v>18272</v>
      </c>
      <c r="N2679">
        <f t="shared" ca="1" si="166"/>
        <v>6</v>
      </c>
      <c r="O2679" t="str">
        <f t="shared" ca="1" si="167"/>
        <v>Intermediate level</v>
      </c>
    </row>
    <row r="2680" spans="1:15" x14ac:dyDescent="0.3">
      <c r="A2680" t="s">
        <v>18273</v>
      </c>
      <c r="B2680" t="s">
        <v>18274</v>
      </c>
      <c r="C2680" t="s">
        <v>351</v>
      </c>
      <c r="D2680" t="s">
        <v>18275</v>
      </c>
      <c r="E2680" t="s">
        <v>18276</v>
      </c>
      <c r="F2680" t="s">
        <v>3441</v>
      </c>
      <c r="G2680" t="s">
        <v>18277</v>
      </c>
      <c r="H2680" t="s">
        <v>18278</v>
      </c>
      <c r="I2680">
        <f t="shared" ca="1" si="164"/>
        <v>60</v>
      </c>
      <c r="J2680" t="str">
        <f t="shared" ca="1" si="165"/>
        <v>60+</v>
      </c>
      <c r="K2680">
        <v>36545.839999999997</v>
      </c>
      <c r="L2680" t="str">
        <f>IF(Workforce[[#This Row],[Salary]]&lt;50000,"30k-49k",IF(Workforce[[#This Row],[Salary]]&lt;70000,"50k-69k",IF(Workforce[[#This Row],[Salary]]&lt;90000,"70k-89k","90k+")))</f>
        <v>30k-49k</v>
      </c>
      <c r="M2680" t="s">
        <v>10859</v>
      </c>
      <c r="N2680">
        <f t="shared" ca="1" si="166"/>
        <v>4</v>
      </c>
      <c r="O2680" t="str">
        <f t="shared" ca="1" si="167"/>
        <v>Intermediate level</v>
      </c>
    </row>
    <row r="2681" spans="1:15" x14ac:dyDescent="0.3">
      <c r="A2681" t="s">
        <v>18279</v>
      </c>
      <c r="B2681" t="s">
        <v>18280</v>
      </c>
      <c r="C2681" t="s">
        <v>1043</v>
      </c>
      <c r="D2681" t="s">
        <v>18281</v>
      </c>
      <c r="E2681" t="s">
        <v>18282</v>
      </c>
      <c r="F2681" t="s">
        <v>5439</v>
      </c>
      <c r="G2681" t="s">
        <v>18283</v>
      </c>
      <c r="H2681" t="s">
        <v>5532</v>
      </c>
      <c r="I2681">
        <f t="shared" ca="1" si="164"/>
        <v>53</v>
      </c>
      <c r="J2681" t="str">
        <f t="shared" ca="1" si="165"/>
        <v>50-59</v>
      </c>
      <c r="K2681">
        <v>64580.5</v>
      </c>
      <c r="L2681" t="str">
        <f>IF(Workforce[[#This Row],[Salary]]&lt;50000,"30k-49k",IF(Workforce[[#This Row],[Salary]]&lt;70000,"50k-69k",IF(Workforce[[#This Row],[Salary]]&lt;90000,"70k-89k","90k+")))</f>
        <v>50k-69k</v>
      </c>
      <c r="M2681" t="s">
        <v>5526</v>
      </c>
      <c r="N2681">
        <f t="shared" ca="1" si="166"/>
        <v>7</v>
      </c>
      <c r="O2681" t="str">
        <f t="shared" ca="1" si="167"/>
        <v>Senior level</v>
      </c>
    </row>
    <row r="2682" spans="1:15" x14ac:dyDescent="0.3">
      <c r="A2682" t="s">
        <v>18284</v>
      </c>
      <c r="B2682" t="s">
        <v>18285</v>
      </c>
      <c r="C2682" t="s">
        <v>275</v>
      </c>
      <c r="D2682" t="s">
        <v>18286</v>
      </c>
      <c r="E2682" t="s">
        <v>18287</v>
      </c>
      <c r="F2682" t="s">
        <v>9598</v>
      </c>
      <c r="G2682" t="s">
        <v>18288</v>
      </c>
      <c r="H2682" t="s">
        <v>18289</v>
      </c>
      <c r="I2682">
        <f t="shared" ca="1" si="164"/>
        <v>28</v>
      </c>
      <c r="J2682" t="str">
        <f t="shared" ca="1" si="165"/>
        <v>18-29</v>
      </c>
      <c r="K2682">
        <v>74665.8</v>
      </c>
      <c r="L2682" t="str">
        <f>IF(Workforce[[#This Row],[Salary]]&lt;50000,"30k-49k",IF(Workforce[[#This Row],[Salary]]&lt;70000,"50k-69k",IF(Workforce[[#This Row],[Salary]]&lt;90000,"70k-89k","90k+")))</f>
        <v>70k-89k</v>
      </c>
      <c r="M2682" t="s">
        <v>11757</v>
      </c>
      <c r="N2682">
        <f t="shared" ca="1" si="166"/>
        <v>4</v>
      </c>
      <c r="O2682" t="str">
        <f t="shared" ca="1" si="167"/>
        <v>Intermediate level</v>
      </c>
    </row>
    <row r="2683" spans="1:15" x14ac:dyDescent="0.3">
      <c r="A2683" t="s">
        <v>18290</v>
      </c>
      <c r="B2683" t="s">
        <v>18291</v>
      </c>
      <c r="C2683" t="s">
        <v>70</v>
      </c>
      <c r="D2683" t="s">
        <v>18292</v>
      </c>
      <c r="E2683" t="s">
        <v>18293</v>
      </c>
      <c r="F2683" t="s">
        <v>10306</v>
      </c>
      <c r="G2683" t="s">
        <v>18294</v>
      </c>
      <c r="H2683" t="s">
        <v>18295</v>
      </c>
      <c r="I2683">
        <f t="shared" ca="1" si="164"/>
        <v>30</v>
      </c>
      <c r="J2683" t="str">
        <f t="shared" ca="1" si="165"/>
        <v>30-39</v>
      </c>
      <c r="K2683">
        <v>62119.519999999997</v>
      </c>
      <c r="L2683" t="str">
        <f>IF(Workforce[[#This Row],[Salary]]&lt;50000,"30k-49k",IF(Workforce[[#This Row],[Salary]]&lt;70000,"50k-69k",IF(Workforce[[#This Row],[Salary]]&lt;90000,"70k-89k","90k+")))</f>
        <v>50k-69k</v>
      </c>
      <c r="M2683" t="s">
        <v>18296</v>
      </c>
      <c r="N2683">
        <f t="shared" ca="1" si="166"/>
        <v>2</v>
      </c>
      <c r="O2683" t="str">
        <f t="shared" ca="1" si="167"/>
        <v>Beginner</v>
      </c>
    </row>
    <row r="2684" spans="1:15" x14ac:dyDescent="0.3">
      <c r="A2684" t="s">
        <v>18297</v>
      </c>
      <c r="B2684" t="s">
        <v>18298</v>
      </c>
      <c r="C2684" t="s">
        <v>266</v>
      </c>
      <c r="D2684" t="s">
        <v>18299</v>
      </c>
      <c r="E2684" t="s">
        <v>18300</v>
      </c>
      <c r="F2684" t="s">
        <v>476</v>
      </c>
      <c r="G2684" t="s">
        <v>13863</v>
      </c>
      <c r="H2684" t="s">
        <v>18301</v>
      </c>
      <c r="I2684">
        <f t="shared" ca="1" si="164"/>
        <v>47</v>
      </c>
      <c r="J2684" t="str">
        <f t="shared" ca="1" si="165"/>
        <v>40-49</v>
      </c>
      <c r="K2684">
        <v>96535.99</v>
      </c>
      <c r="L2684" t="str">
        <f>IF(Workforce[[#This Row],[Salary]]&lt;50000,"30k-49k",IF(Workforce[[#This Row],[Salary]]&lt;70000,"50k-69k",IF(Workforce[[#This Row],[Salary]]&lt;90000,"70k-89k","90k+")))</f>
        <v>90k+</v>
      </c>
      <c r="M2684" t="s">
        <v>18302</v>
      </c>
      <c r="N2684">
        <f t="shared" ca="1" si="166"/>
        <v>7</v>
      </c>
      <c r="O2684" t="str">
        <f t="shared" ca="1" si="167"/>
        <v>Senior level</v>
      </c>
    </row>
    <row r="2685" spans="1:15" x14ac:dyDescent="0.3">
      <c r="A2685" t="s">
        <v>18303</v>
      </c>
      <c r="B2685" t="s">
        <v>18304</v>
      </c>
      <c r="C2685" t="s">
        <v>1004</v>
      </c>
      <c r="D2685" t="s">
        <v>18305</v>
      </c>
      <c r="E2685" t="s">
        <v>18306</v>
      </c>
      <c r="F2685" t="s">
        <v>3235</v>
      </c>
      <c r="G2685" t="s">
        <v>18060</v>
      </c>
      <c r="H2685" t="s">
        <v>18307</v>
      </c>
      <c r="I2685">
        <f t="shared" ca="1" si="164"/>
        <v>37</v>
      </c>
      <c r="J2685" t="str">
        <f t="shared" ca="1" si="165"/>
        <v>30-39</v>
      </c>
      <c r="K2685">
        <v>112247.35</v>
      </c>
      <c r="L2685" t="str">
        <f>IF(Workforce[[#This Row],[Salary]]&lt;50000,"30k-49k",IF(Workforce[[#This Row],[Salary]]&lt;70000,"50k-69k",IF(Workforce[[#This Row],[Salary]]&lt;90000,"70k-89k","90k+")))</f>
        <v>90k+</v>
      </c>
      <c r="M2685" t="s">
        <v>5625</v>
      </c>
      <c r="N2685">
        <f t="shared" ca="1" si="166"/>
        <v>7</v>
      </c>
      <c r="O2685" t="str">
        <f t="shared" ca="1" si="167"/>
        <v>Senior level</v>
      </c>
    </row>
    <row r="2686" spans="1:15" x14ac:dyDescent="0.3">
      <c r="A2686" t="s">
        <v>18308</v>
      </c>
      <c r="B2686" t="s">
        <v>18309</v>
      </c>
      <c r="C2686" t="s">
        <v>539</v>
      </c>
      <c r="D2686" t="s">
        <v>18310</v>
      </c>
      <c r="E2686" t="s">
        <v>18311</v>
      </c>
      <c r="F2686" t="s">
        <v>4313</v>
      </c>
      <c r="G2686" t="s">
        <v>18312</v>
      </c>
      <c r="H2686" t="s">
        <v>18313</v>
      </c>
      <c r="I2686">
        <f t="shared" ca="1" si="164"/>
        <v>33</v>
      </c>
      <c r="J2686" t="str">
        <f t="shared" ca="1" si="165"/>
        <v>30-39</v>
      </c>
      <c r="K2686">
        <v>50372.04</v>
      </c>
      <c r="L2686" t="str">
        <f>IF(Workforce[[#This Row],[Salary]]&lt;50000,"30k-49k",IF(Workforce[[#This Row],[Salary]]&lt;70000,"50k-69k",IF(Workforce[[#This Row],[Salary]]&lt;90000,"70k-89k","90k+")))</f>
        <v>50k-69k</v>
      </c>
      <c r="M2686" t="s">
        <v>5975</v>
      </c>
      <c r="N2686">
        <f t="shared" ca="1" si="166"/>
        <v>3</v>
      </c>
      <c r="O2686" t="str">
        <f t="shared" ca="1" si="167"/>
        <v>Intermediate level</v>
      </c>
    </row>
    <row r="2687" spans="1:15" x14ac:dyDescent="0.3">
      <c r="A2687" t="s">
        <v>18314</v>
      </c>
      <c r="B2687" t="s">
        <v>18315</v>
      </c>
      <c r="C2687" t="s">
        <v>757</v>
      </c>
      <c r="D2687" t="s">
        <v>18316</v>
      </c>
      <c r="E2687" t="s">
        <v>18317</v>
      </c>
      <c r="F2687" t="s">
        <v>855</v>
      </c>
      <c r="G2687" t="s">
        <v>18318</v>
      </c>
      <c r="H2687" t="s">
        <v>18319</v>
      </c>
      <c r="I2687">
        <f t="shared" ca="1" si="164"/>
        <v>48</v>
      </c>
      <c r="J2687" t="str">
        <f t="shared" ca="1" si="165"/>
        <v>40-49</v>
      </c>
      <c r="K2687">
        <v>63486.68</v>
      </c>
      <c r="L2687" t="str">
        <f>IF(Workforce[[#This Row],[Salary]]&lt;50000,"30k-49k",IF(Workforce[[#This Row],[Salary]]&lt;70000,"50k-69k",IF(Workforce[[#This Row],[Salary]]&lt;90000,"70k-89k","90k+")))</f>
        <v>50k-69k</v>
      </c>
      <c r="M2687" t="s">
        <v>18320</v>
      </c>
      <c r="N2687">
        <f t="shared" ca="1" si="166"/>
        <v>7</v>
      </c>
      <c r="O2687" t="str">
        <f t="shared" ca="1" si="167"/>
        <v>Senior level</v>
      </c>
    </row>
    <row r="2688" spans="1:15" x14ac:dyDescent="0.3">
      <c r="A2688" t="s">
        <v>18321</v>
      </c>
      <c r="B2688" t="s">
        <v>18322</v>
      </c>
      <c r="C2688" t="s">
        <v>604</v>
      </c>
      <c r="D2688" t="s">
        <v>18323</v>
      </c>
      <c r="E2688" t="s">
        <v>18324</v>
      </c>
      <c r="F2688" t="s">
        <v>8637</v>
      </c>
      <c r="G2688" t="s">
        <v>18325</v>
      </c>
      <c r="H2688" t="s">
        <v>18326</v>
      </c>
      <c r="I2688">
        <f t="shared" ca="1" si="164"/>
        <v>44</v>
      </c>
      <c r="J2688" t="str">
        <f t="shared" ca="1" si="165"/>
        <v>40-49</v>
      </c>
      <c r="K2688">
        <v>92093.53</v>
      </c>
      <c r="L2688" t="str">
        <f>IF(Workforce[[#This Row],[Salary]]&lt;50000,"30k-49k",IF(Workforce[[#This Row],[Salary]]&lt;70000,"50k-69k",IF(Workforce[[#This Row],[Salary]]&lt;90000,"70k-89k","90k+")))</f>
        <v>90k+</v>
      </c>
      <c r="M2688" t="s">
        <v>18327</v>
      </c>
      <c r="N2688">
        <f t="shared" ca="1" si="166"/>
        <v>2</v>
      </c>
      <c r="O2688" t="str">
        <f t="shared" ca="1" si="167"/>
        <v>Beginner</v>
      </c>
    </row>
    <row r="2689" spans="1:15" x14ac:dyDescent="0.3">
      <c r="A2689" t="s">
        <v>18328</v>
      </c>
      <c r="B2689" t="s">
        <v>18329</v>
      </c>
      <c r="C2689" t="s">
        <v>1223</v>
      </c>
      <c r="D2689" t="s">
        <v>18330</v>
      </c>
      <c r="E2689" t="s">
        <v>18331</v>
      </c>
      <c r="F2689" t="s">
        <v>17475</v>
      </c>
      <c r="G2689" t="s">
        <v>18332</v>
      </c>
      <c r="H2689" t="s">
        <v>18333</v>
      </c>
      <c r="I2689">
        <f t="shared" ca="1" si="164"/>
        <v>62</v>
      </c>
      <c r="J2689" t="str">
        <f t="shared" ca="1" si="165"/>
        <v>60+</v>
      </c>
      <c r="K2689">
        <v>112195.16</v>
      </c>
      <c r="L2689" t="str">
        <f>IF(Workforce[[#This Row],[Salary]]&lt;50000,"30k-49k",IF(Workforce[[#This Row],[Salary]]&lt;70000,"50k-69k",IF(Workforce[[#This Row],[Salary]]&lt;90000,"70k-89k","90k+")))</f>
        <v>90k+</v>
      </c>
      <c r="M2689" t="s">
        <v>18334</v>
      </c>
      <c r="N2689">
        <f t="shared" ca="1" si="166"/>
        <v>6</v>
      </c>
      <c r="O2689" t="str">
        <f t="shared" ca="1" si="167"/>
        <v>Intermediate level</v>
      </c>
    </row>
    <row r="2690" spans="1:15" x14ac:dyDescent="0.3">
      <c r="A2690" t="s">
        <v>18335</v>
      </c>
      <c r="B2690" t="s">
        <v>18336</v>
      </c>
      <c r="C2690" t="s">
        <v>222</v>
      </c>
      <c r="D2690" t="s">
        <v>18337</v>
      </c>
      <c r="E2690" t="s">
        <v>18338</v>
      </c>
      <c r="F2690" t="s">
        <v>6247</v>
      </c>
      <c r="G2690" t="s">
        <v>2873</v>
      </c>
      <c r="H2690" t="s">
        <v>18339</v>
      </c>
      <c r="I2690">
        <f t="shared" ref="I2690:I2753" ca="1" si="168">DATEDIF(H2690,TODAY(),"y")</f>
        <v>53</v>
      </c>
      <c r="J2690" t="str">
        <f t="shared" ref="J2690:J2753" ca="1" si="169">IF(I2690&lt;30,"18-29",IF(I2690&lt;40,"30-39",IF(I2690&lt;50,"40-49",IF(I2690&lt;60,"50-59","60+"))))</f>
        <v>50-59</v>
      </c>
      <c r="K2690">
        <v>89616.42</v>
      </c>
      <c r="L2690" t="str">
        <f>IF(Workforce[[#This Row],[Salary]]&lt;50000,"30k-49k",IF(Workforce[[#This Row],[Salary]]&lt;70000,"50k-69k",IF(Workforce[[#This Row],[Salary]]&lt;90000,"70k-89k","90k+")))</f>
        <v>70k-89k</v>
      </c>
      <c r="M2690" t="s">
        <v>18340</v>
      </c>
      <c r="N2690">
        <f t="shared" ref="N2690:N2753" ca="1" si="170">DATEDIF(M2690,TODAY(),"y")</f>
        <v>10</v>
      </c>
      <c r="O2690" t="str">
        <f t="shared" ref="O2690:O2753" ca="1" si="171">IF(N2690&lt;=2,"Beginner",IF(N2690&lt;=6,"Intermediate level","Senior level"))</f>
        <v>Senior level</v>
      </c>
    </row>
    <row r="2691" spans="1:15" x14ac:dyDescent="0.3">
      <c r="A2691" t="s">
        <v>18341</v>
      </c>
      <c r="B2691" t="s">
        <v>18342</v>
      </c>
      <c r="C2691" t="s">
        <v>1223</v>
      </c>
      <c r="D2691" t="s">
        <v>18343</v>
      </c>
      <c r="E2691" t="s">
        <v>18344</v>
      </c>
      <c r="F2691" t="s">
        <v>2623</v>
      </c>
      <c r="G2691" t="s">
        <v>18345</v>
      </c>
      <c r="H2691" t="s">
        <v>18346</v>
      </c>
      <c r="I2691">
        <f t="shared" ca="1" si="168"/>
        <v>57</v>
      </c>
      <c r="J2691" t="str">
        <f t="shared" ca="1" si="169"/>
        <v>50-59</v>
      </c>
      <c r="K2691">
        <v>33687.760000000002</v>
      </c>
      <c r="L2691" t="str">
        <f>IF(Workforce[[#This Row],[Salary]]&lt;50000,"30k-49k",IF(Workforce[[#This Row],[Salary]]&lt;70000,"50k-69k",IF(Workforce[[#This Row],[Salary]]&lt;90000,"70k-89k","90k+")))</f>
        <v>30k-49k</v>
      </c>
      <c r="M2691" t="s">
        <v>18347</v>
      </c>
      <c r="N2691">
        <f t="shared" ca="1" si="170"/>
        <v>1</v>
      </c>
      <c r="O2691" t="str">
        <f t="shared" ca="1" si="171"/>
        <v>Beginner</v>
      </c>
    </row>
    <row r="2692" spans="1:15" x14ac:dyDescent="0.3">
      <c r="A2692" t="s">
        <v>18348</v>
      </c>
      <c r="B2692" t="s">
        <v>18349</v>
      </c>
      <c r="C2692" t="s">
        <v>1004</v>
      </c>
      <c r="D2692" t="s">
        <v>18350</v>
      </c>
      <c r="E2692" t="s">
        <v>18351</v>
      </c>
      <c r="F2692" t="s">
        <v>11273</v>
      </c>
      <c r="G2692" t="s">
        <v>18352</v>
      </c>
      <c r="H2692" t="s">
        <v>9444</v>
      </c>
      <c r="I2692">
        <f t="shared" ca="1" si="168"/>
        <v>60</v>
      </c>
      <c r="J2692" t="str">
        <f t="shared" ca="1" si="169"/>
        <v>60+</v>
      </c>
      <c r="K2692">
        <v>110860.04</v>
      </c>
      <c r="L2692" t="str">
        <f>IF(Workforce[[#This Row],[Salary]]&lt;50000,"30k-49k",IF(Workforce[[#This Row],[Salary]]&lt;70000,"50k-69k",IF(Workforce[[#This Row],[Salary]]&lt;90000,"70k-89k","90k+")))</f>
        <v>90k+</v>
      </c>
      <c r="M2692" t="s">
        <v>18353</v>
      </c>
      <c r="N2692">
        <f t="shared" ca="1" si="170"/>
        <v>5</v>
      </c>
      <c r="O2692" t="str">
        <f t="shared" ca="1" si="171"/>
        <v>Intermediate level</v>
      </c>
    </row>
    <row r="2693" spans="1:15" x14ac:dyDescent="0.3">
      <c r="A2693" t="s">
        <v>18354</v>
      </c>
      <c r="B2693" t="s">
        <v>18355</v>
      </c>
      <c r="C2693" t="s">
        <v>1004</v>
      </c>
      <c r="D2693" t="s">
        <v>18356</v>
      </c>
      <c r="E2693" t="s">
        <v>18357</v>
      </c>
      <c r="F2693" t="s">
        <v>10284</v>
      </c>
      <c r="G2693" t="s">
        <v>18358</v>
      </c>
      <c r="H2693" t="s">
        <v>18359</v>
      </c>
      <c r="I2693">
        <f t="shared" ca="1" si="168"/>
        <v>55</v>
      </c>
      <c r="J2693" t="str">
        <f t="shared" ca="1" si="169"/>
        <v>50-59</v>
      </c>
      <c r="K2693">
        <v>83400.98</v>
      </c>
      <c r="L2693" t="str">
        <f>IF(Workforce[[#This Row],[Salary]]&lt;50000,"30k-49k",IF(Workforce[[#This Row],[Salary]]&lt;70000,"50k-69k",IF(Workforce[[#This Row],[Salary]]&lt;90000,"70k-89k","90k+")))</f>
        <v>70k-89k</v>
      </c>
      <c r="M2693" t="s">
        <v>9404</v>
      </c>
      <c r="N2693">
        <f t="shared" ca="1" si="170"/>
        <v>3</v>
      </c>
      <c r="O2693" t="str">
        <f t="shared" ca="1" si="171"/>
        <v>Intermediate level</v>
      </c>
    </row>
    <row r="2694" spans="1:15" x14ac:dyDescent="0.3">
      <c r="A2694" t="s">
        <v>18360</v>
      </c>
      <c r="B2694" t="s">
        <v>18361</v>
      </c>
      <c r="C2694" t="s">
        <v>275</v>
      </c>
      <c r="D2694" t="s">
        <v>18362</v>
      </c>
      <c r="E2694" t="s">
        <v>18363</v>
      </c>
      <c r="F2694" t="s">
        <v>550</v>
      </c>
      <c r="G2694" t="s">
        <v>18364</v>
      </c>
      <c r="H2694" t="s">
        <v>18365</v>
      </c>
      <c r="I2694">
        <f t="shared" ca="1" si="168"/>
        <v>39</v>
      </c>
      <c r="J2694" t="str">
        <f t="shared" ca="1" si="169"/>
        <v>30-39</v>
      </c>
      <c r="K2694">
        <v>74509.97</v>
      </c>
      <c r="L2694" t="str">
        <f>IF(Workforce[[#This Row],[Salary]]&lt;50000,"30k-49k",IF(Workforce[[#This Row],[Salary]]&lt;70000,"50k-69k",IF(Workforce[[#This Row],[Salary]]&lt;90000,"70k-89k","90k+")))</f>
        <v>70k-89k</v>
      </c>
      <c r="M2694" t="s">
        <v>18366</v>
      </c>
      <c r="N2694">
        <f t="shared" ca="1" si="170"/>
        <v>7</v>
      </c>
      <c r="O2694" t="str">
        <f t="shared" ca="1" si="171"/>
        <v>Senior level</v>
      </c>
    </row>
    <row r="2695" spans="1:15" x14ac:dyDescent="0.3">
      <c r="A2695" t="s">
        <v>18367</v>
      </c>
      <c r="B2695" t="s">
        <v>18368</v>
      </c>
      <c r="C2695" t="s">
        <v>88</v>
      </c>
      <c r="D2695" t="s">
        <v>18369</v>
      </c>
      <c r="E2695" t="s">
        <v>18370</v>
      </c>
      <c r="F2695" t="s">
        <v>2505</v>
      </c>
      <c r="G2695" t="s">
        <v>18371</v>
      </c>
      <c r="H2695" t="s">
        <v>18372</v>
      </c>
      <c r="I2695">
        <f t="shared" ca="1" si="168"/>
        <v>57</v>
      </c>
      <c r="J2695" t="str">
        <f t="shared" ca="1" si="169"/>
        <v>50-59</v>
      </c>
      <c r="K2695">
        <v>113374.02</v>
      </c>
      <c r="L2695" t="str">
        <f>IF(Workforce[[#This Row],[Salary]]&lt;50000,"30k-49k",IF(Workforce[[#This Row],[Salary]]&lt;70000,"50k-69k",IF(Workforce[[#This Row],[Salary]]&lt;90000,"70k-89k","90k+")))</f>
        <v>90k+</v>
      </c>
      <c r="M2695" t="s">
        <v>18373</v>
      </c>
      <c r="N2695">
        <f t="shared" ca="1" si="170"/>
        <v>1</v>
      </c>
      <c r="O2695" t="str">
        <f t="shared" ca="1" si="171"/>
        <v>Beginner</v>
      </c>
    </row>
    <row r="2696" spans="1:15" x14ac:dyDescent="0.3">
      <c r="A2696" t="s">
        <v>18374</v>
      </c>
      <c r="B2696" t="s">
        <v>18375</v>
      </c>
      <c r="C2696" t="s">
        <v>79</v>
      </c>
      <c r="D2696" t="s">
        <v>18376</v>
      </c>
      <c r="E2696" t="s">
        <v>18377</v>
      </c>
      <c r="F2696" t="s">
        <v>8351</v>
      </c>
      <c r="G2696" t="s">
        <v>18378</v>
      </c>
      <c r="H2696" t="s">
        <v>18379</v>
      </c>
      <c r="I2696">
        <f t="shared" ca="1" si="168"/>
        <v>32</v>
      </c>
      <c r="J2696" t="str">
        <f t="shared" ca="1" si="169"/>
        <v>30-39</v>
      </c>
      <c r="K2696">
        <v>68221.63</v>
      </c>
      <c r="L2696" t="str">
        <f>IF(Workforce[[#This Row],[Salary]]&lt;50000,"30k-49k",IF(Workforce[[#This Row],[Salary]]&lt;70000,"50k-69k",IF(Workforce[[#This Row],[Salary]]&lt;90000,"70k-89k","90k+")))</f>
        <v>50k-69k</v>
      </c>
      <c r="M2696" t="s">
        <v>15195</v>
      </c>
      <c r="N2696">
        <f t="shared" ca="1" si="170"/>
        <v>7</v>
      </c>
      <c r="O2696" t="str">
        <f t="shared" ca="1" si="171"/>
        <v>Senior level</v>
      </c>
    </row>
    <row r="2697" spans="1:15" x14ac:dyDescent="0.3">
      <c r="A2697" t="s">
        <v>18380</v>
      </c>
      <c r="B2697" t="s">
        <v>18381</v>
      </c>
      <c r="C2697" t="s">
        <v>70</v>
      </c>
      <c r="D2697" t="s">
        <v>18382</v>
      </c>
      <c r="E2697" t="s">
        <v>18383</v>
      </c>
      <c r="F2697" t="s">
        <v>710</v>
      </c>
      <c r="G2697" t="s">
        <v>18384</v>
      </c>
      <c r="H2697" t="s">
        <v>18385</v>
      </c>
      <c r="I2697">
        <f t="shared" ca="1" si="168"/>
        <v>26</v>
      </c>
      <c r="J2697" t="str">
        <f t="shared" ca="1" si="169"/>
        <v>18-29</v>
      </c>
      <c r="K2697">
        <v>79704.759999999995</v>
      </c>
      <c r="L2697" t="str">
        <f>IF(Workforce[[#This Row],[Salary]]&lt;50000,"30k-49k",IF(Workforce[[#This Row],[Salary]]&lt;70000,"50k-69k",IF(Workforce[[#This Row],[Salary]]&lt;90000,"70k-89k","90k+")))</f>
        <v>70k-89k</v>
      </c>
      <c r="M2697" t="s">
        <v>13653</v>
      </c>
      <c r="N2697">
        <f t="shared" ca="1" si="170"/>
        <v>6</v>
      </c>
      <c r="O2697" t="str">
        <f t="shared" ca="1" si="171"/>
        <v>Intermediate level</v>
      </c>
    </row>
    <row r="2698" spans="1:15" x14ac:dyDescent="0.3">
      <c r="A2698" t="s">
        <v>18386</v>
      </c>
      <c r="B2698" t="s">
        <v>18387</v>
      </c>
      <c r="C2698" t="s">
        <v>115</v>
      </c>
      <c r="D2698" t="s">
        <v>18388</v>
      </c>
      <c r="E2698" t="s">
        <v>18389</v>
      </c>
      <c r="F2698" t="s">
        <v>742</v>
      </c>
      <c r="G2698" t="s">
        <v>18390</v>
      </c>
      <c r="H2698" t="s">
        <v>18391</v>
      </c>
      <c r="I2698">
        <f t="shared" ca="1" si="168"/>
        <v>20</v>
      </c>
      <c r="J2698" t="str">
        <f t="shared" ca="1" si="169"/>
        <v>18-29</v>
      </c>
      <c r="K2698">
        <v>80190.92</v>
      </c>
      <c r="L2698" t="str">
        <f>IF(Workforce[[#This Row],[Salary]]&lt;50000,"30k-49k",IF(Workforce[[#This Row],[Salary]]&lt;70000,"50k-69k",IF(Workforce[[#This Row],[Salary]]&lt;90000,"70k-89k","90k+")))</f>
        <v>70k-89k</v>
      </c>
      <c r="M2698" t="s">
        <v>18392</v>
      </c>
      <c r="N2698">
        <f t="shared" ca="1" si="170"/>
        <v>5</v>
      </c>
      <c r="O2698" t="str">
        <f t="shared" ca="1" si="171"/>
        <v>Intermediate level</v>
      </c>
    </row>
    <row r="2699" spans="1:15" x14ac:dyDescent="0.3">
      <c r="A2699" t="s">
        <v>18393</v>
      </c>
      <c r="B2699" t="s">
        <v>18394</v>
      </c>
      <c r="C2699" t="s">
        <v>133</v>
      </c>
      <c r="D2699" t="s">
        <v>18395</v>
      </c>
      <c r="E2699" t="s">
        <v>18396</v>
      </c>
      <c r="F2699" t="s">
        <v>11463</v>
      </c>
      <c r="G2699" t="s">
        <v>9305</v>
      </c>
      <c r="H2699" t="s">
        <v>18397</v>
      </c>
      <c r="I2699">
        <f t="shared" ca="1" si="168"/>
        <v>56</v>
      </c>
      <c r="J2699" t="str">
        <f t="shared" ca="1" si="169"/>
        <v>50-59</v>
      </c>
      <c r="K2699">
        <v>98437</v>
      </c>
      <c r="L2699" t="str">
        <f>IF(Workforce[[#This Row],[Salary]]&lt;50000,"30k-49k",IF(Workforce[[#This Row],[Salary]]&lt;70000,"50k-69k",IF(Workforce[[#This Row],[Salary]]&lt;90000,"70k-89k","90k+")))</f>
        <v>90k+</v>
      </c>
      <c r="M2699" t="s">
        <v>16880</v>
      </c>
      <c r="N2699">
        <f t="shared" ca="1" si="170"/>
        <v>5</v>
      </c>
      <c r="O2699" t="str">
        <f t="shared" ca="1" si="171"/>
        <v>Intermediate level</v>
      </c>
    </row>
    <row r="2700" spans="1:15" x14ac:dyDescent="0.3">
      <c r="A2700" t="s">
        <v>18398</v>
      </c>
      <c r="B2700" t="s">
        <v>18399</v>
      </c>
      <c r="C2700" t="s">
        <v>580</v>
      </c>
      <c r="D2700" t="s">
        <v>18400</v>
      </c>
      <c r="E2700" t="s">
        <v>18401</v>
      </c>
      <c r="F2700" t="s">
        <v>10065</v>
      </c>
      <c r="G2700" t="s">
        <v>18402</v>
      </c>
      <c r="H2700" t="s">
        <v>18403</v>
      </c>
      <c r="I2700">
        <f t="shared" ca="1" si="168"/>
        <v>46</v>
      </c>
      <c r="J2700" t="str">
        <f t="shared" ca="1" si="169"/>
        <v>40-49</v>
      </c>
      <c r="K2700">
        <v>38633.69</v>
      </c>
      <c r="L2700" t="str">
        <f>IF(Workforce[[#This Row],[Salary]]&lt;50000,"30k-49k",IF(Workforce[[#This Row],[Salary]]&lt;70000,"50k-69k",IF(Workforce[[#This Row],[Salary]]&lt;90000,"70k-89k","90k+")))</f>
        <v>30k-49k</v>
      </c>
      <c r="M2700" t="s">
        <v>18404</v>
      </c>
      <c r="N2700">
        <f t="shared" ca="1" si="170"/>
        <v>4</v>
      </c>
      <c r="O2700" t="str">
        <f t="shared" ca="1" si="171"/>
        <v>Intermediate level</v>
      </c>
    </row>
    <row r="2701" spans="1:15" x14ac:dyDescent="0.3">
      <c r="A2701" t="s">
        <v>18405</v>
      </c>
      <c r="B2701" t="s">
        <v>18406</v>
      </c>
      <c r="C2701" t="s">
        <v>160</v>
      </c>
      <c r="D2701" t="s">
        <v>18407</v>
      </c>
      <c r="E2701" t="s">
        <v>18408</v>
      </c>
      <c r="F2701" t="s">
        <v>550</v>
      </c>
      <c r="G2701" t="s">
        <v>18409</v>
      </c>
      <c r="H2701" t="s">
        <v>18410</v>
      </c>
      <c r="I2701">
        <f t="shared" ca="1" si="168"/>
        <v>34</v>
      </c>
      <c r="J2701" t="str">
        <f t="shared" ca="1" si="169"/>
        <v>30-39</v>
      </c>
      <c r="K2701">
        <v>73793.850000000006</v>
      </c>
      <c r="L2701" t="str">
        <f>IF(Workforce[[#This Row],[Salary]]&lt;50000,"30k-49k",IF(Workforce[[#This Row],[Salary]]&lt;70000,"50k-69k",IF(Workforce[[#This Row],[Salary]]&lt;90000,"70k-89k","90k+")))</f>
        <v>70k-89k</v>
      </c>
      <c r="M2701" t="s">
        <v>15342</v>
      </c>
      <c r="N2701">
        <f t="shared" ca="1" si="170"/>
        <v>3</v>
      </c>
      <c r="O2701" t="str">
        <f t="shared" ca="1" si="171"/>
        <v>Intermediate level</v>
      </c>
    </row>
    <row r="2702" spans="1:15" x14ac:dyDescent="0.3">
      <c r="A2702" t="s">
        <v>18411</v>
      </c>
      <c r="B2702" t="s">
        <v>18412</v>
      </c>
      <c r="C2702" t="s">
        <v>240</v>
      </c>
      <c r="D2702" t="s">
        <v>18413</v>
      </c>
      <c r="E2702" t="s">
        <v>18414</v>
      </c>
      <c r="F2702" t="s">
        <v>1226</v>
      </c>
      <c r="G2702" t="s">
        <v>18415</v>
      </c>
      <c r="H2702" t="s">
        <v>18416</v>
      </c>
      <c r="I2702">
        <f t="shared" ca="1" si="168"/>
        <v>31</v>
      </c>
      <c r="J2702" t="str">
        <f t="shared" ca="1" si="169"/>
        <v>30-39</v>
      </c>
      <c r="K2702">
        <v>107040.13</v>
      </c>
      <c r="L2702" t="str">
        <f>IF(Workforce[[#This Row],[Salary]]&lt;50000,"30k-49k",IF(Workforce[[#This Row],[Salary]]&lt;70000,"50k-69k",IF(Workforce[[#This Row],[Salary]]&lt;90000,"70k-89k","90k+")))</f>
        <v>90k+</v>
      </c>
      <c r="M2702" t="s">
        <v>18417</v>
      </c>
      <c r="N2702">
        <f t="shared" ca="1" si="170"/>
        <v>8</v>
      </c>
      <c r="O2702" t="str">
        <f t="shared" ca="1" si="171"/>
        <v>Senior level</v>
      </c>
    </row>
    <row r="2703" spans="1:15" x14ac:dyDescent="0.3">
      <c r="A2703" t="s">
        <v>18418</v>
      </c>
      <c r="B2703" t="s">
        <v>18419</v>
      </c>
      <c r="C2703" t="s">
        <v>79</v>
      </c>
      <c r="D2703" t="s">
        <v>18420</v>
      </c>
      <c r="E2703" t="s">
        <v>18421</v>
      </c>
      <c r="F2703" t="s">
        <v>760</v>
      </c>
      <c r="G2703" t="s">
        <v>18422</v>
      </c>
      <c r="H2703" t="s">
        <v>18423</v>
      </c>
      <c r="I2703">
        <f t="shared" ca="1" si="168"/>
        <v>61</v>
      </c>
      <c r="J2703" t="str">
        <f t="shared" ca="1" si="169"/>
        <v>60+</v>
      </c>
      <c r="K2703">
        <v>43017.85</v>
      </c>
      <c r="L2703" t="str">
        <f>IF(Workforce[[#This Row],[Salary]]&lt;50000,"30k-49k",IF(Workforce[[#This Row],[Salary]]&lt;70000,"50k-69k",IF(Workforce[[#This Row],[Salary]]&lt;90000,"70k-89k","90k+")))</f>
        <v>30k-49k</v>
      </c>
      <c r="M2703" t="s">
        <v>18424</v>
      </c>
      <c r="N2703">
        <f t="shared" ca="1" si="170"/>
        <v>5</v>
      </c>
      <c r="O2703" t="str">
        <f t="shared" ca="1" si="171"/>
        <v>Intermediate level</v>
      </c>
    </row>
    <row r="2704" spans="1:15" x14ac:dyDescent="0.3">
      <c r="A2704" t="s">
        <v>18425</v>
      </c>
      <c r="B2704" t="s">
        <v>18426</v>
      </c>
      <c r="C2704" t="s">
        <v>240</v>
      </c>
      <c r="D2704" t="s">
        <v>18427</v>
      </c>
      <c r="E2704" t="s">
        <v>18428</v>
      </c>
      <c r="F2704" t="s">
        <v>1007</v>
      </c>
      <c r="G2704" t="s">
        <v>18429</v>
      </c>
      <c r="H2704" t="s">
        <v>18430</v>
      </c>
      <c r="I2704">
        <f t="shared" ca="1" si="168"/>
        <v>41</v>
      </c>
      <c r="J2704" t="str">
        <f t="shared" ca="1" si="169"/>
        <v>40-49</v>
      </c>
      <c r="K2704">
        <v>104252.78</v>
      </c>
      <c r="L2704" t="str">
        <f>IF(Workforce[[#This Row],[Salary]]&lt;50000,"30k-49k",IF(Workforce[[#This Row],[Salary]]&lt;70000,"50k-69k",IF(Workforce[[#This Row],[Salary]]&lt;90000,"70k-89k","90k+")))</f>
        <v>90k+</v>
      </c>
      <c r="M2704" t="s">
        <v>4426</v>
      </c>
      <c r="N2704">
        <f t="shared" ca="1" si="170"/>
        <v>9</v>
      </c>
      <c r="O2704" t="str">
        <f t="shared" ca="1" si="171"/>
        <v>Senior level</v>
      </c>
    </row>
    <row r="2705" spans="1:15" x14ac:dyDescent="0.3">
      <c r="A2705" t="s">
        <v>18431</v>
      </c>
      <c r="B2705" t="s">
        <v>18432</v>
      </c>
      <c r="C2705" t="s">
        <v>326</v>
      </c>
      <c r="D2705" t="s">
        <v>18433</v>
      </c>
      <c r="E2705" t="s">
        <v>18434</v>
      </c>
      <c r="F2705" t="s">
        <v>998</v>
      </c>
      <c r="G2705" t="s">
        <v>10155</v>
      </c>
      <c r="H2705" t="s">
        <v>3450</v>
      </c>
      <c r="I2705">
        <f t="shared" ca="1" si="168"/>
        <v>64</v>
      </c>
      <c r="J2705" t="str">
        <f t="shared" ca="1" si="169"/>
        <v>60+</v>
      </c>
      <c r="K2705">
        <v>62809.82</v>
      </c>
      <c r="L2705" t="str">
        <f>IF(Workforce[[#This Row],[Salary]]&lt;50000,"30k-49k",IF(Workforce[[#This Row],[Salary]]&lt;70000,"50k-69k",IF(Workforce[[#This Row],[Salary]]&lt;90000,"70k-89k","90k+")))</f>
        <v>50k-69k</v>
      </c>
      <c r="M2705" t="s">
        <v>13565</v>
      </c>
      <c r="N2705">
        <f t="shared" ca="1" si="170"/>
        <v>3</v>
      </c>
      <c r="O2705" t="str">
        <f t="shared" ca="1" si="171"/>
        <v>Intermediate level</v>
      </c>
    </row>
    <row r="2706" spans="1:15" x14ac:dyDescent="0.3">
      <c r="A2706" t="s">
        <v>18435</v>
      </c>
      <c r="B2706" t="s">
        <v>18436</v>
      </c>
      <c r="C2706" t="s">
        <v>222</v>
      </c>
      <c r="D2706" t="s">
        <v>18437</v>
      </c>
      <c r="E2706" t="s">
        <v>18438</v>
      </c>
      <c r="F2706" t="s">
        <v>1061</v>
      </c>
      <c r="G2706" t="s">
        <v>18439</v>
      </c>
      <c r="H2706" t="s">
        <v>18440</v>
      </c>
      <c r="I2706">
        <f t="shared" ca="1" si="168"/>
        <v>31</v>
      </c>
      <c r="J2706" t="str">
        <f t="shared" ca="1" si="169"/>
        <v>30-39</v>
      </c>
      <c r="K2706">
        <v>71865.899999999994</v>
      </c>
      <c r="L2706" t="str">
        <f>IF(Workforce[[#This Row],[Salary]]&lt;50000,"30k-49k",IF(Workforce[[#This Row],[Salary]]&lt;70000,"50k-69k",IF(Workforce[[#This Row],[Salary]]&lt;90000,"70k-89k","90k+")))</f>
        <v>70k-89k</v>
      </c>
      <c r="M2706" t="s">
        <v>18441</v>
      </c>
      <c r="N2706">
        <f t="shared" ca="1" si="170"/>
        <v>7</v>
      </c>
      <c r="O2706" t="str">
        <f t="shared" ca="1" si="171"/>
        <v>Senior level</v>
      </c>
    </row>
    <row r="2707" spans="1:15" x14ac:dyDescent="0.3">
      <c r="A2707" t="s">
        <v>18442</v>
      </c>
      <c r="B2707" t="s">
        <v>18443</v>
      </c>
      <c r="C2707" t="s">
        <v>326</v>
      </c>
      <c r="D2707" t="s">
        <v>18444</v>
      </c>
      <c r="E2707" t="s">
        <v>18445</v>
      </c>
      <c r="F2707" t="s">
        <v>2267</v>
      </c>
      <c r="G2707" t="s">
        <v>18446</v>
      </c>
      <c r="H2707" t="s">
        <v>18447</v>
      </c>
      <c r="I2707">
        <f t="shared" ca="1" si="168"/>
        <v>64</v>
      </c>
      <c r="J2707" t="str">
        <f t="shared" ca="1" si="169"/>
        <v>60+</v>
      </c>
      <c r="K2707">
        <v>31322.83</v>
      </c>
      <c r="L2707" t="str">
        <f>IF(Workforce[[#This Row],[Salary]]&lt;50000,"30k-49k",IF(Workforce[[#This Row],[Salary]]&lt;70000,"50k-69k",IF(Workforce[[#This Row],[Salary]]&lt;90000,"70k-89k","90k+")))</f>
        <v>30k-49k</v>
      </c>
      <c r="M2707" t="s">
        <v>18448</v>
      </c>
      <c r="N2707">
        <f t="shared" ca="1" si="170"/>
        <v>6</v>
      </c>
      <c r="O2707" t="str">
        <f t="shared" ca="1" si="171"/>
        <v>Intermediate level</v>
      </c>
    </row>
    <row r="2708" spans="1:15" x14ac:dyDescent="0.3">
      <c r="A2708" t="s">
        <v>18449</v>
      </c>
      <c r="B2708" t="s">
        <v>18450</v>
      </c>
      <c r="C2708" t="s">
        <v>757</v>
      </c>
      <c r="D2708" t="s">
        <v>18451</v>
      </c>
      <c r="E2708" t="s">
        <v>18452</v>
      </c>
      <c r="F2708" t="s">
        <v>4488</v>
      </c>
      <c r="G2708" t="s">
        <v>18453</v>
      </c>
      <c r="H2708" t="s">
        <v>18454</v>
      </c>
      <c r="I2708">
        <f t="shared" ca="1" si="168"/>
        <v>24</v>
      </c>
      <c r="J2708" t="str">
        <f t="shared" ca="1" si="169"/>
        <v>18-29</v>
      </c>
      <c r="K2708">
        <v>48593.06</v>
      </c>
      <c r="L2708" t="str">
        <f>IF(Workforce[[#This Row],[Salary]]&lt;50000,"30k-49k",IF(Workforce[[#This Row],[Salary]]&lt;70000,"50k-69k",IF(Workforce[[#This Row],[Salary]]&lt;90000,"70k-89k","90k+")))</f>
        <v>30k-49k</v>
      </c>
      <c r="M2708" t="s">
        <v>14411</v>
      </c>
      <c r="N2708">
        <f t="shared" ca="1" si="170"/>
        <v>8</v>
      </c>
      <c r="O2708" t="str">
        <f t="shared" ca="1" si="171"/>
        <v>Senior level</v>
      </c>
    </row>
    <row r="2709" spans="1:15" x14ac:dyDescent="0.3">
      <c r="A2709" t="s">
        <v>18455</v>
      </c>
      <c r="B2709" t="s">
        <v>18456</v>
      </c>
      <c r="C2709" t="s">
        <v>17</v>
      </c>
      <c r="D2709" t="s">
        <v>18457</v>
      </c>
      <c r="E2709" t="s">
        <v>18458</v>
      </c>
      <c r="F2709" t="s">
        <v>4554</v>
      </c>
      <c r="G2709" t="s">
        <v>18459</v>
      </c>
      <c r="H2709" t="s">
        <v>18460</v>
      </c>
      <c r="I2709">
        <f t="shared" ca="1" si="168"/>
        <v>31</v>
      </c>
      <c r="J2709" t="str">
        <f t="shared" ca="1" si="169"/>
        <v>30-39</v>
      </c>
      <c r="K2709">
        <v>66121.62</v>
      </c>
      <c r="L2709" t="str">
        <f>IF(Workforce[[#This Row],[Salary]]&lt;50000,"30k-49k",IF(Workforce[[#This Row],[Salary]]&lt;70000,"50k-69k",IF(Workforce[[#This Row],[Salary]]&lt;90000,"70k-89k","90k+")))</f>
        <v>50k-69k</v>
      </c>
      <c r="M2709" t="s">
        <v>18461</v>
      </c>
      <c r="N2709">
        <f t="shared" ca="1" si="170"/>
        <v>8</v>
      </c>
      <c r="O2709" t="str">
        <f t="shared" ca="1" si="171"/>
        <v>Senior level</v>
      </c>
    </row>
    <row r="2710" spans="1:15" x14ac:dyDescent="0.3">
      <c r="A2710" t="s">
        <v>211</v>
      </c>
      <c r="B2710" t="s">
        <v>18462</v>
      </c>
      <c r="C2710" t="s">
        <v>133</v>
      </c>
      <c r="D2710" t="s">
        <v>18463</v>
      </c>
      <c r="E2710" t="s">
        <v>18464</v>
      </c>
      <c r="F2710" t="s">
        <v>815</v>
      </c>
      <c r="G2710" t="s">
        <v>18465</v>
      </c>
      <c r="H2710" t="s">
        <v>18466</v>
      </c>
      <c r="I2710">
        <f t="shared" ca="1" si="168"/>
        <v>47</v>
      </c>
      <c r="J2710" t="str">
        <f t="shared" ca="1" si="169"/>
        <v>40-49</v>
      </c>
      <c r="K2710">
        <v>110819.66</v>
      </c>
      <c r="L2710" t="str">
        <f>IF(Workforce[[#This Row],[Salary]]&lt;50000,"30k-49k",IF(Workforce[[#This Row],[Salary]]&lt;70000,"50k-69k",IF(Workforce[[#This Row],[Salary]]&lt;90000,"70k-89k","90k+")))</f>
        <v>90k+</v>
      </c>
      <c r="M2710" t="s">
        <v>945</v>
      </c>
      <c r="N2710">
        <f t="shared" ca="1" si="170"/>
        <v>2</v>
      </c>
      <c r="O2710" t="str">
        <f t="shared" ca="1" si="171"/>
        <v>Beginner</v>
      </c>
    </row>
    <row r="2711" spans="1:15" x14ac:dyDescent="0.3">
      <c r="A2711" t="s">
        <v>4180</v>
      </c>
      <c r="B2711" t="s">
        <v>18467</v>
      </c>
      <c r="C2711" t="s">
        <v>2086</v>
      </c>
      <c r="D2711" t="s">
        <v>18468</v>
      </c>
      <c r="E2711" t="s">
        <v>18469</v>
      </c>
      <c r="F2711" t="s">
        <v>6079</v>
      </c>
      <c r="G2711" t="s">
        <v>18470</v>
      </c>
      <c r="H2711" t="s">
        <v>17216</v>
      </c>
      <c r="I2711">
        <f t="shared" ca="1" si="168"/>
        <v>35</v>
      </c>
      <c r="J2711" t="str">
        <f t="shared" ca="1" si="169"/>
        <v>30-39</v>
      </c>
      <c r="K2711">
        <v>57362.35</v>
      </c>
      <c r="L2711" t="str">
        <f>IF(Workforce[[#This Row],[Salary]]&lt;50000,"30k-49k",IF(Workforce[[#This Row],[Salary]]&lt;70000,"50k-69k",IF(Workforce[[#This Row],[Salary]]&lt;90000,"70k-89k","90k+")))</f>
        <v>50k-69k</v>
      </c>
      <c r="M2711" t="s">
        <v>16009</v>
      </c>
      <c r="N2711">
        <f t="shared" ca="1" si="170"/>
        <v>10</v>
      </c>
      <c r="O2711" t="str">
        <f t="shared" ca="1" si="171"/>
        <v>Senior level</v>
      </c>
    </row>
    <row r="2712" spans="1:15" x14ac:dyDescent="0.3">
      <c r="A2712" t="s">
        <v>18471</v>
      </c>
      <c r="B2712" t="s">
        <v>18472</v>
      </c>
      <c r="C2712" t="s">
        <v>187</v>
      </c>
      <c r="D2712" t="s">
        <v>18473</v>
      </c>
      <c r="E2712" t="s">
        <v>18474</v>
      </c>
      <c r="F2712" t="s">
        <v>4538</v>
      </c>
      <c r="G2712" t="s">
        <v>18475</v>
      </c>
      <c r="H2712" t="s">
        <v>7251</v>
      </c>
      <c r="I2712">
        <f t="shared" ca="1" si="168"/>
        <v>42</v>
      </c>
      <c r="J2712" t="str">
        <f t="shared" ca="1" si="169"/>
        <v>40-49</v>
      </c>
      <c r="K2712">
        <v>47126.559999999998</v>
      </c>
      <c r="L2712" t="str">
        <f>IF(Workforce[[#This Row],[Salary]]&lt;50000,"30k-49k",IF(Workforce[[#This Row],[Salary]]&lt;70000,"50k-69k",IF(Workforce[[#This Row],[Salary]]&lt;90000,"70k-89k","90k+")))</f>
        <v>30k-49k</v>
      </c>
      <c r="M2712" t="s">
        <v>18476</v>
      </c>
      <c r="N2712">
        <f t="shared" ca="1" si="170"/>
        <v>8</v>
      </c>
      <c r="O2712" t="str">
        <f t="shared" ca="1" si="171"/>
        <v>Senior level</v>
      </c>
    </row>
    <row r="2713" spans="1:15" x14ac:dyDescent="0.3">
      <c r="A2713" t="s">
        <v>18477</v>
      </c>
      <c r="B2713" t="s">
        <v>18478</v>
      </c>
      <c r="C2713" t="s">
        <v>257</v>
      </c>
      <c r="D2713" t="s">
        <v>18479</v>
      </c>
      <c r="E2713" t="s">
        <v>18480</v>
      </c>
      <c r="F2713" t="s">
        <v>216</v>
      </c>
      <c r="G2713" t="s">
        <v>18481</v>
      </c>
      <c r="H2713" t="s">
        <v>18482</v>
      </c>
      <c r="I2713">
        <f t="shared" ca="1" si="168"/>
        <v>49</v>
      </c>
      <c r="J2713" t="str">
        <f t="shared" ca="1" si="169"/>
        <v>40-49</v>
      </c>
      <c r="K2713">
        <v>119352.61</v>
      </c>
      <c r="L2713" t="str">
        <f>IF(Workforce[[#This Row],[Salary]]&lt;50000,"30k-49k",IF(Workforce[[#This Row],[Salary]]&lt;70000,"50k-69k",IF(Workforce[[#This Row],[Salary]]&lt;90000,"70k-89k","90k+")))</f>
        <v>90k+</v>
      </c>
      <c r="M2713" t="s">
        <v>16246</v>
      </c>
      <c r="N2713">
        <f t="shared" ca="1" si="170"/>
        <v>9</v>
      </c>
      <c r="O2713" t="str">
        <f t="shared" ca="1" si="171"/>
        <v>Senior level</v>
      </c>
    </row>
    <row r="2714" spans="1:15" x14ac:dyDescent="0.3">
      <c r="A2714" t="s">
        <v>18483</v>
      </c>
      <c r="B2714" t="s">
        <v>18484</v>
      </c>
      <c r="C2714" t="s">
        <v>326</v>
      </c>
      <c r="D2714" t="s">
        <v>18485</v>
      </c>
      <c r="E2714" t="s">
        <v>18486</v>
      </c>
      <c r="F2714" t="s">
        <v>11879</v>
      </c>
      <c r="G2714" t="s">
        <v>18487</v>
      </c>
      <c r="H2714" t="s">
        <v>18488</v>
      </c>
      <c r="I2714">
        <f t="shared" ca="1" si="168"/>
        <v>27</v>
      </c>
      <c r="J2714" t="str">
        <f t="shared" ca="1" si="169"/>
        <v>18-29</v>
      </c>
      <c r="K2714">
        <v>108635.87</v>
      </c>
      <c r="L2714" t="str">
        <f>IF(Workforce[[#This Row],[Salary]]&lt;50000,"30k-49k",IF(Workforce[[#This Row],[Salary]]&lt;70000,"50k-69k",IF(Workforce[[#This Row],[Salary]]&lt;90000,"70k-89k","90k+")))</f>
        <v>90k+</v>
      </c>
      <c r="M2714" t="s">
        <v>18489</v>
      </c>
      <c r="N2714">
        <f t="shared" ca="1" si="170"/>
        <v>7</v>
      </c>
      <c r="O2714" t="str">
        <f t="shared" ca="1" si="171"/>
        <v>Senior level</v>
      </c>
    </row>
    <row r="2715" spans="1:15" x14ac:dyDescent="0.3">
      <c r="A2715" t="s">
        <v>18490</v>
      </c>
      <c r="B2715" t="s">
        <v>18491</v>
      </c>
      <c r="C2715" t="s">
        <v>266</v>
      </c>
      <c r="D2715" t="s">
        <v>18492</v>
      </c>
      <c r="E2715" t="s">
        <v>18493</v>
      </c>
      <c r="F2715" t="s">
        <v>3056</v>
      </c>
      <c r="G2715" t="s">
        <v>18494</v>
      </c>
      <c r="H2715" t="s">
        <v>18495</v>
      </c>
      <c r="I2715">
        <f t="shared" ca="1" si="168"/>
        <v>57</v>
      </c>
      <c r="J2715" t="str">
        <f t="shared" ca="1" si="169"/>
        <v>50-59</v>
      </c>
      <c r="K2715">
        <v>55266.54</v>
      </c>
      <c r="L2715" t="str">
        <f>IF(Workforce[[#This Row],[Salary]]&lt;50000,"30k-49k",IF(Workforce[[#This Row],[Salary]]&lt;70000,"50k-69k",IF(Workforce[[#This Row],[Salary]]&lt;90000,"70k-89k","90k+")))</f>
        <v>50k-69k</v>
      </c>
      <c r="M2715" t="s">
        <v>18496</v>
      </c>
      <c r="N2715">
        <f t="shared" ca="1" si="170"/>
        <v>5</v>
      </c>
      <c r="O2715" t="str">
        <f t="shared" ca="1" si="171"/>
        <v>Intermediate level</v>
      </c>
    </row>
    <row r="2716" spans="1:15" x14ac:dyDescent="0.3">
      <c r="A2716" t="s">
        <v>18497</v>
      </c>
      <c r="B2716" t="s">
        <v>18498</v>
      </c>
      <c r="C2716" t="s">
        <v>124</v>
      </c>
      <c r="D2716" t="s">
        <v>18499</v>
      </c>
      <c r="E2716" t="s">
        <v>18500</v>
      </c>
      <c r="F2716" t="s">
        <v>1388</v>
      </c>
      <c r="G2716" t="s">
        <v>18501</v>
      </c>
      <c r="H2716" t="s">
        <v>18502</v>
      </c>
      <c r="I2716">
        <f t="shared" ca="1" si="168"/>
        <v>43</v>
      </c>
      <c r="J2716" t="str">
        <f t="shared" ca="1" si="169"/>
        <v>40-49</v>
      </c>
      <c r="K2716">
        <v>110907.15</v>
      </c>
      <c r="L2716" t="str">
        <f>IF(Workforce[[#This Row],[Salary]]&lt;50000,"30k-49k",IF(Workforce[[#This Row],[Salary]]&lt;70000,"50k-69k",IF(Workforce[[#This Row],[Salary]]&lt;90000,"70k-89k","90k+")))</f>
        <v>90k+</v>
      </c>
      <c r="M2716" t="s">
        <v>18503</v>
      </c>
      <c r="N2716">
        <f t="shared" ca="1" si="170"/>
        <v>7</v>
      </c>
      <c r="O2716" t="str">
        <f t="shared" ca="1" si="171"/>
        <v>Senior level</v>
      </c>
    </row>
    <row r="2717" spans="1:15" x14ac:dyDescent="0.3">
      <c r="A2717" t="s">
        <v>16583</v>
      </c>
      <c r="B2717" t="s">
        <v>18504</v>
      </c>
      <c r="C2717" t="s">
        <v>178</v>
      </c>
      <c r="D2717" t="s">
        <v>18505</v>
      </c>
      <c r="E2717" t="s">
        <v>18506</v>
      </c>
      <c r="F2717" t="s">
        <v>533</v>
      </c>
      <c r="G2717" t="s">
        <v>18507</v>
      </c>
      <c r="H2717" t="s">
        <v>18508</v>
      </c>
      <c r="I2717">
        <f t="shared" ca="1" si="168"/>
        <v>19</v>
      </c>
      <c r="J2717" t="str">
        <f t="shared" ca="1" si="169"/>
        <v>18-29</v>
      </c>
      <c r="K2717">
        <v>78226.09</v>
      </c>
      <c r="L2717" t="str">
        <f>IF(Workforce[[#This Row],[Salary]]&lt;50000,"30k-49k",IF(Workforce[[#This Row],[Salary]]&lt;70000,"50k-69k",IF(Workforce[[#This Row],[Salary]]&lt;90000,"70k-89k","90k+")))</f>
        <v>70k-89k</v>
      </c>
      <c r="M2717" t="s">
        <v>18509</v>
      </c>
      <c r="N2717">
        <f t="shared" ca="1" si="170"/>
        <v>2</v>
      </c>
      <c r="O2717" t="str">
        <f t="shared" ca="1" si="171"/>
        <v>Beginner</v>
      </c>
    </row>
    <row r="2718" spans="1:15" x14ac:dyDescent="0.3">
      <c r="A2718" t="s">
        <v>18510</v>
      </c>
      <c r="B2718" t="s">
        <v>18511</v>
      </c>
      <c r="C2718" t="s">
        <v>1043</v>
      </c>
      <c r="D2718" t="s">
        <v>18512</v>
      </c>
      <c r="E2718" t="s">
        <v>18513</v>
      </c>
      <c r="F2718" t="s">
        <v>6456</v>
      </c>
      <c r="G2718" t="s">
        <v>18514</v>
      </c>
      <c r="H2718" t="s">
        <v>18515</v>
      </c>
      <c r="I2718">
        <f t="shared" ca="1" si="168"/>
        <v>37</v>
      </c>
      <c r="J2718" t="str">
        <f t="shared" ca="1" si="169"/>
        <v>30-39</v>
      </c>
      <c r="K2718">
        <v>119192.44</v>
      </c>
      <c r="L2718" t="str">
        <f>IF(Workforce[[#This Row],[Salary]]&lt;50000,"30k-49k",IF(Workforce[[#This Row],[Salary]]&lt;70000,"50k-69k",IF(Workforce[[#This Row],[Salary]]&lt;90000,"70k-89k","90k+")))</f>
        <v>90k+</v>
      </c>
      <c r="M2718" t="s">
        <v>3348</v>
      </c>
      <c r="N2718">
        <f t="shared" ca="1" si="170"/>
        <v>6</v>
      </c>
      <c r="O2718" t="str">
        <f t="shared" ca="1" si="171"/>
        <v>Intermediate level</v>
      </c>
    </row>
    <row r="2719" spans="1:15" x14ac:dyDescent="0.3">
      <c r="A2719" t="s">
        <v>18516</v>
      </c>
      <c r="B2719" t="s">
        <v>18517</v>
      </c>
      <c r="C2719" t="s">
        <v>1223</v>
      </c>
      <c r="D2719" t="s">
        <v>18518</v>
      </c>
      <c r="E2719" t="s">
        <v>18519</v>
      </c>
      <c r="F2719" t="s">
        <v>1053</v>
      </c>
      <c r="G2719" t="s">
        <v>18520</v>
      </c>
      <c r="H2719" t="s">
        <v>18521</v>
      </c>
      <c r="I2719">
        <f t="shared" ca="1" si="168"/>
        <v>20</v>
      </c>
      <c r="J2719" t="str">
        <f t="shared" ca="1" si="169"/>
        <v>18-29</v>
      </c>
      <c r="K2719">
        <v>62113.06</v>
      </c>
      <c r="L2719" t="str">
        <f>IF(Workforce[[#This Row],[Salary]]&lt;50000,"30k-49k",IF(Workforce[[#This Row],[Salary]]&lt;70000,"50k-69k",IF(Workforce[[#This Row],[Salary]]&lt;90000,"70k-89k","90k+")))</f>
        <v>50k-69k</v>
      </c>
      <c r="M2719" t="s">
        <v>18522</v>
      </c>
      <c r="N2719">
        <f t="shared" ca="1" si="170"/>
        <v>9</v>
      </c>
      <c r="O2719" t="str">
        <f t="shared" ca="1" si="171"/>
        <v>Senior level</v>
      </c>
    </row>
    <row r="2720" spans="1:15" x14ac:dyDescent="0.3">
      <c r="A2720" t="s">
        <v>18523</v>
      </c>
      <c r="B2720" t="s">
        <v>18524</v>
      </c>
      <c r="C2720" t="s">
        <v>275</v>
      </c>
      <c r="D2720" t="s">
        <v>18525</v>
      </c>
      <c r="E2720" t="s">
        <v>18526</v>
      </c>
      <c r="F2720" t="s">
        <v>4941</v>
      </c>
      <c r="G2720" t="s">
        <v>270</v>
      </c>
      <c r="H2720" t="s">
        <v>18527</v>
      </c>
      <c r="I2720">
        <f t="shared" ca="1" si="168"/>
        <v>47</v>
      </c>
      <c r="J2720" t="str">
        <f t="shared" ca="1" si="169"/>
        <v>40-49</v>
      </c>
      <c r="K2720">
        <v>30766.84</v>
      </c>
      <c r="L2720" t="str">
        <f>IF(Workforce[[#This Row],[Salary]]&lt;50000,"30k-49k",IF(Workforce[[#This Row],[Salary]]&lt;70000,"50k-69k",IF(Workforce[[#This Row],[Salary]]&lt;90000,"70k-89k","90k+")))</f>
        <v>30k-49k</v>
      </c>
      <c r="M2720" t="s">
        <v>18528</v>
      </c>
      <c r="N2720">
        <f t="shared" ca="1" si="170"/>
        <v>1</v>
      </c>
      <c r="O2720" t="str">
        <f t="shared" ca="1" si="171"/>
        <v>Beginner</v>
      </c>
    </row>
    <row r="2721" spans="1:15" x14ac:dyDescent="0.3">
      <c r="A2721" t="s">
        <v>18529</v>
      </c>
      <c r="B2721" t="s">
        <v>18530</v>
      </c>
      <c r="C2721" t="s">
        <v>106</v>
      </c>
      <c r="D2721" t="s">
        <v>18531</v>
      </c>
      <c r="E2721" t="s">
        <v>18532</v>
      </c>
      <c r="F2721" t="s">
        <v>4538</v>
      </c>
      <c r="G2721" t="s">
        <v>12372</v>
      </c>
      <c r="H2721" t="s">
        <v>18533</v>
      </c>
      <c r="I2721">
        <f t="shared" ca="1" si="168"/>
        <v>50</v>
      </c>
      <c r="J2721" t="str">
        <f t="shared" ca="1" si="169"/>
        <v>50-59</v>
      </c>
      <c r="K2721">
        <v>33910.29</v>
      </c>
      <c r="L2721" t="str">
        <f>IF(Workforce[[#This Row],[Salary]]&lt;50000,"30k-49k",IF(Workforce[[#This Row],[Salary]]&lt;70000,"50k-69k",IF(Workforce[[#This Row],[Salary]]&lt;90000,"70k-89k","90k+")))</f>
        <v>30k-49k</v>
      </c>
      <c r="M2721" t="s">
        <v>13181</v>
      </c>
      <c r="N2721">
        <f t="shared" ca="1" si="170"/>
        <v>9</v>
      </c>
      <c r="O2721" t="str">
        <f t="shared" ca="1" si="171"/>
        <v>Senior level</v>
      </c>
    </row>
    <row r="2722" spans="1:15" x14ac:dyDescent="0.3">
      <c r="A2722" t="s">
        <v>18534</v>
      </c>
      <c r="B2722" t="s">
        <v>18535</v>
      </c>
      <c r="C2722" t="s">
        <v>844</v>
      </c>
      <c r="D2722" t="s">
        <v>18536</v>
      </c>
      <c r="E2722" t="s">
        <v>18537</v>
      </c>
      <c r="F2722" t="s">
        <v>2848</v>
      </c>
      <c r="G2722" t="s">
        <v>15881</v>
      </c>
      <c r="H2722" t="s">
        <v>14215</v>
      </c>
      <c r="I2722">
        <f t="shared" ca="1" si="168"/>
        <v>41</v>
      </c>
      <c r="J2722" t="str">
        <f t="shared" ca="1" si="169"/>
        <v>40-49</v>
      </c>
      <c r="K2722">
        <v>45254.080000000002</v>
      </c>
      <c r="L2722" t="str">
        <f>IF(Workforce[[#This Row],[Salary]]&lt;50000,"30k-49k",IF(Workforce[[#This Row],[Salary]]&lt;70000,"50k-69k",IF(Workforce[[#This Row],[Salary]]&lt;90000,"70k-89k","90k+")))</f>
        <v>30k-49k</v>
      </c>
      <c r="M2722" t="s">
        <v>1421</v>
      </c>
      <c r="N2722">
        <f t="shared" ca="1" si="170"/>
        <v>10</v>
      </c>
      <c r="O2722" t="str">
        <f t="shared" ca="1" si="171"/>
        <v>Senior level</v>
      </c>
    </row>
    <row r="2723" spans="1:15" x14ac:dyDescent="0.3">
      <c r="A2723" t="s">
        <v>18538</v>
      </c>
      <c r="B2723" t="s">
        <v>18539</v>
      </c>
      <c r="C2723" t="s">
        <v>169</v>
      </c>
      <c r="D2723" t="s">
        <v>18540</v>
      </c>
      <c r="E2723" t="s">
        <v>18541</v>
      </c>
      <c r="F2723" t="s">
        <v>1626</v>
      </c>
      <c r="G2723" t="s">
        <v>18542</v>
      </c>
      <c r="H2723" t="s">
        <v>18543</v>
      </c>
      <c r="I2723">
        <f t="shared" ca="1" si="168"/>
        <v>54</v>
      </c>
      <c r="J2723" t="str">
        <f t="shared" ca="1" si="169"/>
        <v>50-59</v>
      </c>
      <c r="K2723">
        <v>105016.81</v>
      </c>
      <c r="L2723" t="str">
        <f>IF(Workforce[[#This Row],[Salary]]&lt;50000,"30k-49k",IF(Workforce[[#This Row],[Salary]]&lt;70000,"50k-69k",IF(Workforce[[#This Row],[Salary]]&lt;90000,"70k-89k","90k+")))</f>
        <v>90k+</v>
      </c>
      <c r="M2723" t="s">
        <v>18544</v>
      </c>
      <c r="N2723">
        <f t="shared" ca="1" si="170"/>
        <v>6</v>
      </c>
      <c r="O2723" t="str">
        <f t="shared" ca="1" si="171"/>
        <v>Intermediate level</v>
      </c>
    </row>
    <row r="2724" spans="1:15" x14ac:dyDescent="0.3">
      <c r="A2724" t="s">
        <v>18545</v>
      </c>
      <c r="B2724" t="s">
        <v>18546</v>
      </c>
      <c r="C2724" t="s">
        <v>115</v>
      </c>
      <c r="D2724" t="s">
        <v>18547</v>
      </c>
      <c r="E2724" t="s">
        <v>18548</v>
      </c>
      <c r="F2724" t="s">
        <v>7043</v>
      </c>
      <c r="G2724" t="s">
        <v>18549</v>
      </c>
      <c r="H2724" t="s">
        <v>18550</v>
      </c>
      <c r="I2724">
        <f t="shared" ca="1" si="168"/>
        <v>26</v>
      </c>
      <c r="J2724" t="str">
        <f t="shared" ca="1" si="169"/>
        <v>18-29</v>
      </c>
      <c r="K2724">
        <v>89733.46</v>
      </c>
      <c r="L2724" t="str">
        <f>IF(Workforce[[#This Row],[Salary]]&lt;50000,"30k-49k",IF(Workforce[[#This Row],[Salary]]&lt;70000,"50k-69k",IF(Workforce[[#This Row],[Salary]]&lt;90000,"70k-89k","90k+")))</f>
        <v>70k-89k</v>
      </c>
      <c r="M2724" t="s">
        <v>18551</v>
      </c>
      <c r="N2724">
        <f t="shared" ca="1" si="170"/>
        <v>6</v>
      </c>
      <c r="O2724" t="str">
        <f t="shared" ca="1" si="171"/>
        <v>Intermediate level</v>
      </c>
    </row>
    <row r="2725" spans="1:15" x14ac:dyDescent="0.3">
      <c r="A2725" t="s">
        <v>18552</v>
      </c>
      <c r="B2725" t="s">
        <v>18553</v>
      </c>
      <c r="C2725" t="s">
        <v>1159</v>
      </c>
      <c r="D2725" t="s">
        <v>18554</v>
      </c>
      <c r="E2725" t="s">
        <v>18555</v>
      </c>
      <c r="F2725" t="s">
        <v>4096</v>
      </c>
      <c r="G2725" t="s">
        <v>18556</v>
      </c>
      <c r="H2725" t="s">
        <v>18557</v>
      </c>
      <c r="I2725">
        <f t="shared" ca="1" si="168"/>
        <v>42</v>
      </c>
      <c r="J2725" t="str">
        <f t="shared" ca="1" si="169"/>
        <v>40-49</v>
      </c>
      <c r="K2725">
        <v>41974.35</v>
      </c>
      <c r="L2725" t="str">
        <f>IF(Workforce[[#This Row],[Salary]]&lt;50000,"30k-49k",IF(Workforce[[#This Row],[Salary]]&lt;70000,"50k-69k",IF(Workforce[[#This Row],[Salary]]&lt;90000,"70k-89k","90k+")))</f>
        <v>30k-49k</v>
      </c>
      <c r="M2725" t="s">
        <v>18558</v>
      </c>
      <c r="N2725">
        <f t="shared" ca="1" si="170"/>
        <v>7</v>
      </c>
      <c r="O2725" t="str">
        <f t="shared" ca="1" si="171"/>
        <v>Senior level</v>
      </c>
    </row>
    <row r="2726" spans="1:15" x14ac:dyDescent="0.3">
      <c r="A2726" t="s">
        <v>18559</v>
      </c>
      <c r="B2726" t="s">
        <v>18560</v>
      </c>
      <c r="C2726" t="s">
        <v>106</v>
      </c>
      <c r="D2726" t="s">
        <v>18561</v>
      </c>
      <c r="E2726" t="s">
        <v>18562</v>
      </c>
      <c r="F2726" t="s">
        <v>3012</v>
      </c>
      <c r="G2726" t="s">
        <v>18563</v>
      </c>
      <c r="H2726" t="s">
        <v>18564</v>
      </c>
      <c r="I2726">
        <f t="shared" ca="1" si="168"/>
        <v>42</v>
      </c>
      <c r="J2726" t="str">
        <f t="shared" ca="1" si="169"/>
        <v>40-49</v>
      </c>
      <c r="K2726">
        <v>102222.05</v>
      </c>
      <c r="L2726" t="str">
        <f>IF(Workforce[[#This Row],[Salary]]&lt;50000,"30k-49k",IF(Workforce[[#This Row],[Salary]]&lt;70000,"50k-69k",IF(Workforce[[#This Row],[Salary]]&lt;90000,"70k-89k","90k+")))</f>
        <v>90k+</v>
      </c>
      <c r="M2726" t="s">
        <v>18565</v>
      </c>
      <c r="N2726">
        <f t="shared" ca="1" si="170"/>
        <v>1</v>
      </c>
      <c r="O2726" t="str">
        <f t="shared" ca="1" si="171"/>
        <v>Beginner</v>
      </c>
    </row>
    <row r="2727" spans="1:15" x14ac:dyDescent="0.3">
      <c r="A2727" t="s">
        <v>18566</v>
      </c>
      <c r="B2727" t="s">
        <v>18567</v>
      </c>
      <c r="C2727" t="s">
        <v>160</v>
      </c>
      <c r="D2727" t="s">
        <v>18568</v>
      </c>
      <c r="E2727" t="s">
        <v>18569</v>
      </c>
      <c r="F2727" t="s">
        <v>3957</v>
      </c>
      <c r="G2727" t="s">
        <v>18570</v>
      </c>
      <c r="H2727" t="s">
        <v>18571</v>
      </c>
      <c r="I2727">
        <f t="shared" ca="1" si="168"/>
        <v>25</v>
      </c>
      <c r="J2727" t="str">
        <f t="shared" ca="1" si="169"/>
        <v>18-29</v>
      </c>
      <c r="K2727">
        <v>50134.12</v>
      </c>
      <c r="L2727" t="str">
        <f>IF(Workforce[[#This Row],[Salary]]&lt;50000,"30k-49k",IF(Workforce[[#This Row],[Salary]]&lt;70000,"50k-69k",IF(Workforce[[#This Row],[Salary]]&lt;90000,"70k-89k","90k+")))</f>
        <v>50k-69k</v>
      </c>
      <c r="M2727" t="s">
        <v>18572</v>
      </c>
      <c r="N2727">
        <f t="shared" ca="1" si="170"/>
        <v>2</v>
      </c>
      <c r="O2727" t="str">
        <f t="shared" ca="1" si="171"/>
        <v>Beginner</v>
      </c>
    </row>
    <row r="2728" spans="1:15" x14ac:dyDescent="0.3">
      <c r="A2728" t="s">
        <v>18573</v>
      </c>
      <c r="B2728" t="s">
        <v>18574</v>
      </c>
      <c r="C2728" t="s">
        <v>61</v>
      </c>
      <c r="D2728" t="s">
        <v>18575</v>
      </c>
      <c r="E2728" t="s">
        <v>18576</v>
      </c>
      <c r="F2728" t="s">
        <v>13535</v>
      </c>
      <c r="G2728" t="s">
        <v>18577</v>
      </c>
      <c r="H2728" t="s">
        <v>18578</v>
      </c>
      <c r="I2728">
        <f t="shared" ca="1" si="168"/>
        <v>54</v>
      </c>
      <c r="J2728" t="str">
        <f t="shared" ca="1" si="169"/>
        <v>50-59</v>
      </c>
      <c r="K2728">
        <v>71874.490000000005</v>
      </c>
      <c r="L2728" t="str">
        <f>IF(Workforce[[#This Row],[Salary]]&lt;50000,"30k-49k",IF(Workforce[[#This Row],[Salary]]&lt;70000,"50k-69k",IF(Workforce[[#This Row],[Salary]]&lt;90000,"70k-89k","90k+")))</f>
        <v>70k-89k</v>
      </c>
      <c r="M2728" t="s">
        <v>18579</v>
      </c>
      <c r="N2728">
        <f t="shared" ca="1" si="170"/>
        <v>2</v>
      </c>
      <c r="O2728" t="str">
        <f t="shared" ca="1" si="171"/>
        <v>Beginner</v>
      </c>
    </row>
    <row r="2729" spans="1:15" x14ac:dyDescent="0.3">
      <c r="A2729" t="s">
        <v>18580</v>
      </c>
      <c r="B2729" t="s">
        <v>18581</v>
      </c>
      <c r="C2729" t="s">
        <v>266</v>
      </c>
      <c r="D2729" t="s">
        <v>18582</v>
      </c>
      <c r="E2729" t="s">
        <v>18583</v>
      </c>
      <c r="F2729" t="s">
        <v>2768</v>
      </c>
      <c r="G2729" t="s">
        <v>14492</v>
      </c>
      <c r="H2729" t="s">
        <v>18584</v>
      </c>
      <c r="I2729">
        <f t="shared" ca="1" si="168"/>
        <v>23</v>
      </c>
      <c r="J2729" t="str">
        <f t="shared" ca="1" si="169"/>
        <v>18-29</v>
      </c>
      <c r="K2729">
        <v>40039.56</v>
      </c>
      <c r="L2729" t="str">
        <f>IF(Workforce[[#This Row],[Salary]]&lt;50000,"30k-49k",IF(Workforce[[#This Row],[Salary]]&lt;70000,"50k-69k",IF(Workforce[[#This Row],[Salary]]&lt;90000,"70k-89k","90k+")))</f>
        <v>30k-49k</v>
      </c>
      <c r="M2729" t="s">
        <v>11777</v>
      </c>
      <c r="N2729">
        <f t="shared" ca="1" si="170"/>
        <v>5</v>
      </c>
      <c r="O2729" t="str">
        <f t="shared" ca="1" si="171"/>
        <v>Intermediate level</v>
      </c>
    </row>
    <row r="2730" spans="1:15" x14ac:dyDescent="0.3">
      <c r="A2730" t="s">
        <v>18585</v>
      </c>
      <c r="B2730" t="s">
        <v>18586</v>
      </c>
      <c r="C2730" t="s">
        <v>1223</v>
      </c>
      <c r="D2730" t="s">
        <v>18587</v>
      </c>
      <c r="E2730" t="s">
        <v>18588</v>
      </c>
      <c r="F2730" t="s">
        <v>9598</v>
      </c>
      <c r="G2730" t="s">
        <v>18589</v>
      </c>
      <c r="H2730" t="s">
        <v>18590</v>
      </c>
      <c r="I2730">
        <f t="shared" ca="1" si="168"/>
        <v>21</v>
      </c>
      <c r="J2730" t="str">
        <f t="shared" ca="1" si="169"/>
        <v>18-29</v>
      </c>
      <c r="K2730">
        <v>57554.78</v>
      </c>
      <c r="L2730" t="str">
        <f>IF(Workforce[[#This Row],[Salary]]&lt;50000,"30k-49k",IF(Workforce[[#This Row],[Salary]]&lt;70000,"50k-69k",IF(Workforce[[#This Row],[Salary]]&lt;90000,"70k-89k","90k+")))</f>
        <v>50k-69k</v>
      </c>
      <c r="M2730" t="s">
        <v>13330</v>
      </c>
      <c r="N2730">
        <f t="shared" ca="1" si="170"/>
        <v>8</v>
      </c>
      <c r="O2730" t="str">
        <f t="shared" ca="1" si="171"/>
        <v>Senior level</v>
      </c>
    </row>
    <row r="2731" spans="1:15" x14ac:dyDescent="0.3">
      <c r="A2731" t="s">
        <v>18591</v>
      </c>
      <c r="B2731" t="s">
        <v>18592</v>
      </c>
      <c r="C2731" t="s">
        <v>35</v>
      </c>
      <c r="D2731" t="s">
        <v>18593</v>
      </c>
      <c r="E2731" t="s">
        <v>18594</v>
      </c>
      <c r="F2731" t="s">
        <v>1580</v>
      </c>
      <c r="G2731" t="s">
        <v>18595</v>
      </c>
      <c r="H2731" t="s">
        <v>18596</v>
      </c>
      <c r="I2731">
        <f t="shared" ca="1" si="168"/>
        <v>58</v>
      </c>
      <c r="J2731" t="str">
        <f t="shared" ca="1" si="169"/>
        <v>50-59</v>
      </c>
      <c r="K2731">
        <v>100226.15</v>
      </c>
      <c r="L2731" t="str">
        <f>IF(Workforce[[#This Row],[Salary]]&lt;50000,"30k-49k",IF(Workforce[[#This Row],[Salary]]&lt;70000,"50k-69k",IF(Workforce[[#This Row],[Salary]]&lt;90000,"70k-89k","90k+")))</f>
        <v>90k+</v>
      </c>
      <c r="M2731" t="s">
        <v>3384</v>
      </c>
      <c r="N2731">
        <f t="shared" ca="1" si="170"/>
        <v>6</v>
      </c>
      <c r="O2731" t="str">
        <f t="shared" ca="1" si="171"/>
        <v>Intermediate level</v>
      </c>
    </row>
    <row r="2732" spans="1:15" x14ac:dyDescent="0.3">
      <c r="A2732" t="s">
        <v>18597</v>
      </c>
      <c r="B2732" t="s">
        <v>18598</v>
      </c>
      <c r="C2732" t="s">
        <v>169</v>
      </c>
      <c r="D2732" t="s">
        <v>18599</v>
      </c>
      <c r="E2732" t="s">
        <v>18600</v>
      </c>
      <c r="F2732" t="s">
        <v>17002</v>
      </c>
      <c r="G2732" t="s">
        <v>18601</v>
      </c>
      <c r="H2732" t="s">
        <v>18602</v>
      </c>
      <c r="I2732">
        <f t="shared" ca="1" si="168"/>
        <v>33</v>
      </c>
      <c r="J2732" t="str">
        <f t="shared" ca="1" si="169"/>
        <v>30-39</v>
      </c>
      <c r="K2732">
        <v>104487.35</v>
      </c>
      <c r="L2732" t="str">
        <f>IF(Workforce[[#This Row],[Salary]]&lt;50000,"30k-49k",IF(Workforce[[#This Row],[Salary]]&lt;70000,"50k-69k",IF(Workforce[[#This Row],[Salary]]&lt;90000,"70k-89k","90k+")))</f>
        <v>90k+</v>
      </c>
      <c r="M2732" t="s">
        <v>18603</v>
      </c>
      <c r="N2732">
        <f t="shared" ca="1" si="170"/>
        <v>5</v>
      </c>
      <c r="O2732" t="str">
        <f t="shared" ca="1" si="171"/>
        <v>Intermediate level</v>
      </c>
    </row>
    <row r="2733" spans="1:15" x14ac:dyDescent="0.3">
      <c r="A2733" t="s">
        <v>18604</v>
      </c>
      <c r="B2733" t="s">
        <v>18605</v>
      </c>
      <c r="C2733" t="s">
        <v>457</v>
      </c>
      <c r="D2733" t="s">
        <v>18606</v>
      </c>
      <c r="E2733" t="s">
        <v>18607</v>
      </c>
      <c r="F2733" t="s">
        <v>6763</v>
      </c>
      <c r="G2733" t="s">
        <v>18608</v>
      </c>
      <c r="H2733" t="s">
        <v>4598</v>
      </c>
      <c r="I2733">
        <f t="shared" ca="1" si="168"/>
        <v>57</v>
      </c>
      <c r="J2733" t="str">
        <f t="shared" ca="1" si="169"/>
        <v>50-59</v>
      </c>
      <c r="K2733">
        <v>77599.34</v>
      </c>
      <c r="L2733" t="str">
        <f>IF(Workforce[[#This Row],[Salary]]&lt;50000,"30k-49k",IF(Workforce[[#This Row],[Salary]]&lt;70000,"50k-69k",IF(Workforce[[#This Row],[Salary]]&lt;90000,"70k-89k","90k+")))</f>
        <v>70k-89k</v>
      </c>
      <c r="M2733" t="s">
        <v>18609</v>
      </c>
      <c r="N2733">
        <f t="shared" ca="1" si="170"/>
        <v>6</v>
      </c>
      <c r="O2733" t="str">
        <f t="shared" ca="1" si="171"/>
        <v>Intermediate level</v>
      </c>
    </row>
    <row r="2734" spans="1:15" x14ac:dyDescent="0.3">
      <c r="A2734" t="s">
        <v>18610</v>
      </c>
      <c r="B2734" t="s">
        <v>18611</v>
      </c>
      <c r="C2734" t="s">
        <v>124</v>
      </c>
      <c r="D2734" t="s">
        <v>18612</v>
      </c>
      <c r="E2734" t="s">
        <v>18613</v>
      </c>
      <c r="F2734" t="s">
        <v>190</v>
      </c>
      <c r="G2734" t="s">
        <v>18614</v>
      </c>
      <c r="H2734" t="s">
        <v>18615</v>
      </c>
      <c r="I2734">
        <f t="shared" ca="1" si="168"/>
        <v>49</v>
      </c>
      <c r="J2734" t="str">
        <f t="shared" ca="1" si="169"/>
        <v>40-49</v>
      </c>
      <c r="K2734">
        <v>63018.54</v>
      </c>
      <c r="L2734" t="str">
        <f>IF(Workforce[[#This Row],[Salary]]&lt;50000,"30k-49k",IF(Workforce[[#This Row],[Salary]]&lt;70000,"50k-69k",IF(Workforce[[#This Row],[Salary]]&lt;90000,"70k-89k","90k+")))</f>
        <v>50k-69k</v>
      </c>
      <c r="M2734" t="s">
        <v>18616</v>
      </c>
      <c r="N2734">
        <f t="shared" ca="1" si="170"/>
        <v>2</v>
      </c>
      <c r="O2734" t="str">
        <f t="shared" ca="1" si="171"/>
        <v>Beginner</v>
      </c>
    </row>
    <row r="2735" spans="1:15" x14ac:dyDescent="0.3">
      <c r="A2735" t="s">
        <v>18617</v>
      </c>
      <c r="B2735" t="s">
        <v>18618</v>
      </c>
      <c r="C2735" t="s">
        <v>539</v>
      </c>
      <c r="D2735" t="s">
        <v>18619</v>
      </c>
      <c r="E2735" t="s">
        <v>18620</v>
      </c>
      <c r="F2735" t="s">
        <v>4895</v>
      </c>
      <c r="G2735" t="s">
        <v>18621</v>
      </c>
      <c r="H2735" t="s">
        <v>18622</v>
      </c>
      <c r="I2735">
        <f t="shared" ca="1" si="168"/>
        <v>41</v>
      </c>
      <c r="J2735" t="str">
        <f t="shared" ca="1" si="169"/>
        <v>40-49</v>
      </c>
      <c r="K2735">
        <v>97712.960000000006</v>
      </c>
      <c r="L2735" t="str">
        <f>IF(Workforce[[#This Row],[Salary]]&lt;50000,"30k-49k",IF(Workforce[[#This Row],[Salary]]&lt;70000,"50k-69k",IF(Workforce[[#This Row],[Salary]]&lt;90000,"70k-89k","90k+")))</f>
        <v>90k+</v>
      </c>
      <c r="M2735" t="s">
        <v>18623</v>
      </c>
      <c r="N2735">
        <f t="shared" ca="1" si="170"/>
        <v>1</v>
      </c>
      <c r="O2735" t="str">
        <f t="shared" ca="1" si="171"/>
        <v>Beginner</v>
      </c>
    </row>
    <row r="2736" spans="1:15" x14ac:dyDescent="0.3">
      <c r="A2736" t="s">
        <v>18624</v>
      </c>
      <c r="B2736" t="s">
        <v>18625</v>
      </c>
      <c r="C2736" t="s">
        <v>213</v>
      </c>
      <c r="D2736" t="s">
        <v>18626</v>
      </c>
      <c r="E2736" t="s">
        <v>18627</v>
      </c>
      <c r="F2736" t="s">
        <v>7320</v>
      </c>
      <c r="G2736" t="s">
        <v>18628</v>
      </c>
      <c r="H2736" t="s">
        <v>8565</v>
      </c>
      <c r="I2736">
        <f t="shared" ca="1" si="168"/>
        <v>55</v>
      </c>
      <c r="J2736" t="str">
        <f t="shared" ca="1" si="169"/>
        <v>50-59</v>
      </c>
      <c r="K2736">
        <v>68149.98</v>
      </c>
      <c r="L2736" t="str">
        <f>IF(Workforce[[#This Row],[Salary]]&lt;50000,"30k-49k",IF(Workforce[[#This Row],[Salary]]&lt;70000,"50k-69k",IF(Workforce[[#This Row],[Salary]]&lt;90000,"70k-89k","90k+")))</f>
        <v>50k-69k</v>
      </c>
      <c r="M2736" t="s">
        <v>18461</v>
      </c>
      <c r="N2736">
        <f t="shared" ca="1" si="170"/>
        <v>8</v>
      </c>
      <c r="O2736" t="str">
        <f t="shared" ca="1" si="171"/>
        <v>Senior level</v>
      </c>
    </row>
    <row r="2737" spans="1:15" x14ac:dyDescent="0.3">
      <c r="A2737" t="s">
        <v>18629</v>
      </c>
      <c r="B2737" t="s">
        <v>18630</v>
      </c>
      <c r="C2737" t="s">
        <v>335</v>
      </c>
      <c r="D2737" t="s">
        <v>18631</v>
      </c>
      <c r="E2737" t="s">
        <v>18632</v>
      </c>
      <c r="F2737" t="s">
        <v>6094</v>
      </c>
      <c r="G2737" t="s">
        <v>18633</v>
      </c>
      <c r="H2737" t="s">
        <v>5367</v>
      </c>
      <c r="I2737">
        <f t="shared" ca="1" si="168"/>
        <v>40</v>
      </c>
      <c r="J2737" t="str">
        <f t="shared" ca="1" si="169"/>
        <v>40-49</v>
      </c>
      <c r="K2737">
        <v>47457.58</v>
      </c>
      <c r="L2737" t="str">
        <f>IF(Workforce[[#This Row],[Salary]]&lt;50000,"30k-49k",IF(Workforce[[#This Row],[Salary]]&lt;70000,"50k-69k",IF(Workforce[[#This Row],[Salary]]&lt;90000,"70k-89k","90k+")))</f>
        <v>30k-49k</v>
      </c>
      <c r="M2737" t="s">
        <v>18634</v>
      </c>
      <c r="N2737">
        <f t="shared" ca="1" si="170"/>
        <v>6</v>
      </c>
      <c r="O2737" t="str">
        <f t="shared" ca="1" si="171"/>
        <v>Intermediate level</v>
      </c>
    </row>
    <row r="2738" spans="1:15" x14ac:dyDescent="0.3">
      <c r="A2738" t="s">
        <v>14063</v>
      </c>
      <c r="B2738" t="s">
        <v>18635</v>
      </c>
      <c r="C2738" t="s">
        <v>653</v>
      </c>
      <c r="D2738" t="s">
        <v>18636</v>
      </c>
      <c r="E2738" t="s">
        <v>18637</v>
      </c>
      <c r="F2738" t="s">
        <v>3957</v>
      </c>
      <c r="G2738" t="s">
        <v>18638</v>
      </c>
      <c r="H2738" t="s">
        <v>18639</v>
      </c>
      <c r="I2738">
        <f t="shared" ca="1" si="168"/>
        <v>39</v>
      </c>
      <c r="J2738" t="str">
        <f t="shared" ca="1" si="169"/>
        <v>30-39</v>
      </c>
      <c r="K2738">
        <v>31758.639999999999</v>
      </c>
      <c r="L2738" t="str">
        <f>IF(Workforce[[#This Row],[Salary]]&lt;50000,"30k-49k",IF(Workforce[[#This Row],[Salary]]&lt;70000,"50k-69k",IF(Workforce[[#This Row],[Salary]]&lt;90000,"70k-89k","90k+")))</f>
        <v>30k-49k</v>
      </c>
      <c r="M2738" t="s">
        <v>5928</v>
      </c>
      <c r="N2738">
        <f t="shared" ca="1" si="170"/>
        <v>4</v>
      </c>
      <c r="O2738" t="str">
        <f t="shared" ca="1" si="171"/>
        <v>Intermediate level</v>
      </c>
    </row>
    <row r="2739" spans="1:15" x14ac:dyDescent="0.3">
      <c r="A2739" t="s">
        <v>18640</v>
      </c>
      <c r="B2739" t="s">
        <v>18641</v>
      </c>
      <c r="C2739" t="s">
        <v>240</v>
      </c>
      <c r="D2739" t="s">
        <v>18642</v>
      </c>
      <c r="E2739" t="s">
        <v>18643</v>
      </c>
      <c r="F2739" t="s">
        <v>4379</v>
      </c>
      <c r="G2739" t="s">
        <v>18644</v>
      </c>
      <c r="H2739" t="s">
        <v>18645</v>
      </c>
      <c r="I2739">
        <f t="shared" ca="1" si="168"/>
        <v>35</v>
      </c>
      <c r="J2739" t="str">
        <f t="shared" ca="1" si="169"/>
        <v>30-39</v>
      </c>
      <c r="K2739">
        <v>41434.089999999997</v>
      </c>
      <c r="L2739" t="str">
        <f>IF(Workforce[[#This Row],[Salary]]&lt;50000,"30k-49k",IF(Workforce[[#This Row],[Salary]]&lt;70000,"50k-69k",IF(Workforce[[#This Row],[Salary]]&lt;90000,"70k-89k","90k+")))</f>
        <v>30k-49k</v>
      </c>
      <c r="M2739" t="s">
        <v>18646</v>
      </c>
      <c r="N2739">
        <f t="shared" ca="1" si="170"/>
        <v>10</v>
      </c>
      <c r="O2739" t="str">
        <f t="shared" ca="1" si="171"/>
        <v>Senior level</v>
      </c>
    </row>
    <row r="2740" spans="1:15" x14ac:dyDescent="0.3">
      <c r="A2740" t="s">
        <v>18647</v>
      </c>
      <c r="B2740" t="s">
        <v>18648</v>
      </c>
      <c r="C2740" t="s">
        <v>124</v>
      </c>
      <c r="D2740" t="s">
        <v>18649</v>
      </c>
      <c r="E2740" t="s">
        <v>18650</v>
      </c>
      <c r="F2740" t="s">
        <v>2768</v>
      </c>
      <c r="G2740" t="s">
        <v>18651</v>
      </c>
      <c r="H2740" t="s">
        <v>5157</v>
      </c>
      <c r="I2740">
        <f t="shared" ca="1" si="168"/>
        <v>20</v>
      </c>
      <c r="J2740" t="str">
        <f t="shared" ca="1" si="169"/>
        <v>18-29</v>
      </c>
      <c r="K2740">
        <v>61287.53</v>
      </c>
      <c r="L2740" t="str">
        <f>IF(Workforce[[#This Row],[Salary]]&lt;50000,"30k-49k",IF(Workforce[[#This Row],[Salary]]&lt;70000,"50k-69k",IF(Workforce[[#This Row],[Salary]]&lt;90000,"70k-89k","90k+")))</f>
        <v>50k-69k</v>
      </c>
      <c r="M2740" t="s">
        <v>12650</v>
      </c>
      <c r="N2740">
        <f t="shared" ca="1" si="170"/>
        <v>2</v>
      </c>
      <c r="O2740" t="str">
        <f t="shared" ca="1" si="171"/>
        <v>Beginner</v>
      </c>
    </row>
    <row r="2741" spans="1:15" x14ac:dyDescent="0.3">
      <c r="A2741" t="s">
        <v>18652</v>
      </c>
      <c r="B2741" t="s">
        <v>18653</v>
      </c>
      <c r="C2741" t="s">
        <v>335</v>
      </c>
      <c r="D2741" t="s">
        <v>18654</v>
      </c>
      <c r="E2741" t="s">
        <v>18655</v>
      </c>
      <c r="F2741" t="s">
        <v>4402</v>
      </c>
      <c r="G2741" t="s">
        <v>18656</v>
      </c>
      <c r="H2741" t="s">
        <v>18657</v>
      </c>
      <c r="I2741">
        <f t="shared" ca="1" si="168"/>
        <v>24</v>
      </c>
      <c r="J2741" t="str">
        <f t="shared" ca="1" si="169"/>
        <v>18-29</v>
      </c>
      <c r="K2741">
        <v>47257.34</v>
      </c>
      <c r="L2741" t="str">
        <f>IF(Workforce[[#This Row],[Salary]]&lt;50000,"30k-49k",IF(Workforce[[#This Row],[Salary]]&lt;70000,"50k-69k",IF(Workforce[[#This Row],[Salary]]&lt;90000,"70k-89k","90k+")))</f>
        <v>30k-49k</v>
      </c>
      <c r="M2741" t="s">
        <v>7315</v>
      </c>
      <c r="N2741">
        <f t="shared" ca="1" si="170"/>
        <v>8</v>
      </c>
      <c r="O2741" t="str">
        <f t="shared" ca="1" si="171"/>
        <v>Senior level</v>
      </c>
    </row>
    <row r="2742" spans="1:15" x14ac:dyDescent="0.3">
      <c r="A2742" t="s">
        <v>18658</v>
      </c>
      <c r="B2742" t="s">
        <v>18659</v>
      </c>
      <c r="C2742" t="s">
        <v>317</v>
      </c>
      <c r="D2742" t="s">
        <v>18660</v>
      </c>
      <c r="E2742" t="s">
        <v>18661</v>
      </c>
      <c r="F2742" t="s">
        <v>6862</v>
      </c>
      <c r="G2742" t="s">
        <v>18662</v>
      </c>
      <c r="H2742" t="s">
        <v>18663</v>
      </c>
      <c r="I2742">
        <f t="shared" ca="1" si="168"/>
        <v>55</v>
      </c>
      <c r="J2742" t="str">
        <f t="shared" ca="1" si="169"/>
        <v>50-59</v>
      </c>
      <c r="K2742">
        <v>39302.31</v>
      </c>
      <c r="L2742" t="str">
        <f>IF(Workforce[[#This Row],[Salary]]&lt;50000,"30k-49k",IF(Workforce[[#This Row],[Salary]]&lt;70000,"50k-69k",IF(Workforce[[#This Row],[Salary]]&lt;90000,"70k-89k","90k+")))</f>
        <v>30k-49k</v>
      </c>
      <c r="M2742" t="s">
        <v>18664</v>
      </c>
      <c r="N2742">
        <f t="shared" ca="1" si="170"/>
        <v>10</v>
      </c>
      <c r="O2742" t="str">
        <f t="shared" ca="1" si="171"/>
        <v>Senior level</v>
      </c>
    </row>
    <row r="2743" spans="1:15" x14ac:dyDescent="0.3">
      <c r="A2743" t="s">
        <v>18665</v>
      </c>
      <c r="B2743" t="s">
        <v>18666</v>
      </c>
      <c r="C2743" t="s">
        <v>351</v>
      </c>
      <c r="D2743" t="s">
        <v>18667</v>
      </c>
      <c r="E2743" t="s">
        <v>18668</v>
      </c>
      <c r="F2743" t="s">
        <v>768</v>
      </c>
      <c r="G2743" t="s">
        <v>18669</v>
      </c>
      <c r="H2743" t="s">
        <v>18670</v>
      </c>
      <c r="I2743">
        <f t="shared" ca="1" si="168"/>
        <v>25</v>
      </c>
      <c r="J2743" t="str">
        <f t="shared" ca="1" si="169"/>
        <v>18-29</v>
      </c>
      <c r="K2743">
        <v>99056.7</v>
      </c>
      <c r="L2743" t="str">
        <f>IF(Workforce[[#This Row],[Salary]]&lt;50000,"30k-49k",IF(Workforce[[#This Row],[Salary]]&lt;70000,"50k-69k",IF(Workforce[[#This Row],[Salary]]&lt;90000,"70k-89k","90k+")))</f>
        <v>90k+</v>
      </c>
      <c r="M2743" t="s">
        <v>18671</v>
      </c>
      <c r="N2743">
        <f t="shared" ca="1" si="170"/>
        <v>5</v>
      </c>
      <c r="O2743" t="str">
        <f t="shared" ca="1" si="171"/>
        <v>Intermediate level</v>
      </c>
    </row>
    <row r="2744" spans="1:15" x14ac:dyDescent="0.3">
      <c r="A2744" t="s">
        <v>18672</v>
      </c>
      <c r="B2744" t="s">
        <v>18673</v>
      </c>
      <c r="C2744" t="s">
        <v>774</v>
      </c>
      <c r="D2744" t="s">
        <v>18674</v>
      </c>
      <c r="E2744" t="s">
        <v>18675</v>
      </c>
      <c r="F2744" t="s">
        <v>1919</v>
      </c>
      <c r="G2744" t="s">
        <v>18676</v>
      </c>
      <c r="H2744" t="s">
        <v>18677</v>
      </c>
      <c r="I2744">
        <f t="shared" ca="1" si="168"/>
        <v>55</v>
      </c>
      <c r="J2744" t="str">
        <f t="shared" ca="1" si="169"/>
        <v>50-59</v>
      </c>
      <c r="K2744">
        <v>66207.08</v>
      </c>
      <c r="L2744" t="str">
        <f>IF(Workforce[[#This Row],[Salary]]&lt;50000,"30k-49k",IF(Workforce[[#This Row],[Salary]]&lt;70000,"50k-69k",IF(Workforce[[#This Row],[Salary]]&lt;90000,"70k-89k","90k+")))</f>
        <v>50k-69k</v>
      </c>
      <c r="M2744" t="s">
        <v>18678</v>
      </c>
      <c r="N2744">
        <f t="shared" ca="1" si="170"/>
        <v>8</v>
      </c>
      <c r="O2744" t="str">
        <f t="shared" ca="1" si="171"/>
        <v>Senior level</v>
      </c>
    </row>
    <row r="2745" spans="1:15" x14ac:dyDescent="0.3">
      <c r="A2745" t="s">
        <v>18679</v>
      </c>
      <c r="B2745" t="s">
        <v>18680</v>
      </c>
      <c r="C2745" t="s">
        <v>326</v>
      </c>
      <c r="D2745" t="s">
        <v>18681</v>
      </c>
      <c r="E2745" t="s">
        <v>18682</v>
      </c>
      <c r="F2745" t="s">
        <v>4757</v>
      </c>
      <c r="G2745" t="s">
        <v>18683</v>
      </c>
      <c r="H2745" t="s">
        <v>18684</v>
      </c>
      <c r="I2745">
        <f t="shared" ca="1" si="168"/>
        <v>66</v>
      </c>
      <c r="J2745" t="str">
        <f t="shared" ca="1" si="169"/>
        <v>60+</v>
      </c>
      <c r="K2745">
        <v>50782.05</v>
      </c>
      <c r="L2745" t="str">
        <f>IF(Workforce[[#This Row],[Salary]]&lt;50000,"30k-49k",IF(Workforce[[#This Row],[Salary]]&lt;70000,"50k-69k",IF(Workforce[[#This Row],[Salary]]&lt;90000,"70k-89k","90k+")))</f>
        <v>50k-69k</v>
      </c>
      <c r="M2745" t="s">
        <v>642</v>
      </c>
      <c r="N2745">
        <f t="shared" ca="1" si="170"/>
        <v>4</v>
      </c>
      <c r="O2745" t="str">
        <f t="shared" ca="1" si="171"/>
        <v>Intermediate level</v>
      </c>
    </row>
    <row r="2746" spans="1:15" x14ac:dyDescent="0.3">
      <c r="A2746" t="s">
        <v>18685</v>
      </c>
      <c r="B2746" t="s">
        <v>18686</v>
      </c>
      <c r="C2746" t="s">
        <v>178</v>
      </c>
      <c r="D2746" t="s">
        <v>18687</v>
      </c>
      <c r="E2746" t="s">
        <v>18688</v>
      </c>
      <c r="F2746" t="s">
        <v>6175</v>
      </c>
      <c r="G2746" t="s">
        <v>18689</v>
      </c>
      <c r="H2746" t="s">
        <v>18690</v>
      </c>
      <c r="I2746">
        <f t="shared" ca="1" si="168"/>
        <v>41</v>
      </c>
      <c r="J2746" t="str">
        <f t="shared" ca="1" si="169"/>
        <v>40-49</v>
      </c>
      <c r="K2746">
        <v>97498.45</v>
      </c>
      <c r="L2746" t="str">
        <f>IF(Workforce[[#This Row],[Salary]]&lt;50000,"30k-49k",IF(Workforce[[#This Row],[Salary]]&lt;70000,"50k-69k",IF(Workforce[[#This Row],[Salary]]&lt;90000,"70k-89k","90k+")))</f>
        <v>90k+</v>
      </c>
      <c r="M2746" t="s">
        <v>5843</v>
      </c>
      <c r="N2746">
        <f t="shared" ca="1" si="170"/>
        <v>3</v>
      </c>
      <c r="O2746" t="str">
        <f t="shared" ca="1" si="171"/>
        <v>Intermediate level</v>
      </c>
    </row>
    <row r="2747" spans="1:15" x14ac:dyDescent="0.3">
      <c r="A2747" t="s">
        <v>18691</v>
      </c>
      <c r="B2747" t="s">
        <v>18692</v>
      </c>
      <c r="C2747" t="s">
        <v>580</v>
      </c>
      <c r="D2747" t="s">
        <v>18693</v>
      </c>
      <c r="E2747" t="s">
        <v>18694</v>
      </c>
      <c r="F2747" t="s">
        <v>10232</v>
      </c>
      <c r="G2747" t="s">
        <v>18695</v>
      </c>
      <c r="H2747" t="s">
        <v>18696</v>
      </c>
      <c r="I2747">
        <f t="shared" ca="1" si="168"/>
        <v>49</v>
      </c>
      <c r="J2747" t="str">
        <f t="shared" ca="1" si="169"/>
        <v>40-49</v>
      </c>
      <c r="K2747">
        <v>83310.509999999995</v>
      </c>
      <c r="L2747" t="str">
        <f>IF(Workforce[[#This Row],[Salary]]&lt;50000,"30k-49k",IF(Workforce[[#This Row],[Salary]]&lt;70000,"50k-69k",IF(Workforce[[#This Row],[Salary]]&lt;90000,"70k-89k","90k+")))</f>
        <v>70k-89k</v>
      </c>
      <c r="M2747" t="s">
        <v>13350</v>
      </c>
      <c r="N2747">
        <f t="shared" ca="1" si="170"/>
        <v>2</v>
      </c>
      <c r="O2747" t="str">
        <f t="shared" ca="1" si="171"/>
        <v>Beginner</v>
      </c>
    </row>
    <row r="2748" spans="1:15" x14ac:dyDescent="0.3">
      <c r="A2748" t="s">
        <v>18697</v>
      </c>
      <c r="B2748" t="s">
        <v>18698</v>
      </c>
      <c r="C2748" t="s">
        <v>106</v>
      </c>
      <c r="D2748" t="s">
        <v>18699</v>
      </c>
      <c r="E2748" t="s">
        <v>18700</v>
      </c>
      <c r="F2748" t="s">
        <v>9652</v>
      </c>
      <c r="G2748" t="s">
        <v>18701</v>
      </c>
      <c r="H2748" t="s">
        <v>18702</v>
      </c>
      <c r="I2748">
        <f t="shared" ca="1" si="168"/>
        <v>63</v>
      </c>
      <c r="J2748" t="str">
        <f t="shared" ca="1" si="169"/>
        <v>60+</v>
      </c>
      <c r="K2748">
        <v>43864.41</v>
      </c>
      <c r="L2748" t="str">
        <f>IF(Workforce[[#This Row],[Salary]]&lt;50000,"30k-49k",IF(Workforce[[#This Row],[Salary]]&lt;70000,"50k-69k",IF(Workforce[[#This Row],[Salary]]&lt;90000,"70k-89k","90k+")))</f>
        <v>30k-49k</v>
      </c>
      <c r="M2748" t="s">
        <v>488</v>
      </c>
      <c r="N2748">
        <f t="shared" ca="1" si="170"/>
        <v>4</v>
      </c>
      <c r="O2748" t="str">
        <f t="shared" ca="1" si="171"/>
        <v>Intermediate level</v>
      </c>
    </row>
    <row r="2749" spans="1:15" x14ac:dyDescent="0.3">
      <c r="A2749" t="s">
        <v>18703</v>
      </c>
      <c r="B2749" t="s">
        <v>18704</v>
      </c>
      <c r="C2749" t="s">
        <v>351</v>
      </c>
      <c r="D2749" t="s">
        <v>18705</v>
      </c>
      <c r="E2749" t="s">
        <v>18706</v>
      </c>
      <c r="F2749" t="s">
        <v>2938</v>
      </c>
      <c r="G2749" t="s">
        <v>18707</v>
      </c>
      <c r="H2749" t="s">
        <v>18708</v>
      </c>
      <c r="I2749">
        <f t="shared" ca="1" si="168"/>
        <v>22</v>
      </c>
      <c r="J2749" t="str">
        <f t="shared" ca="1" si="169"/>
        <v>18-29</v>
      </c>
      <c r="K2749">
        <v>41941</v>
      </c>
      <c r="L2749" t="str">
        <f>IF(Workforce[[#This Row],[Salary]]&lt;50000,"30k-49k",IF(Workforce[[#This Row],[Salary]]&lt;70000,"50k-69k",IF(Workforce[[#This Row],[Salary]]&lt;90000,"70k-89k","90k+")))</f>
        <v>30k-49k</v>
      </c>
      <c r="M2749" t="s">
        <v>18709</v>
      </c>
      <c r="N2749">
        <f t="shared" ca="1" si="170"/>
        <v>5</v>
      </c>
      <c r="O2749" t="str">
        <f t="shared" ca="1" si="171"/>
        <v>Intermediate level</v>
      </c>
    </row>
    <row r="2750" spans="1:15" x14ac:dyDescent="0.3">
      <c r="A2750" t="s">
        <v>18710</v>
      </c>
      <c r="B2750" t="s">
        <v>18711</v>
      </c>
      <c r="C2750" t="s">
        <v>169</v>
      </c>
      <c r="D2750" t="s">
        <v>18712</v>
      </c>
      <c r="E2750" t="s">
        <v>18713</v>
      </c>
      <c r="F2750" t="s">
        <v>2313</v>
      </c>
      <c r="G2750" t="s">
        <v>18714</v>
      </c>
      <c r="H2750" t="s">
        <v>18715</v>
      </c>
      <c r="I2750">
        <f t="shared" ca="1" si="168"/>
        <v>46</v>
      </c>
      <c r="J2750" t="str">
        <f t="shared" ca="1" si="169"/>
        <v>40-49</v>
      </c>
      <c r="K2750">
        <v>36069.5</v>
      </c>
      <c r="L2750" t="str">
        <f>IF(Workforce[[#This Row],[Salary]]&lt;50000,"30k-49k",IF(Workforce[[#This Row],[Salary]]&lt;70000,"50k-69k",IF(Workforce[[#This Row],[Salary]]&lt;90000,"70k-89k","90k+")))</f>
        <v>30k-49k</v>
      </c>
      <c r="M2750" t="s">
        <v>18716</v>
      </c>
      <c r="N2750">
        <f t="shared" ca="1" si="170"/>
        <v>3</v>
      </c>
      <c r="O2750" t="str">
        <f t="shared" ca="1" si="171"/>
        <v>Intermediate level</v>
      </c>
    </row>
    <row r="2751" spans="1:15" x14ac:dyDescent="0.3">
      <c r="A2751" t="s">
        <v>18717</v>
      </c>
      <c r="B2751" t="s">
        <v>18718</v>
      </c>
      <c r="C2751" t="s">
        <v>317</v>
      </c>
      <c r="D2751" t="s">
        <v>18719</v>
      </c>
      <c r="E2751" t="s">
        <v>18720</v>
      </c>
      <c r="F2751" t="s">
        <v>5134</v>
      </c>
      <c r="G2751" t="s">
        <v>18721</v>
      </c>
      <c r="H2751" t="s">
        <v>18722</v>
      </c>
      <c r="I2751">
        <f t="shared" ca="1" si="168"/>
        <v>23</v>
      </c>
      <c r="J2751" t="str">
        <f t="shared" ca="1" si="169"/>
        <v>18-29</v>
      </c>
      <c r="K2751">
        <v>77001.240000000005</v>
      </c>
      <c r="L2751" t="str">
        <f>IF(Workforce[[#This Row],[Salary]]&lt;50000,"30k-49k",IF(Workforce[[#This Row],[Salary]]&lt;70000,"50k-69k",IF(Workforce[[#This Row],[Salary]]&lt;90000,"70k-89k","90k+")))</f>
        <v>70k-89k</v>
      </c>
      <c r="M2751" t="s">
        <v>7882</v>
      </c>
      <c r="N2751">
        <f t="shared" ca="1" si="170"/>
        <v>7</v>
      </c>
      <c r="O2751" t="str">
        <f t="shared" ca="1" si="171"/>
        <v>Senior level</v>
      </c>
    </row>
    <row r="2752" spans="1:15" x14ac:dyDescent="0.3">
      <c r="A2752" t="s">
        <v>18723</v>
      </c>
      <c r="B2752" t="s">
        <v>18724</v>
      </c>
      <c r="C2752" t="s">
        <v>17</v>
      </c>
      <c r="D2752" t="s">
        <v>18725</v>
      </c>
      <c r="E2752" t="s">
        <v>18726</v>
      </c>
      <c r="F2752" t="s">
        <v>855</v>
      </c>
      <c r="G2752" t="s">
        <v>18727</v>
      </c>
      <c r="H2752" t="s">
        <v>18728</v>
      </c>
      <c r="I2752">
        <f t="shared" ca="1" si="168"/>
        <v>34</v>
      </c>
      <c r="J2752" t="str">
        <f t="shared" ca="1" si="169"/>
        <v>30-39</v>
      </c>
      <c r="K2752">
        <v>36194.519999999997</v>
      </c>
      <c r="L2752" t="str">
        <f>IF(Workforce[[#This Row],[Salary]]&lt;50000,"30k-49k",IF(Workforce[[#This Row],[Salary]]&lt;70000,"50k-69k",IF(Workforce[[#This Row],[Salary]]&lt;90000,"70k-89k","90k+")))</f>
        <v>30k-49k</v>
      </c>
      <c r="M2752" t="s">
        <v>2748</v>
      </c>
      <c r="N2752">
        <f t="shared" ca="1" si="170"/>
        <v>7</v>
      </c>
      <c r="O2752" t="str">
        <f t="shared" ca="1" si="171"/>
        <v>Senior level</v>
      </c>
    </row>
    <row r="2753" spans="1:15" x14ac:dyDescent="0.3">
      <c r="A2753" t="s">
        <v>18729</v>
      </c>
      <c r="B2753" t="s">
        <v>18730</v>
      </c>
      <c r="C2753" t="s">
        <v>1004</v>
      </c>
      <c r="D2753" t="s">
        <v>18731</v>
      </c>
      <c r="E2753" t="s">
        <v>18732</v>
      </c>
      <c r="F2753" t="s">
        <v>10802</v>
      </c>
      <c r="G2753" t="s">
        <v>18733</v>
      </c>
      <c r="H2753" t="s">
        <v>18734</v>
      </c>
      <c r="I2753">
        <f t="shared" ca="1" si="168"/>
        <v>61</v>
      </c>
      <c r="J2753" t="str">
        <f t="shared" ca="1" si="169"/>
        <v>60+</v>
      </c>
      <c r="K2753">
        <v>82817.87</v>
      </c>
      <c r="L2753" t="str">
        <f>IF(Workforce[[#This Row],[Salary]]&lt;50000,"30k-49k",IF(Workforce[[#This Row],[Salary]]&lt;70000,"50k-69k",IF(Workforce[[#This Row],[Salary]]&lt;90000,"70k-89k","90k+")))</f>
        <v>70k-89k</v>
      </c>
      <c r="M2753" t="s">
        <v>8752</v>
      </c>
      <c r="N2753">
        <f t="shared" ca="1" si="170"/>
        <v>3</v>
      </c>
      <c r="O2753" t="str">
        <f t="shared" ca="1" si="171"/>
        <v>Intermediate level</v>
      </c>
    </row>
    <row r="2754" spans="1:15" x14ac:dyDescent="0.3">
      <c r="A2754" t="s">
        <v>18735</v>
      </c>
      <c r="B2754" t="s">
        <v>18736</v>
      </c>
      <c r="C2754" t="s">
        <v>61</v>
      </c>
      <c r="D2754" t="s">
        <v>18737</v>
      </c>
      <c r="E2754" t="s">
        <v>18738</v>
      </c>
      <c r="F2754" t="s">
        <v>6008</v>
      </c>
      <c r="G2754" t="s">
        <v>18739</v>
      </c>
      <c r="H2754" t="s">
        <v>18645</v>
      </c>
      <c r="I2754">
        <f t="shared" ref="I2754:I2817" ca="1" si="172">DATEDIF(H2754,TODAY(),"y")</f>
        <v>35</v>
      </c>
      <c r="J2754" t="str">
        <f t="shared" ref="J2754:J2817" ca="1" si="173">IF(I2754&lt;30,"18-29",IF(I2754&lt;40,"30-39",IF(I2754&lt;50,"40-49",IF(I2754&lt;60,"50-59","60+"))))</f>
        <v>30-39</v>
      </c>
      <c r="K2754">
        <v>86050.53</v>
      </c>
      <c r="L2754" t="str">
        <f>IF(Workforce[[#This Row],[Salary]]&lt;50000,"30k-49k",IF(Workforce[[#This Row],[Salary]]&lt;70000,"50k-69k",IF(Workforce[[#This Row],[Salary]]&lt;90000,"70k-89k","90k+")))</f>
        <v>70k-89k</v>
      </c>
      <c r="M2754" t="s">
        <v>15156</v>
      </c>
      <c r="N2754">
        <f t="shared" ref="N2754:N2817" ca="1" si="174">DATEDIF(M2754,TODAY(),"y")</f>
        <v>3</v>
      </c>
      <c r="O2754" t="str">
        <f t="shared" ref="O2754:O2817" ca="1" si="175">IF(N2754&lt;=2,"Beginner",IF(N2754&lt;=6,"Intermediate level","Senior level"))</f>
        <v>Intermediate level</v>
      </c>
    </row>
    <row r="2755" spans="1:15" x14ac:dyDescent="0.3">
      <c r="A2755" t="s">
        <v>18740</v>
      </c>
      <c r="B2755" t="s">
        <v>18741</v>
      </c>
      <c r="C2755" t="s">
        <v>326</v>
      </c>
      <c r="D2755" t="s">
        <v>18742</v>
      </c>
      <c r="E2755" t="s">
        <v>18743</v>
      </c>
      <c r="F2755" t="s">
        <v>5516</v>
      </c>
      <c r="G2755" t="s">
        <v>18744</v>
      </c>
      <c r="H2755" t="s">
        <v>18745</v>
      </c>
      <c r="I2755">
        <f t="shared" ca="1" si="172"/>
        <v>59</v>
      </c>
      <c r="J2755" t="str">
        <f t="shared" ca="1" si="173"/>
        <v>50-59</v>
      </c>
      <c r="K2755">
        <v>104817.19</v>
      </c>
      <c r="L2755" t="str">
        <f>IF(Workforce[[#This Row],[Salary]]&lt;50000,"30k-49k",IF(Workforce[[#This Row],[Salary]]&lt;70000,"50k-69k",IF(Workforce[[#This Row],[Salary]]&lt;90000,"70k-89k","90k+")))</f>
        <v>90k+</v>
      </c>
      <c r="M2755" t="s">
        <v>18746</v>
      </c>
      <c r="N2755">
        <f t="shared" ca="1" si="174"/>
        <v>6</v>
      </c>
      <c r="O2755" t="str">
        <f t="shared" ca="1" si="175"/>
        <v>Intermediate level</v>
      </c>
    </row>
    <row r="2756" spans="1:15" x14ac:dyDescent="0.3">
      <c r="A2756" t="s">
        <v>18747</v>
      </c>
      <c r="B2756" t="s">
        <v>18748</v>
      </c>
      <c r="C2756" t="s">
        <v>539</v>
      </c>
      <c r="D2756" t="s">
        <v>18749</v>
      </c>
      <c r="E2756" t="s">
        <v>18750</v>
      </c>
      <c r="F2756" t="s">
        <v>2066</v>
      </c>
      <c r="G2756" t="s">
        <v>18751</v>
      </c>
      <c r="H2756" t="s">
        <v>18752</v>
      </c>
      <c r="I2756">
        <f t="shared" ca="1" si="172"/>
        <v>43</v>
      </c>
      <c r="J2756" t="str">
        <f t="shared" ca="1" si="173"/>
        <v>40-49</v>
      </c>
      <c r="K2756">
        <v>34175.74</v>
      </c>
      <c r="L2756" t="str">
        <f>IF(Workforce[[#This Row],[Salary]]&lt;50000,"30k-49k",IF(Workforce[[#This Row],[Salary]]&lt;70000,"50k-69k",IF(Workforce[[#This Row],[Salary]]&lt;90000,"70k-89k","90k+")))</f>
        <v>30k-49k</v>
      </c>
      <c r="M2756" t="s">
        <v>16985</v>
      </c>
      <c r="N2756">
        <f t="shared" ca="1" si="174"/>
        <v>3</v>
      </c>
      <c r="O2756" t="str">
        <f t="shared" ca="1" si="175"/>
        <v>Intermediate level</v>
      </c>
    </row>
    <row r="2757" spans="1:15" x14ac:dyDescent="0.3">
      <c r="A2757" t="s">
        <v>18753</v>
      </c>
      <c r="B2757" t="s">
        <v>18754</v>
      </c>
      <c r="C2757" t="s">
        <v>995</v>
      </c>
      <c r="D2757" t="s">
        <v>18755</v>
      </c>
      <c r="E2757" t="s">
        <v>18756</v>
      </c>
      <c r="F2757" t="s">
        <v>10031</v>
      </c>
      <c r="G2757" t="s">
        <v>18757</v>
      </c>
      <c r="H2757" t="s">
        <v>18758</v>
      </c>
      <c r="I2757">
        <f t="shared" ca="1" si="172"/>
        <v>22</v>
      </c>
      <c r="J2757" t="str">
        <f t="shared" ca="1" si="173"/>
        <v>18-29</v>
      </c>
      <c r="K2757">
        <v>68798.259999999995</v>
      </c>
      <c r="L2757" t="str">
        <f>IF(Workforce[[#This Row],[Salary]]&lt;50000,"30k-49k",IF(Workforce[[#This Row],[Salary]]&lt;70000,"50k-69k",IF(Workforce[[#This Row],[Salary]]&lt;90000,"70k-89k","90k+")))</f>
        <v>50k-69k</v>
      </c>
      <c r="M2757" t="s">
        <v>9655</v>
      </c>
      <c r="N2757">
        <f t="shared" ca="1" si="174"/>
        <v>9</v>
      </c>
      <c r="O2757" t="str">
        <f t="shared" ca="1" si="175"/>
        <v>Senior level</v>
      </c>
    </row>
    <row r="2758" spans="1:15" x14ac:dyDescent="0.3">
      <c r="A2758" t="s">
        <v>18759</v>
      </c>
      <c r="B2758" t="s">
        <v>18760</v>
      </c>
      <c r="C2758" t="s">
        <v>351</v>
      </c>
      <c r="D2758" t="s">
        <v>18761</v>
      </c>
      <c r="E2758" t="s">
        <v>18762</v>
      </c>
      <c r="F2758" t="s">
        <v>3812</v>
      </c>
      <c r="G2758" t="s">
        <v>18763</v>
      </c>
      <c r="H2758" t="s">
        <v>18764</v>
      </c>
      <c r="I2758">
        <f t="shared" ca="1" si="172"/>
        <v>60</v>
      </c>
      <c r="J2758" t="str">
        <f t="shared" ca="1" si="173"/>
        <v>60+</v>
      </c>
      <c r="K2758">
        <v>91867.17</v>
      </c>
      <c r="L2758" t="str">
        <f>IF(Workforce[[#This Row],[Salary]]&lt;50000,"30k-49k",IF(Workforce[[#This Row],[Salary]]&lt;70000,"50k-69k",IF(Workforce[[#This Row],[Salary]]&lt;90000,"70k-89k","90k+")))</f>
        <v>90k+</v>
      </c>
      <c r="M2758" t="s">
        <v>18765</v>
      </c>
      <c r="N2758">
        <f t="shared" ca="1" si="174"/>
        <v>1</v>
      </c>
      <c r="O2758" t="str">
        <f t="shared" ca="1" si="175"/>
        <v>Beginner</v>
      </c>
    </row>
    <row r="2759" spans="1:15" x14ac:dyDescent="0.3">
      <c r="A2759" t="s">
        <v>18766</v>
      </c>
      <c r="B2759" t="s">
        <v>18767</v>
      </c>
      <c r="C2759" t="s">
        <v>317</v>
      </c>
      <c r="D2759" t="s">
        <v>18768</v>
      </c>
      <c r="E2759" t="s">
        <v>18769</v>
      </c>
      <c r="F2759" t="s">
        <v>2117</v>
      </c>
      <c r="G2759" t="s">
        <v>18770</v>
      </c>
      <c r="H2759" t="s">
        <v>2617</v>
      </c>
      <c r="I2759">
        <f t="shared" ca="1" si="172"/>
        <v>39</v>
      </c>
      <c r="J2759" t="str">
        <f t="shared" ca="1" si="173"/>
        <v>30-39</v>
      </c>
      <c r="K2759">
        <v>102737.91</v>
      </c>
      <c r="L2759" t="str">
        <f>IF(Workforce[[#This Row],[Salary]]&lt;50000,"30k-49k",IF(Workforce[[#This Row],[Salary]]&lt;70000,"50k-69k",IF(Workforce[[#This Row],[Salary]]&lt;90000,"70k-89k","90k+")))</f>
        <v>90k+</v>
      </c>
      <c r="M2759" t="s">
        <v>11572</v>
      </c>
      <c r="N2759">
        <f t="shared" ca="1" si="174"/>
        <v>10</v>
      </c>
      <c r="O2759" t="str">
        <f t="shared" ca="1" si="175"/>
        <v>Senior level</v>
      </c>
    </row>
    <row r="2760" spans="1:15" x14ac:dyDescent="0.3">
      <c r="A2760" t="s">
        <v>3779</v>
      </c>
      <c r="B2760" t="s">
        <v>18771</v>
      </c>
      <c r="C2760" t="s">
        <v>133</v>
      </c>
      <c r="D2760" t="s">
        <v>18772</v>
      </c>
      <c r="E2760" t="s">
        <v>18773</v>
      </c>
      <c r="F2760" t="s">
        <v>1541</v>
      </c>
      <c r="G2760" t="s">
        <v>18774</v>
      </c>
      <c r="H2760" t="s">
        <v>9279</v>
      </c>
      <c r="I2760">
        <f t="shared" ca="1" si="172"/>
        <v>35</v>
      </c>
      <c r="J2760" t="str">
        <f t="shared" ca="1" si="173"/>
        <v>30-39</v>
      </c>
      <c r="K2760">
        <v>50342.81</v>
      </c>
      <c r="L2760" t="str">
        <f>IF(Workforce[[#This Row],[Salary]]&lt;50000,"30k-49k",IF(Workforce[[#This Row],[Salary]]&lt;70000,"50k-69k",IF(Workforce[[#This Row],[Salary]]&lt;90000,"70k-89k","90k+")))</f>
        <v>50k-69k</v>
      </c>
      <c r="M2760" t="s">
        <v>10013</v>
      </c>
      <c r="N2760">
        <f t="shared" ca="1" si="174"/>
        <v>10</v>
      </c>
      <c r="O2760" t="str">
        <f t="shared" ca="1" si="175"/>
        <v>Senior level</v>
      </c>
    </row>
    <row r="2761" spans="1:15" x14ac:dyDescent="0.3">
      <c r="A2761" t="s">
        <v>18775</v>
      </c>
      <c r="B2761" t="s">
        <v>18776</v>
      </c>
      <c r="C2761" t="s">
        <v>482</v>
      </c>
      <c r="D2761" t="s">
        <v>18777</v>
      </c>
      <c r="E2761" t="s">
        <v>18778</v>
      </c>
      <c r="F2761" t="s">
        <v>181</v>
      </c>
      <c r="G2761" t="s">
        <v>18779</v>
      </c>
      <c r="H2761" t="s">
        <v>18780</v>
      </c>
      <c r="I2761">
        <f t="shared" ca="1" si="172"/>
        <v>56</v>
      </c>
      <c r="J2761" t="str">
        <f t="shared" ca="1" si="173"/>
        <v>50-59</v>
      </c>
      <c r="K2761">
        <v>96507.29</v>
      </c>
      <c r="L2761" t="str">
        <f>IF(Workforce[[#This Row],[Salary]]&lt;50000,"30k-49k",IF(Workforce[[#This Row],[Salary]]&lt;70000,"50k-69k",IF(Workforce[[#This Row],[Salary]]&lt;90000,"70k-89k","90k+")))</f>
        <v>90k+</v>
      </c>
      <c r="M2761" t="s">
        <v>18781</v>
      </c>
      <c r="N2761">
        <f t="shared" ca="1" si="174"/>
        <v>4</v>
      </c>
      <c r="O2761" t="str">
        <f t="shared" ca="1" si="175"/>
        <v>Intermediate level</v>
      </c>
    </row>
    <row r="2762" spans="1:15" x14ac:dyDescent="0.3">
      <c r="A2762" t="s">
        <v>18782</v>
      </c>
      <c r="B2762" t="s">
        <v>18783</v>
      </c>
      <c r="C2762" t="s">
        <v>440</v>
      </c>
      <c r="D2762" t="s">
        <v>18784</v>
      </c>
      <c r="E2762" t="s">
        <v>18785</v>
      </c>
      <c r="F2762" t="s">
        <v>902</v>
      </c>
      <c r="G2762" t="s">
        <v>18786</v>
      </c>
      <c r="H2762" t="s">
        <v>18787</v>
      </c>
      <c r="I2762">
        <f t="shared" ca="1" si="172"/>
        <v>24</v>
      </c>
      <c r="J2762" t="str">
        <f t="shared" ca="1" si="173"/>
        <v>18-29</v>
      </c>
      <c r="K2762">
        <v>91875.67</v>
      </c>
      <c r="L2762" t="str">
        <f>IF(Workforce[[#This Row],[Salary]]&lt;50000,"30k-49k",IF(Workforce[[#This Row],[Salary]]&lt;70000,"50k-69k",IF(Workforce[[#This Row],[Salary]]&lt;90000,"70k-89k","90k+")))</f>
        <v>90k+</v>
      </c>
      <c r="M2762" t="s">
        <v>15832</v>
      </c>
      <c r="N2762">
        <f t="shared" ca="1" si="174"/>
        <v>1</v>
      </c>
      <c r="O2762" t="str">
        <f t="shared" ca="1" si="175"/>
        <v>Beginner</v>
      </c>
    </row>
    <row r="2763" spans="1:15" x14ac:dyDescent="0.3">
      <c r="A2763" t="s">
        <v>18788</v>
      </c>
      <c r="B2763" t="s">
        <v>18789</v>
      </c>
      <c r="C2763" t="s">
        <v>1004</v>
      </c>
      <c r="D2763" t="s">
        <v>18790</v>
      </c>
      <c r="E2763" t="s">
        <v>18791</v>
      </c>
      <c r="F2763" t="s">
        <v>3508</v>
      </c>
      <c r="G2763" t="s">
        <v>18792</v>
      </c>
      <c r="H2763" t="s">
        <v>18793</v>
      </c>
      <c r="I2763">
        <f t="shared" ca="1" si="172"/>
        <v>43</v>
      </c>
      <c r="J2763" t="str">
        <f t="shared" ca="1" si="173"/>
        <v>40-49</v>
      </c>
      <c r="K2763">
        <v>118789.19</v>
      </c>
      <c r="L2763" t="str">
        <f>IF(Workforce[[#This Row],[Salary]]&lt;50000,"30k-49k",IF(Workforce[[#This Row],[Salary]]&lt;70000,"50k-69k",IF(Workforce[[#This Row],[Salary]]&lt;90000,"70k-89k","90k+")))</f>
        <v>90k+</v>
      </c>
      <c r="M2763" t="s">
        <v>18794</v>
      </c>
      <c r="N2763">
        <f t="shared" ca="1" si="174"/>
        <v>7</v>
      </c>
      <c r="O2763" t="str">
        <f t="shared" ca="1" si="175"/>
        <v>Senior level</v>
      </c>
    </row>
    <row r="2764" spans="1:15" x14ac:dyDescent="0.3">
      <c r="A2764" t="s">
        <v>18795</v>
      </c>
      <c r="B2764" t="s">
        <v>18796</v>
      </c>
      <c r="C2764" t="s">
        <v>457</v>
      </c>
      <c r="D2764" t="s">
        <v>18797</v>
      </c>
      <c r="E2764" t="s">
        <v>18798</v>
      </c>
      <c r="F2764" t="s">
        <v>9805</v>
      </c>
      <c r="G2764" t="s">
        <v>18799</v>
      </c>
      <c r="H2764" t="s">
        <v>18800</v>
      </c>
      <c r="I2764">
        <f t="shared" ca="1" si="172"/>
        <v>49</v>
      </c>
      <c r="J2764" t="str">
        <f t="shared" ca="1" si="173"/>
        <v>40-49</v>
      </c>
      <c r="K2764">
        <v>116661.33</v>
      </c>
      <c r="L2764" t="str">
        <f>IF(Workforce[[#This Row],[Salary]]&lt;50000,"30k-49k",IF(Workforce[[#This Row],[Salary]]&lt;70000,"50k-69k",IF(Workforce[[#This Row],[Salary]]&lt;90000,"70k-89k","90k+")))</f>
        <v>90k+</v>
      </c>
      <c r="M2764" t="s">
        <v>18801</v>
      </c>
      <c r="N2764">
        <f t="shared" ca="1" si="174"/>
        <v>7</v>
      </c>
      <c r="O2764" t="str">
        <f t="shared" ca="1" si="175"/>
        <v>Senior level</v>
      </c>
    </row>
    <row r="2765" spans="1:15" x14ac:dyDescent="0.3">
      <c r="A2765" t="s">
        <v>18802</v>
      </c>
      <c r="B2765" t="s">
        <v>18803</v>
      </c>
      <c r="C2765" t="s">
        <v>604</v>
      </c>
      <c r="D2765" t="s">
        <v>18804</v>
      </c>
      <c r="E2765" t="s">
        <v>18805</v>
      </c>
      <c r="F2765" t="s">
        <v>4821</v>
      </c>
      <c r="G2765" t="s">
        <v>18806</v>
      </c>
      <c r="H2765" t="s">
        <v>18807</v>
      </c>
      <c r="I2765">
        <f t="shared" ca="1" si="172"/>
        <v>32</v>
      </c>
      <c r="J2765" t="str">
        <f t="shared" ca="1" si="173"/>
        <v>30-39</v>
      </c>
      <c r="K2765">
        <v>52394.7</v>
      </c>
      <c r="L2765" t="str">
        <f>IF(Workforce[[#This Row],[Salary]]&lt;50000,"30k-49k",IF(Workforce[[#This Row],[Salary]]&lt;70000,"50k-69k",IF(Workforce[[#This Row],[Salary]]&lt;90000,"70k-89k","90k+")))</f>
        <v>50k-69k</v>
      </c>
      <c r="M2765" t="s">
        <v>18808</v>
      </c>
      <c r="N2765">
        <f t="shared" ca="1" si="174"/>
        <v>10</v>
      </c>
      <c r="O2765" t="str">
        <f t="shared" ca="1" si="175"/>
        <v>Senior level</v>
      </c>
    </row>
    <row r="2766" spans="1:15" x14ac:dyDescent="0.3">
      <c r="A2766" t="s">
        <v>18809</v>
      </c>
      <c r="B2766" t="s">
        <v>18810</v>
      </c>
      <c r="C2766" t="s">
        <v>133</v>
      </c>
      <c r="D2766" t="s">
        <v>18811</v>
      </c>
      <c r="E2766" t="s">
        <v>18812</v>
      </c>
      <c r="F2766" t="s">
        <v>3272</v>
      </c>
      <c r="G2766" t="s">
        <v>6947</v>
      </c>
      <c r="H2766" t="s">
        <v>18813</v>
      </c>
      <c r="I2766">
        <f t="shared" ca="1" si="172"/>
        <v>37</v>
      </c>
      <c r="J2766" t="str">
        <f t="shared" ca="1" si="173"/>
        <v>30-39</v>
      </c>
      <c r="K2766">
        <v>64041.94</v>
      </c>
      <c r="L2766" t="str">
        <f>IF(Workforce[[#This Row],[Salary]]&lt;50000,"30k-49k",IF(Workforce[[#This Row],[Salary]]&lt;70000,"50k-69k",IF(Workforce[[#This Row],[Salary]]&lt;90000,"70k-89k","90k+")))</f>
        <v>50k-69k</v>
      </c>
      <c r="M2766" t="s">
        <v>17501</v>
      </c>
      <c r="N2766">
        <f t="shared" ca="1" si="174"/>
        <v>8</v>
      </c>
      <c r="O2766" t="str">
        <f t="shared" ca="1" si="175"/>
        <v>Senior level</v>
      </c>
    </row>
    <row r="2767" spans="1:15" x14ac:dyDescent="0.3">
      <c r="A2767" t="s">
        <v>18814</v>
      </c>
      <c r="B2767" t="s">
        <v>18815</v>
      </c>
      <c r="C2767" t="s">
        <v>326</v>
      </c>
      <c r="D2767" t="s">
        <v>18816</v>
      </c>
      <c r="E2767" t="s">
        <v>18817</v>
      </c>
      <c r="F2767" t="s">
        <v>7271</v>
      </c>
      <c r="G2767" t="s">
        <v>18818</v>
      </c>
      <c r="H2767" t="s">
        <v>18819</v>
      </c>
      <c r="I2767">
        <f t="shared" ca="1" si="172"/>
        <v>42</v>
      </c>
      <c r="J2767" t="str">
        <f t="shared" ca="1" si="173"/>
        <v>40-49</v>
      </c>
      <c r="K2767">
        <v>80250.080000000002</v>
      </c>
      <c r="L2767" t="str">
        <f>IF(Workforce[[#This Row],[Salary]]&lt;50000,"30k-49k",IF(Workforce[[#This Row],[Salary]]&lt;70000,"50k-69k",IF(Workforce[[#This Row],[Salary]]&lt;90000,"70k-89k","90k+")))</f>
        <v>70k-89k</v>
      </c>
      <c r="M2767" t="s">
        <v>15075</v>
      </c>
      <c r="N2767">
        <f t="shared" ca="1" si="174"/>
        <v>3</v>
      </c>
      <c r="O2767" t="str">
        <f t="shared" ca="1" si="175"/>
        <v>Intermediate level</v>
      </c>
    </row>
    <row r="2768" spans="1:15" x14ac:dyDescent="0.3">
      <c r="A2768" t="s">
        <v>18820</v>
      </c>
      <c r="B2768" t="s">
        <v>18821</v>
      </c>
      <c r="C2768" t="s">
        <v>1004</v>
      </c>
      <c r="D2768" t="s">
        <v>18822</v>
      </c>
      <c r="E2768" t="s">
        <v>18823</v>
      </c>
      <c r="F2768" t="s">
        <v>5651</v>
      </c>
      <c r="G2768" t="s">
        <v>591</v>
      </c>
      <c r="H2768" t="s">
        <v>18824</v>
      </c>
      <c r="I2768">
        <f t="shared" ca="1" si="172"/>
        <v>37</v>
      </c>
      <c r="J2768" t="str">
        <f t="shared" ca="1" si="173"/>
        <v>30-39</v>
      </c>
      <c r="K2768">
        <v>43266.01</v>
      </c>
      <c r="L2768" t="str">
        <f>IF(Workforce[[#This Row],[Salary]]&lt;50000,"30k-49k",IF(Workforce[[#This Row],[Salary]]&lt;70000,"50k-69k",IF(Workforce[[#This Row],[Salary]]&lt;90000,"70k-89k","90k+")))</f>
        <v>30k-49k</v>
      </c>
      <c r="M2768" t="s">
        <v>18825</v>
      </c>
      <c r="N2768">
        <f t="shared" ca="1" si="174"/>
        <v>3</v>
      </c>
      <c r="O2768" t="str">
        <f t="shared" ca="1" si="175"/>
        <v>Intermediate level</v>
      </c>
    </row>
    <row r="2769" spans="1:15" x14ac:dyDescent="0.3">
      <c r="A2769" t="s">
        <v>18826</v>
      </c>
      <c r="B2769" t="s">
        <v>18827</v>
      </c>
      <c r="C2769" t="s">
        <v>757</v>
      </c>
      <c r="D2769" t="s">
        <v>18828</v>
      </c>
      <c r="E2769" t="s">
        <v>18829</v>
      </c>
      <c r="F2769" t="s">
        <v>4625</v>
      </c>
      <c r="G2769" t="s">
        <v>18830</v>
      </c>
      <c r="H2769" t="s">
        <v>18831</v>
      </c>
      <c r="I2769">
        <f t="shared" ca="1" si="172"/>
        <v>60</v>
      </c>
      <c r="J2769" t="str">
        <f t="shared" ca="1" si="173"/>
        <v>60+</v>
      </c>
      <c r="K2769">
        <v>46905.19</v>
      </c>
      <c r="L2769" t="str">
        <f>IF(Workforce[[#This Row],[Salary]]&lt;50000,"30k-49k",IF(Workforce[[#This Row],[Salary]]&lt;70000,"50k-69k",IF(Workforce[[#This Row],[Salary]]&lt;90000,"70k-89k","90k+")))</f>
        <v>30k-49k</v>
      </c>
      <c r="M2769" t="s">
        <v>18832</v>
      </c>
      <c r="N2769">
        <f t="shared" ca="1" si="174"/>
        <v>5</v>
      </c>
      <c r="O2769" t="str">
        <f t="shared" ca="1" si="175"/>
        <v>Intermediate level</v>
      </c>
    </row>
    <row r="2770" spans="1:15" x14ac:dyDescent="0.3">
      <c r="A2770" t="s">
        <v>18833</v>
      </c>
      <c r="B2770" t="s">
        <v>18834</v>
      </c>
      <c r="C2770" t="s">
        <v>97</v>
      </c>
      <c r="D2770" t="s">
        <v>18835</v>
      </c>
      <c r="E2770" t="s">
        <v>18836</v>
      </c>
      <c r="F2770" t="s">
        <v>5365</v>
      </c>
      <c r="G2770" t="s">
        <v>18837</v>
      </c>
      <c r="H2770" t="s">
        <v>18838</v>
      </c>
      <c r="I2770">
        <f t="shared" ca="1" si="172"/>
        <v>31</v>
      </c>
      <c r="J2770" t="str">
        <f t="shared" ca="1" si="173"/>
        <v>30-39</v>
      </c>
      <c r="K2770">
        <v>34272.769999999997</v>
      </c>
      <c r="L2770" t="str">
        <f>IF(Workforce[[#This Row],[Salary]]&lt;50000,"30k-49k",IF(Workforce[[#This Row],[Salary]]&lt;70000,"50k-69k",IF(Workforce[[#This Row],[Salary]]&lt;90000,"70k-89k","90k+")))</f>
        <v>30k-49k</v>
      </c>
      <c r="M2770" t="s">
        <v>340</v>
      </c>
      <c r="N2770">
        <f t="shared" ca="1" si="174"/>
        <v>7</v>
      </c>
      <c r="O2770" t="str">
        <f t="shared" ca="1" si="175"/>
        <v>Senior level</v>
      </c>
    </row>
    <row r="2771" spans="1:15" x14ac:dyDescent="0.3">
      <c r="A2771" t="s">
        <v>18839</v>
      </c>
      <c r="B2771" t="s">
        <v>18840</v>
      </c>
      <c r="C2771" t="s">
        <v>231</v>
      </c>
      <c r="D2771" t="s">
        <v>18841</v>
      </c>
      <c r="E2771" t="s">
        <v>18842</v>
      </c>
      <c r="F2771" t="s">
        <v>501</v>
      </c>
      <c r="G2771" t="s">
        <v>18843</v>
      </c>
      <c r="H2771" t="s">
        <v>18844</v>
      </c>
      <c r="I2771">
        <f t="shared" ca="1" si="172"/>
        <v>22</v>
      </c>
      <c r="J2771" t="str">
        <f t="shared" ca="1" si="173"/>
        <v>18-29</v>
      </c>
      <c r="K2771">
        <v>51853.99</v>
      </c>
      <c r="L2771" t="str">
        <f>IF(Workforce[[#This Row],[Salary]]&lt;50000,"30k-49k",IF(Workforce[[#This Row],[Salary]]&lt;70000,"50k-69k",IF(Workforce[[#This Row],[Salary]]&lt;90000,"70k-89k","90k+")))</f>
        <v>50k-69k</v>
      </c>
      <c r="M2771" t="s">
        <v>18845</v>
      </c>
      <c r="N2771">
        <f t="shared" ca="1" si="174"/>
        <v>1</v>
      </c>
      <c r="O2771" t="str">
        <f t="shared" ca="1" si="175"/>
        <v>Beginner</v>
      </c>
    </row>
    <row r="2772" spans="1:15" x14ac:dyDescent="0.3">
      <c r="A2772" t="s">
        <v>18846</v>
      </c>
      <c r="B2772" t="s">
        <v>18847</v>
      </c>
      <c r="C2772" t="s">
        <v>748</v>
      </c>
      <c r="D2772" t="s">
        <v>18848</v>
      </c>
      <c r="E2772" t="s">
        <v>18849</v>
      </c>
      <c r="F2772" t="s">
        <v>1312</v>
      </c>
      <c r="G2772" t="s">
        <v>18850</v>
      </c>
      <c r="H2772" t="s">
        <v>18851</v>
      </c>
      <c r="I2772">
        <f t="shared" ca="1" si="172"/>
        <v>28</v>
      </c>
      <c r="J2772" t="str">
        <f t="shared" ca="1" si="173"/>
        <v>18-29</v>
      </c>
      <c r="K2772">
        <v>100211.77</v>
      </c>
      <c r="L2772" t="str">
        <f>IF(Workforce[[#This Row],[Salary]]&lt;50000,"30k-49k",IF(Workforce[[#This Row],[Salary]]&lt;70000,"50k-69k",IF(Workforce[[#This Row],[Salary]]&lt;90000,"70k-89k","90k+")))</f>
        <v>90k+</v>
      </c>
      <c r="M2772" t="s">
        <v>18852</v>
      </c>
      <c r="N2772">
        <f t="shared" ca="1" si="174"/>
        <v>10</v>
      </c>
      <c r="O2772" t="str">
        <f t="shared" ca="1" si="175"/>
        <v>Senior level</v>
      </c>
    </row>
    <row r="2773" spans="1:15" x14ac:dyDescent="0.3">
      <c r="A2773" t="s">
        <v>18853</v>
      </c>
      <c r="B2773" t="s">
        <v>18854</v>
      </c>
      <c r="C2773" t="s">
        <v>115</v>
      </c>
      <c r="D2773" t="s">
        <v>18855</v>
      </c>
      <c r="E2773" t="s">
        <v>18856</v>
      </c>
      <c r="F2773" t="s">
        <v>4262</v>
      </c>
      <c r="G2773" t="s">
        <v>18857</v>
      </c>
      <c r="H2773" t="s">
        <v>18858</v>
      </c>
      <c r="I2773">
        <f t="shared" ca="1" si="172"/>
        <v>39</v>
      </c>
      <c r="J2773" t="str">
        <f t="shared" ca="1" si="173"/>
        <v>30-39</v>
      </c>
      <c r="K2773">
        <v>72571.360000000001</v>
      </c>
      <c r="L2773" t="str">
        <f>IF(Workforce[[#This Row],[Salary]]&lt;50000,"30k-49k",IF(Workforce[[#This Row],[Salary]]&lt;70000,"50k-69k",IF(Workforce[[#This Row],[Salary]]&lt;90000,"70k-89k","90k+")))</f>
        <v>70k-89k</v>
      </c>
      <c r="M2773" t="s">
        <v>8222</v>
      </c>
      <c r="N2773">
        <f t="shared" ca="1" si="174"/>
        <v>9</v>
      </c>
      <c r="O2773" t="str">
        <f t="shared" ca="1" si="175"/>
        <v>Senior level</v>
      </c>
    </row>
    <row r="2774" spans="1:15" x14ac:dyDescent="0.3">
      <c r="A2774" t="s">
        <v>18859</v>
      </c>
      <c r="B2774" t="s">
        <v>18860</v>
      </c>
      <c r="C2774" t="s">
        <v>351</v>
      </c>
      <c r="D2774" t="s">
        <v>18861</v>
      </c>
      <c r="E2774" t="s">
        <v>18862</v>
      </c>
      <c r="F2774" t="s">
        <v>4895</v>
      </c>
      <c r="G2774" t="s">
        <v>18863</v>
      </c>
      <c r="H2774" t="s">
        <v>18864</v>
      </c>
      <c r="I2774">
        <f t="shared" ca="1" si="172"/>
        <v>56</v>
      </c>
      <c r="J2774" t="str">
        <f t="shared" ca="1" si="173"/>
        <v>50-59</v>
      </c>
      <c r="K2774">
        <v>43032.83</v>
      </c>
      <c r="L2774" t="str">
        <f>IF(Workforce[[#This Row],[Salary]]&lt;50000,"30k-49k",IF(Workforce[[#This Row],[Salary]]&lt;70000,"50k-69k",IF(Workforce[[#This Row],[Salary]]&lt;90000,"70k-89k","90k+")))</f>
        <v>30k-49k</v>
      </c>
      <c r="M2774" t="s">
        <v>1498</v>
      </c>
      <c r="N2774">
        <f t="shared" ca="1" si="174"/>
        <v>6</v>
      </c>
      <c r="O2774" t="str">
        <f t="shared" ca="1" si="175"/>
        <v>Intermediate level</v>
      </c>
    </row>
    <row r="2775" spans="1:15" x14ac:dyDescent="0.3">
      <c r="A2775" t="s">
        <v>18865</v>
      </c>
      <c r="B2775" t="s">
        <v>18866</v>
      </c>
      <c r="C2775" t="s">
        <v>44</v>
      </c>
      <c r="D2775" t="s">
        <v>18867</v>
      </c>
      <c r="E2775" t="s">
        <v>18868</v>
      </c>
      <c r="F2775" t="s">
        <v>18869</v>
      </c>
      <c r="G2775" t="s">
        <v>18870</v>
      </c>
      <c r="H2775" t="s">
        <v>12046</v>
      </c>
      <c r="I2775">
        <f t="shared" ca="1" si="172"/>
        <v>26</v>
      </c>
      <c r="J2775" t="str">
        <f t="shared" ca="1" si="173"/>
        <v>18-29</v>
      </c>
      <c r="K2775">
        <v>102905.38</v>
      </c>
      <c r="L2775" t="str">
        <f>IF(Workforce[[#This Row],[Salary]]&lt;50000,"30k-49k",IF(Workforce[[#This Row],[Salary]]&lt;70000,"50k-69k",IF(Workforce[[#This Row],[Salary]]&lt;90000,"70k-89k","90k+")))</f>
        <v>90k+</v>
      </c>
      <c r="M2775" t="s">
        <v>18871</v>
      </c>
      <c r="N2775">
        <f t="shared" ca="1" si="174"/>
        <v>1</v>
      </c>
      <c r="O2775" t="str">
        <f t="shared" ca="1" si="175"/>
        <v>Beginner</v>
      </c>
    </row>
    <row r="2776" spans="1:15" x14ac:dyDescent="0.3">
      <c r="A2776" t="s">
        <v>18872</v>
      </c>
      <c r="B2776" t="s">
        <v>18873</v>
      </c>
      <c r="C2776" t="s">
        <v>213</v>
      </c>
      <c r="D2776" t="s">
        <v>18874</v>
      </c>
      <c r="E2776" t="s">
        <v>18875</v>
      </c>
      <c r="F2776" t="s">
        <v>6094</v>
      </c>
      <c r="G2776" t="s">
        <v>18876</v>
      </c>
      <c r="H2776" t="s">
        <v>18877</v>
      </c>
      <c r="I2776">
        <f t="shared" ca="1" si="172"/>
        <v>64</v>
      </c>
      <c r="J2776" t="str">
        <f t="shared" ca="1" si="173"/>
        <v>60+</v>
      </c>
      <c r="K2776">
        <v>90829.96</v>
      </c>
      <c r="L2776" t="str">
        <f>IF(Workforce[[#This Row],[Salary]]&lt;50000,"30k-49k",IF(Workforce[[#This Row],[Salary]]&lt;70000,"50k-69k",IF(Workforce[[#This Row],[Salary]]&lt;90000,"70k-89k","90k+")))</f>
        <v>90k+</v>
      </c>
      <c r="M2776" t="s">
        <v>18878</v>
      </c>
      <c r="N2776">
        <f t="shared" ca="1" si="174"/>
        <v>10</v>
      </c>
      <c r="O2776" t="str">
        <f t="shared" ca="1" si="175"/>
        <v>Senior level</v>
      </c>
    </row>
    <row r="2777" spans="1:15" x14ac:dyDescent="0.3">
      <c r="A2777" t="s">
        <v>18879</v>
      </c>
      <c r="B2777" t="s">
        <v>18880</v>
      </c>
      <c r="C2777" t="s">
        <v>178</v>
      </c>
      <c r="D2777" t="s">
        <v>18881</v>
      </c>
      <c r="E2777" t="s">
        <v>18882</v>
      </c>
      <c r="F2777" t="s">
        <v>3828</v>
      </c>
      <c r="G2777" t="s">
        <v>18883</v>
      </c>
      <c r="H2777" t="s">
        <v>18884</v>
      </c>
      <c r="I2777">
        <f t="shared" ca="1" si="172"/>
        <v>35</v>
      </c>
      <c r="J2777" t="str">
        <f t="shared" ca="1" si="173"/>
        <v>30-39</v>
      </c>
      <c r="K2777">
        <v>108921.33</v>
      </c>
      <c r="L2777" t="str">
        <f>IF(Workforce[[#This Row],[Salary]]&lt;50000,"30k-49k",IF(Workforce[[#This Row],[Salary]]&lt;70000,"50k-69k",IF(Workforce[[#This Row],[Salary]]&lt;90000,"70k-89k","90k+")))</f>
        <v>90k+</v>
      </c>
      <c r="M2777" t="s">
        <v>18885</v>
      </c>
      <c r="N2777">
        <f t="shared" ca="1" si="174"/>
        <v>9</v>
      </c>
      <c r="O2777" t="str">
        <f t="shared" ca="1" si="175"/>
        <v>Senior level</v>
      </c>
    </row>
    <row r="2778" spans="1:15" x14ac:dyDescent="0.3">
      <c r="A2778" t="s">
        <v>18886</v>
      </c>
      <c r="B2778" t="s">
        <v>18887</v>
      </c>
      <c r="C2778" t="s">
        <v>266</v>
      </c>
      <c r="D2778" t="s">
        <v>18888</v>
      </c>
      <c r="E2778" t="s">
        <v>18889</v>
      </c>
      <c r="F2778" t="s">
        <v>7356</v>
      </c>
      <c r="G2778" t="s">
        <v>18890</v>
      </c>
      <c r="H2778" t="s">
        <v>18891</v>
      </c>
      <c r="I2778">
        <f t="shared" ca="1" si="172"/>
        <v>36</v>
      </c>
      <c r="J2778" t="str">
        <f t="shared" ca="1" si="173"/>
        <v>30-39</v>
      </c>
      <c r="K2778">
        <v>72843.27</v>
      </c>
      <c r="L2778" t="str">
        <f>IF(Workforce[[#This Row],[Salary]]&lt;50000,"30k-49k",IF(Workforce[[#This Row],[Salary]]&lt;70000,"50k-69k",IF(Workforce[[#This Row],[Salary]]&lt;90000,"70k-89k","90k+")))</f>
        <v>70k-89k</v>
      </c>
      <c r="M2778" t="s">
        <v>14335</v>
      </c>
      <c r="N2778">
        <f t="shared" ca="1" si="174"/>
        <v>5</v>
      </c>
      <c r="O2778" t="str">
        <f t="shared" ca="1" si="175"/>
        <v>Intermediate level</v>
      </c>
    </row>
    <row r="2779" spans="1:15" x14ac:dyDescent="0.3">
      <c r="A2779" t="s">
        <v>18892</v>
      </c>
      <c r="B2779" t="s">
        <v>18893</v>
      </c>
      <c r="C2779" t="s">
        <v>266</v>
      </c>
      <c r="D2779" t="s">
        <v>18894</v>
      </c>
      <c r="E2779" t="s">
        <v>18895</v>
      </c>
      <c r="F2779" t="s">
        <v>362</v>
      </c>
      <c r="G2779" t="s">
        <v>18896</v>
      </c>
      <c r="H2779" t="s">
        <v>18897</v>
      </c>
      <c r="I2779">
        <f t="shared" ca="1" si="172"/>
        <v>30</v>
      </c>
      <c r="J2779" t="str">
        <f t="shared" ca="1" si="173"/>
        <v>30-39</v>
      </c>
      <c r="K2779">
        <v>77680.23</v>
      </c>
      <c r="L2779" t="str">
        <f>IF(Workforce[[#This Row],[Salary]]&lt;50000,"30k-49k",IF(Workforce[[#This Row],[Salary]]&lt;70000,"50k-69k",IF(Workforce[[#This Row],[Salary]]&lt;90000,"70k-89k","90k+")))</f>
        <v>70k-89k</v>
      </c>
      <c r="M2779" t="s">
        <v>18898</v>
      </c>
      <c r="N2779">
        <f t="shared" ca="1" si="174"/>
        <v>1</v>
      </c>
      <c r="O2779" t="str">
        <f t="shared" ca="1" si="175"/>
        <v>Beginner</v>
      </c>
    </row>
    <row r="2780" spans="1:15" x14ac:dyDescent="0.3">
      <c r="A2780" t="s">
        <v>18899</v>
      </c>
      <c r="B2780" t="s">
        <v>18900</v>
      </c>
      <c r="C2780" t="s">
        <v>1043</v>
      </c>
      <c r="D2780" t="s">
        <v>18901</v>
      </c>
      <c r="E2780" t="s">
        <v>18902</v>
      </c>
      <c r="F2780" t="s">
        <v>5493</v>
      </c>
      <c r="G2780" t="s">
        <v>10460</v>
      </c>
      <c r="H2780" t="s">
        <v>18903</v>
      </c>
      <c r="I2780">
        <f t="shared" ca="1" si="172"/>
        <v>39</v>
      </c>
      <c r="J2780" t="str">
        <f t="shared" ca="1" si="173"/>
        <v>30-39</v>
      </c>
      <c r="K2780">
        <v>64749.67</v>
      </c>
      <c r="L2780" t="str">
        <f>IF(Workforce[[#This Row],[Salary]]&lt;50000,"30k-49k",IF(Workforce[[#This Row],[Salary]]&lt;70000,"50k-69k",IF(Workforce[[#This Row],[Salary]]&lt;90000,"70k-89k","90k+")))</f>
        <v>50k-69k</v>
      </c>
      <c r="M2780" t="s">
        <v>2470</v>
      </c>
      <c r="N2780">
        <f t="shared" ca="1" si="174"/>
        <v>8</v>
      </c>
      <c r="O2780" t="str">
        <f t="shared" ca="1" si="175"/>
        <v>Senior level</v>
      </c>
    </row>
    <row r="2781" spans="1:15" x14ac:dyDescent="0.3">
      <c r="A2781" t="s">
        <v>18904</v>
      </c>
      <c r="B2781" t="s">
        <v>18905</v>
      </c>
      <c r="C2781" t="s">
        <v>160</v>
      </c>
      <c r="D2781" t="s">
        <v>18906</v>
      </c>
      <c r="E2781" t="s">
        <v>18907</v>
      </c>
      <c r="F2781" t="s">
        <v>1015</v>
      </c>
      <c r="G2781" t="s">
        <v>18908</v>
      </c>
      <c r="H2781" t="s">
        <v>18909</v>
      </c>
      <c r="I2781">
        <f t="shared" ca="1" si="172"/>
        <v>33</v>
      </c>
      <c r="J2781" t="str">
        <f t="shared" ca="1" si="173"/>
        <v>30-39</v>
      </c>
      <c r="K2781">
        <v>54174.400000000001</v>
      </c>
      <c r="L2781" t="str">
        <f>IF(Workforce[[#This Row],[Salary]]&lt;50000,"30k-49k",IF(Workforce[[#This Row],[Salary]]&lt;70000,"50k-69k",IF(Workforce[[#This Row],[Salary]]&lt;90000,"70k-89k","90k+")))</f>
        <v>50k-69k</v>
      </c>
      <c r="M2781" t="s">
        <v>4526</v>
      </c>
      <c r="N2781">
        <f t="shared" ca="1" si="174"/>
        <v>4</v>
      </c>
      <c r="O2781" t="str">
        <f t="shared" ca="1" si="175"/>
        <v>Intermediate level</v>
      </c>
    </row>
    <row r="2782" spans="1:15" x14ac:dyDescent="0.3">
      <c r="A2782" t="s">
        <v>18910</v>
      </c>
      <c r="B2782" t="s">
        <v>18911</v>
      </c>
      <c r="C2782" t="s">
        <v>257</v>
      </c>
      <c r="D2782" t="s">
        <v>18912</v>
      </c>
      <c r="E2782" t="s">
        <v>18913</v>
      </c>
      <c r="F2782" t="s">
        <v>7249</v>
      </c>
      <c r="G2782" t="s">
        <v>17788</v>
      </c>
      <c r="H2782" t="s">
        <v>18914</v>
      </c>
      <c r="I2782">
        <f t="shared" ca="1" si="172"/>
        <v>30</v>
      </c>
      <c r="J2782" t="str">
        <f t="shared" ca="1" si="173"/>
        <v>30-39</v>
      </c>
      <c r="K2782">
        <v>116781.11</v>
      </c>
      <c r="L2782" t="str">
        <f>IF(Workforce[[#This Row],[Salary]]&lt;50000,"30k-49k",IF(Workforce[[#This Row],[Salary]]&lt;70000,"50k-69k",IF(Workforce[[#This Row],[Salary]]&lt;90000,"70k-89k","90k+")))</f>
        <v>90k+</v>
      </c>
      <c r="M2782" t="s">
        <v>4649</v>
      </c>
      <c r="N2782">
        <f t="shared" ca="1" si="174"/>
        <v>7</v>
      </c>
      <c r="O2782" t="str">
        <f t="shared" ca="1" si="175"/>
        <v>Senior level</v>
      </c>
    </row>
    <row r="2783" spans="1:15" x14ac:dyDescent="0.3">
      <c r="A2783" t="s">
        <v>18915</v>
      </c>
      <c r="B2783" t="s">
        <v>18916</v>
      </c>
      <c r="C2783" t="s">
        <v>79</v>
      </c>
      <c r="D2783" t="s">
        <v>18917</v>
      </c>
      <c r="E2783" t="s">
        <v>18918</v>
      </c>
      <c r="F2783" t="s">
        <v>1388</v>
      </c>
      <c r="G2783" t="s">
        <v>18919</v>
      </c>
      <c r="H2783" t="s">
        <v>18920</v>
      </c>
      <c r="I2783">
        <f t="shared" ca="1" si="172"/>
        <v>54</v>
      </c>
      <c r="J2783" t="str">
        <f t="shared" ca="1" si="173"/>
        <v>50-59</v>
      </c>
      <c r="K2783">
        <v>115391.08</v>
      </c>
      <c r="L2783" t="str">
        <f>IF(Workforce[[#This Row],[Salary]]&lt;50000,"30k-49k",IF(Workforce[[#This Row],[Salary]]&lt;70000,"50k-69k",IF(Workforce[[#This Row],[Salary]]&lt;90000,"70k-89k","90k+")))</f>
        <v>90k+</v>
      </c>
      <c r="M2783" t="s">
        <v>18921</v>
      </c>
      <c r="N2783">
        <f t="shared" ca="1" si="174"/>
        <v>10</v>
      </c>
      <c r="O2783" t="str">
        <f t="shared" ca="1" si="175"/>
        <v>Senior level</v>
      </c>
    </row>
    <row r="2784" spans="1:15" x14ac:dyDescent="0.3">
      <c r="A2784" t="s">
        <v>18922</v>
      </c>
      <c r="B2784" t="s">
        <v>18923</v>
      </c>
      <c r="C2784" t="s">
        <v>44</v>
      </c>
      <c r="D2784" t="s">
        <v>18924</v>
      </c>
      <c r="E2784" t="s">
        <v>18925</v>
      </c>
      <c r="F2784" t="s">
        <v>1826</v>
      </c>
      <c r="G2784" t="s">
        <v>18926</v>
      </c>
      <c r="H2784" t="s">
        <v>18927</v>
      </c>
      <c r="I2784">
        <f t="shared" ca="1" si="172"/>
        <v>48</v>
      </c>
      <c r="J2784" t="str">
        <f t="shared" ca="1" si="173"/>
        <v>40-49</v>
      </c>
      <c r="K2784">
        <v>105348.11</v>
      </c>
      <c r="L2784" t="str">
        <f>IF(Workforce[[#This Row],[Salary]]&lt;50000,"30k-49k",IF(Workforce[[#This Row],[Salary]]&lt;70000,"50k-69k",IF(Workforce[[#This Row],[Salary]]&lt;90000,"70k-89k","90k+")))</f>
        <v>90k+</v>
      </c>
      <c r="M2784" t="s">
        <v>10744</v>
      </c>
      <c r="N2784">
        <f t="shared" ca="1" si="174"/>
        <v>7</v>
      </c>
      <c r="O2784" t="str">
        <f t="shared" ca="1" si="175"/>
        <v>Senior level</v>
      </c>
    </row>
    <row r="2785" spans="1:15" x14ac:dyDescent="0.3">
      <c r="A2785" t="s">
        <v>18928</v>
      </c>
      <c r="B2785" t="s">
        <v>18929</v>
      </c>
      <c r="C2785" t="s">
        <v>97</v>
      </c>
      <c r="D2785" t="s">
        <v>18930</v>
      </c>
      <c r="E2785" t="s">
        <v>18931</v>
      </c>
      <c r="F2785" t="s">
        <v>55</v>
      </c>
      <c r="G2785" t="s">
        <v>18932</v>
      </c>
      <c r="H2785" t="s">
        <v>18933</v>
      </c>
      <c r="I2785">
        <f t="shared" ca="1" si="172"/>
        <v>21</v>
      </c>
      <c r="J2785" t="str">
        <f t="shared" ca="1" si="173"/>
        <v>18-29</v>
      </c>
      <c r="K2785">
        <v>61219.41</v>
      </c>
      <c r="L2785" t="str">
        <f>IF(Workforce[[#This Row],[Salary]]&lt;50000,"30k-49k",IF(Workforce[[#This Row],[Salary]]&lt;70000,"50k-69k",IF(Workforce[[#This Row],[Salary]]&lt;90000,"70k-89k","90k+")))</f>
        <v>50k-69k</v>
      </c>
      <c r="M2785" t="s">
        <v>6996</v>
      </c>
      <c r="N2785">
        <f t="shared" ca="1" si="174"/>
        <v>6</v>
      </c>
      <c r="O2785" t="str">
        <f t="shared" ca="1" si="175"/>
        <v>Intermediate level</v>
      </c>
    </row>
    <row r="2786" spans="1:15" x14ac:dyDescent="0.3">
      <c r="A2786" t="s">
        <v>18934</v>
      </c>
      <c r="B2786" t="s">
        <v>18935</v>
      </c>
      <c r="C2786" t="s">
        <v>757</v>
      </c>
      <c r="D2786" t="s">
        <v>18936</v>
      </c>
      <c r="E2786" t="s">
        <v>18937</v>
      </c>
      <c r="F2786" t="s">
        <v>4802</v>
      </c>
      <c r="G2786" t="s">
        <v>18638</v>
      </c>
      <c r="H2786" t="s">
        <v>18938</v>
      </c>
      <c r="I2786">
        <f t="shared" ca="1" si="172"/>
        <v>44</v>
      </c>
      <c r="J2786" t="str">
        <f t="shared" ca="1" si="173"/>
        <v>40-49</v>
      </c>
      <c r="K2786">
        <v>44204.17</v>
      </c>
      <c r="L2786" t="str">
        <f>IF(Workforce[[#This Row],[Salary]]&lt;50000,"30k-49k",IF(Workforce[[#This Row],[Salary]]&lt;70000,"50k-69k",IF(Workforce[[#This Row],[Salary]]&lt;90000,"70k-89k","90k+")))</f>
        <v>30k-49k</v>
      </c>
      <c r="M2786" t="s">
        <v>18939</v>
      </c>
      <c r="N2786">
        <f t="shared" ca="1" si="174"/>
        <v>8</v>
      </c>
      <c r="O2786" t="str">
        <f t="shared" ca="1" si="175"/>
        <v>Senior level</v>
      </c>
    </row>
    <row r="2787" spans="1:15" x14ac:dyDescent="0.3">
      <c r="A2787" t="s">
        <v>18940</v>
      </c>
      <c r="B2787" t="s">
        <v>18941</v>
      </c>
      <c r="C2787" t="s">
        <v>1159</v>
      </c>
      <c r="D2787" t="s">
        <v>18942</v>
      </c>
      <c r="E2787" t="s">
        <v>18943</v>
      </c>
      <c r="F2787" t="s">
        <v>269</v>
      </c>
      <c r="G2787" t="s">
        <v>18944</v>
      </c>
      <c r="H2787" t="s">
        <v>18945</v>
      </c>
      <c r="I2787">
        <f t="shared" ca="1" si="172"/>
        <v>29</v>
      </c>
      <c r="J2787" t="str">
        <f t="shared" ca="1" si="173"/>
        <v>18-29</v>
      </c>
      <c r="K2787">
        <v>118284.38</v>
      </c>
      <c r="L2787" t="str">
        <f>IF(Workforce[[#This Row],[Salary]]&lt;50000,"30k-49k",IF(Workforce[[#This Row],[Salary]]&lt;70000,"50k-69k",IF(Workforce[[#This Row],[Salary]]&lt;90000,"70k-89k","90k+")))</f>
        <v>90k+</v>
      </c>
      <c r="M2787" t="s">
        <v>18946</v>
      </c>
      <c r="N2787">
        <f t="shared" ca="1" si="174"/>
        <v>5</v>
      </c>
      <c r="O2787" t="str">
        <f t="shared" ca="1" si="175"/>
        <v>Intermediate level</v>
      </c>
    </row>
    <row r="2788" spans="1:15" x14ac:dyDescent="0.3">
      <c r="A2788" t="s">
        <v>18947</v>
      </c>
      <c r="B2788" t="s">
        <v>18948</v>
      </c>
      <c r="C2788" t="s">
        <v>457</v>
      </c>
      <c r="D2788" t="s">
        <v>18949</v>
      </c>
      <c r="E2788" t="s">
        <v>18950</v>
      </c>
      <c r="F2788" t="s">
        <v>1657</v>
      </c>
      <c r="G2788" t="s">
        <v>18951</v>
      </c>
      <c r="H2788" t="s">
        <v>18952</v>
      </c>
      <c r="I2788">
        <f t="shared" ca="1" si="172"/>
        <v>24</v>
      </c>
      <c r="J2788" t="str">
        <f t="shared" ca="1" si="173"/>
        <v>18-29</v>
      </c>
      <c r="K2788">
        <v>80409.02</v>
      </c>
      <c r="L2788" t="str">
        <f>IF(Workforce[[#This Row],[Salary]]&lt;50000,"30k-49k",IF(Workforce[[#This Row],[Salary]]&lt;70000,"50k-69k",IF(Workforce[[#This Row],[Salary]]&lt;90000,"70k-89k","90k+")))</f>
        <v>70k-89k</v>
      </c>
      <c r="M2788" t="s">
        <v>7146</v>
      </c>
      <c r="N2788">
        <f t="shared" ca="1" si="174"/>
        <v>6</v>
      </c>
      <c r="O2788" t="str">
        <f t="shared" ca="1" si="175"/>
        <v>Intermediate level</v>
      </c>
    </row>
    <row r="2789" spans="1:15" x14ac:dyDescent="0.3">
      <c r="A2789" t="s">
        <v>18953</v>
      </c>
      <c r="B2789" t="s">
        <v>18954</v>
      </c>
      <c r="C2789" t="s">
        <v>26</v>
      </c>
      <c r="D2789" t="s">
        <v>18955</v>
      </c>
      <c r="E2789" t="s">
        <v>18956</v>
      </c>
      <c r="F2789" t="s">
        <v>4941</v>
      </c>
      <c r="G2789" t="s">
        <v>18957</v>
      </c>
      <c r="H2789" t="s">
        <v>18958</v>
      </c>
      <c r="I2789">
        <f t="shared" ca="1" si="172"/>
        <v>44</v>
      </c>
      <c r="J2789" t="str">
        <f t="shared" ca="1" si="173"/>
        <v>40-49</v>
      </c>
      <c r="K2789">
        <v>33764.03</v>
      </c>
      <c r="L2789" t="str">
        <f>IF(Workforce[[#This Row],[Salary]]&lt;50000,"30k-49k",IF(Workforce[[#This Row],[Salary]]&lt;70000,"50k-69k",IF(Workforce[[#This Row],[Salary]]&lt;90000,"70k-89k","90k+")))</f>
        <v>30k-49k</v>
      </c>
      <c r="M2789" t="s">
        <v>9834</v>
      </c>
      <c r="N2789">
        <f t="shared" ca="1" si="174"/>
        <v>7</v>
      </c>
      <c r="O2789" t="str">
        <f t="shared" ca="1" si="175"/>
        <v>Senior level</v>
      </c>
    </row>
    <row r="2790" spans="1:15" x14ac:dyDescent="0.3">
      <c r="A2790" t="s">
        <v>11969</v>
      </c>
      <c r="B2790" t="s">
        <v>18959</v>
      </c>
      <c r="C2790" t="s">
        <v>178</v>
      </c>
      <c r="D2790" t="s">
        <v>18960</v>
      </c>
      <c r="E2790" t="s">
        <v>18961</v>
      </c>
      <c r="F2790" t="s">
        <v>426</v>
      </c>
      <c r="G2790" t="s">
        <v>18962</v>
      </c>
      <c r="H2790" t="s">
        <v>18963</v>
      </c>
      <c r="I2790">
        <f t="shared" ca="1" si="172"/>
        <v>54</v>
      </c>
      <c r="J2790" t="str">
        <f t="shared" ca="1" si="173"/>
        <v>50-59</v>
      </c>
      <c r="K2790">
        <v>73440.53</v>
      </c>
      <c r="L2790" t="str">
        <f>IF(Workforce[[#This Row],[Salary]]&lt;50000,"30k-49k",IF(Workforce[[#This Row],[Salary]]&lt;70000,"50k-69k",IF(Workforce[[#This Row],[Salary]]&lt;90000,"70k-89k","90k+")))</f>
        <v>70k-89k</v>
      </c>
      <c r="M2790" t="s">
        <v>18964</v>
      </c>
      <c r="N2790">
        <f t="shared" ca="1" si="174"/>
        <v>4</v>
      </c>
      <c r="O2790" t="str">
        <f t="shared" ca="1" si="175"/>
        <v>Intermediate level</v>
      </c>
    </row>
    <row r="2791" spans="1:15" x14ac:dyDescent="0.3">
      <c r="A2791" t="s">
        <v>18965</v>
      </c>
      <c r="B2791" t="s">
        <v>18966</v>
      </c>
      <c r="C2791" t="s">
        <v>995</v>
      </c>
      <c r="D2791" t="s">
        <v>18967</v>
      </c>
      <c r="E2791" t="s">
        <v>18968</v>
      </c>
      <c r="F2791" t="s">
        <v>902</v>
      </c>
      <c r="G2791" t="s">
        <v>18969</v>
      </c>
      <c r="H2791" t="s">
        <v>18970</v>
      </c>
      <c r="I2791">
        <f t="shared" ca="1" si="172"/>
        <v>27</v>
      </c>
      <c r="J2791" t="str">
        <f t="shared" ca="1" si="173"/>
        <v>18-29</v>
      </c>
      <c r="K2791">
        <v>118135.91</v>
      </c>
      <c r="L2791" t="str">
        <f>IF(Workforce[[#This Row],[Salary]]&lt;50000,"30k-49k",IF(Workforce[[#This Row],[Salary]]&lt;70000,"50k-69k",IF(Workforce[[#This Row],[Salary]]&lt;90000,"70k-89k","90k+")))</f>
        <v>90k+</v>
      </c>
      <c r="M2791" t="s">
        <v>18971</v>
      </c>
      <c r="N2791">
        <f t="shared" ca="1" si="174"/>
        <v>0</v>
      </c>
      <c r="O2791" t="str">
        <f t="shared" ca="1" si="175"/>
        <v>Beginner</v>
      </c>
    </row>
    <row r="2792" spans="1:15" x14ac:dyDescent="0.3">
      <c r="A2792" t="s">
        <v>18972</v>
      </c>
      <c r="B2792" t="s">
        <v>18973</v>
      </c>
      <c r="C2792" t="s">
        <v>133</v>
      </c>
      <c r="D2792" t="s">
        <v>18974</v>
      </c>
      <c r="E2792" t="s">
        <v>18975</v>
      </c>
      <c r="F2792" t="s">
        <v>5485</v>
      </c>
      <c r="G2792" t="s">
        <v>18976</v>
      </c>
      <c r="H2792" t="s">
        <v>18977</v>
      </c>
      <c r="I2792">
        <f t="shared" ca="1" si="172"/>
        <v>21</v>
      </c>
      <c r="J2792" t="str">
        <f t="shared" ca="1" si="173"/>
        <v>18-29</v>
      </c>
      <c r="K2792">
        <v>57694.87</v>
      </c>
      <c r="L2792" t="str">
        <f>IF(Workforce[[#This Row],[Salary]]&lt;50000,"30k-49k",IF(Workforce[[#This Row],[Salary]]&lt;70000,"50k-69k",IF(Workforce[[#This Row],[Salary]]&lt;90000,"70k-89k","90k+")))</f>
        <v>50k-69k</v>
      </c>
      <c r="M2792" t="s">
        <v>16570</v>
      </c>
      <c r="N2792">
        <f t="shared" ca="1" si="174"/>
        <v>4</v>
      </c>
      <c r="O2792" t="str">
        <f t="shared" ca="1" si="175"/>
        <v>Intermediate level</v>
      </c>
    </row>
    <row r="2793" spans="1:15" x14ac:dyDescent="0.3">
      <c r="A2793" t="s">
        <v>18978</v>
      </c>
      <c r="B2793" t="s">
        <v>18979</v>
      </c>
      <c r="C2793" t="s">
        <v>748</v>
      </c>
      <c r="D2793" t="s">
        <v>18980</v>
      </c>
      <c r="E2793" t="s">
        <v>18981</v>
      </c>
      <c r="F2793" t="s">
        <v>1618</v>
      </c>
      <c r="G2793" t="s">
        <v>18982</v>
      </c>
      <c r="H2793" t="s">
        <v>18983</v>
      </c>
      <c r="I2793">
        <f t="shared" ca="1" si="172"/>
        <v>34</v>
      </c>
      <c r="J2793" t="str">
        <f t="shared" ca="1" si="173"/>
        <v>30-39</v>
      </c>
      <c r="K2793">
        <v>115280.87</v>
      </c>
      <c r="L2793" t="str">
        <f>IF(Workforce[[#This Row],[Salary]]&lt;50000,"30k-49k",IF(Workforce[[#This Row],[Salary]]&lt;70000,"50k-69k",IF(Workforce[[#This Row],[Salary]]&lt;90000,"70k-89k","90k+")))</f>
        <v>90k+</v>
      </c>
      <c r="M2793" t="s">
        <v>7792</v>
      </c>
      <c r="N2793">
        <f t="shared" ca="1" si="174"/>
        <v>9</v>
      </c>
      <c r="O2793" t="str">
        <f t="shared" ca="1" si="175"/>
        <v>Senior level</v>
      </c>
    </row>
    <row r="2794" spans="1:15" x14ac:dyDescent="0.3">
      <c r="A2794" t="s">
        <v>18984</v>
      </c>
      <c r="B2794" t="s">
        <v>18985</v>
      </c>
      <c r="C2794" t="s">
        <v>1223</v>
      </c>
      <c r="D2794" t="s">
        <v>18986</v>
      </c>
      <c r="E2794" t="s">
        <v>18987</v>
      </c>
      <c r="F2794" t="s">
        <v>3235</v>
      </c>
      <c r="G2794" t="s">
        <v>18988</v>
      </c>
      <c r="H2794" t="s">
        <v>18989</v>
      </c>
      <c r="I2794">
        <f t="shared" ca="1" si="172"/>
        <v>20</v>
      </c>
      <c r="J2794" t="str">
        <f t="shared" ca="1" si="173"/>
        <v>18-29</v>
      </c>
      <c r="K2794">
        <v>87046.86</v>
      </c>
      <c r="L2794" t="str">
        <f>IF(Workforce[[#This Row],[Salary]]&lt;50000,"30k-49k",IF(Workforce[[#This Row],[Salary]]&lt;70000,"50k-69k",IF(Workforce[[#This Row],[Salary]]&lt;90000,"70k-89k","90k+")))</f>
        <v>70k-89k</v>
      </c>
      <c r="M2794" t="s">
        <v>18990</v>
      </c>
      <c r="N2794">
        <f t="shared" ca="1" si="174"/>
        <v>7</v>
      </c>
      <c r="O2794" t="str">
        <f t="shared" ca="1" si="175"/>
        <v>Senior level</v>
      </c>
    </row>
    <row r="2795" spans="1:15" x14ac:dyDescent="0.3">
      <c r="A2795" t="s">
        <v>18991</v>
      </c>
      <c r="B2795" t="s">
        <v>18992</v>
      </c>
      <c r="C2795" t="s">
        <v>266</v>
      </c>
      <c r="D2795" t="s">
        <v>18993</v>
      </c>
      <c r="E2795" t="s">
        <v>18994</v>
      </c>
      <c r="F2795" t="s">
        <v>2036</v>
      </c>
      <c r="G2795" t="s">
        <v>18995</v>
      </c>
      <c r="H2795" t="s">
        <v>18996</v>
      </c>
      <c r="I2795">
        <f t="shared" ca="1" si="172"/>
        <v>21</v>
      </c>
      <c r="J2795" t="str">
        <f t="shared" ca="1" si="173"/>
        <v>18-29</v>
      </c>
      <c r="K2795">
        <v>61282.06</v>
      </c>
      <c r="L2795" t="str">
        <f>IF(Workforce[[#This Row],[Salary]]&lt;50000,"30k-49k",IF(Workforce[[#This Row],[Salary]]&lt;70000,"50k-69k",IF(Workforce[[#This Row],[Salary]]&lt;90000,"70k-89k","90k+")))</f>
        <v>50k-69k</v>
      </c>
      <c r="M2795" t="s">
        <v>18373</v>
      </c>
      <c r="N2795">
        <f t="shared" ca="1" si="174"/>
        <v>1</v>
      </c>
      <c r="O2795" t="str">
        <f t="shared" ca="1" si="175"/>
        <v>Beginner</v>
      </c>
    </row>
    <row r="2796" spans="1:15" x14ac:dyDescent="0.3">
      <c r="A2796" t="s">
        <v>18997</v>
      </c>
      <c r="B2796" t="s">
        <v>18998</v>
      </c>
      <c r="C2796" t="s">
        <v>240</v>
      </c>
      <c r="D2796" t="s">
        <v>18999</v>
      </c>
      <c r="E2796" t="s">
        <v>19000</v>
      </c>
      <c r="F2796" t="s">
        <v>1927</v>
      </c>
      <c r="G2796" t="s">
        <v>19001</v>
      </c>
      <c r="H2796" t="s">
        <v>18745</v>
      </c>
      <c r="I2796">
        <f t="shared" ca="1" si="172"/>
        <v>59</v>
      </c>
      <c r="J2796" t="str">
        <f t="shared" ca="1" si="173"/>
        <v>50-59</v>
      </c>
      <c r="K2796">
        <v>67065.5</v>
      </c>
      <c r="L2796" t="str">
        <f>IF(Workforce[[#This Row],[Salary]]&lt;50000,"30k-49k",IF(Workforce[[#This Row],[Salary]]&lt;70000,"50k-69k",IF(Workforce[[#This Row],[Salary]]&lt;90000,"70k-89k","90k+")))</f>
        <v>50k-69k</v>
      </c>
      <c r="M2796" t="s">
        <v>19002</v>
      </c>
      <c r="N2796">
        <f t="shared" ca="1" si="174"/>
        <v>2</v>
      </c>
      <c r="O2796" t="str">
        <f t="shared" ca="1" si="175"/>
        <v>Beginner</v>
      </c>
    </row>
    <row r="2797" spans="1:15" x14ac:dyDescent="0.3">
      <c r="A2797" t="s">
        <v>19003</v>
      </c>
      <c r="B2797" t="s">
        <v>19004</v>
      </c>
      <c r="C2797" t="s">
        <v>61</v>
      </c>
      <c r="D2797" t="s">
        <v>19005</v>
      </c>
      <c r="E2797" t="s">
        <v>19006</v>
      </c>
      <c r="F2797" t="s">
        <v>2760</v>
      </c>
      <c r="G2797" t="s">
        <v>19007</v>
      </c>
      <c r="H2797" t="s">
        <v>19008</v>
      </c>
      <c r="I2797">
        <f t="shared" ca="1" si="172"/>
        <v>40</v>
      </c>
      <c r="J2797" t="str">
        <f t="shared" ca="1" si="173"/>
        <v>40-49</v>
      </c>
      <c r="K2797">
        <v>95178.57</v>
      </c>
      <c r="L2797" t="str">
        <f>IF(Workforce[[#This Row],[Salary]]&lt;50000,"30k-49k",IF(Workforce[[#This Row],[Salary]]&lt;70000,"50k-69k",IF(Workforce[[#This Row],[Salary]]&lt;90000,"70k-89k","90k+")))</f>
        <v>90k+</v>
      </c>
      <c r="M2797" t="s">
        <v>13467</v>
      </c>
      <c r="N2797">
        <f t="shared" ca="1" si="174"/>
        <v>4</v>
      </c>
      <c r="O2797" t="str">
        <f t="shared" ca="1" si="175"/>
        <v>Intermediate level</v>
      </c>
    </row>
    <row r="2798" spans="1:15" x14ac:dyDescent="0.3">
      <c r="A2798" t="s">
        <v>19009</v>
      </c>
      <c r="B2798" t="s">
        <v>19010</v>
      </c>
      <c r="C2798" t="s">
        <v>17</v>
      </c>
      <c r="D2798" t="s">
        <v>19011</v>
      </c>
      <c r="E2798" t="s">
        <v>19012</v>
      </c>
      <c r="F2798" t="s">
        <v>7341</v>
      </c>
      <c r="G2798" t="s">
        <v>19013</v>
      </c>
      <c r="H2798" t="s">
        <v>19014</v>
      </c>
      <c r="I2798">
        <f t="shared" ca="1" si="172"/>
        <v>21</v>
      </c>
      <c r="J2798" t="str">
        <f t="shared" ca="1" si="173"/>
        <v>18-29</v>
      </c>
      <c r="K2798">
        <v>97657.16</v>
      </c>
      <c r="L2798" t="str">
        <f>IF(Workforce[[#This Row],[Salary]]&lt;50000,"30k-49k",IF(Workforce[[#This Row],[Salary]]&lt;70000,"50k-69k",IF(Workforce[[#This Row],[Salary]]&lt;90000,"70k-89k","90k+")))</f>
        <v>90k+</v>
      </c>
      <c r="M2798" t="s">
        <v>19015</v>
      </c>
      <c r="N2798">
        <f t="shared" ca="1" si="174"/>
        <v>5</v>
      </c>
      <c r="O2798" t="str">
        <f t="shared" ca="1" si="175"/>
        <v>Intermediate level</v>
      </c>
    </row>
    <row r="2799" spans="1:15" x14ac:dyDescent="0.3">
      <c r="A2799" t="s">
        <v>19016</v>
      </c>
      <c r="B2799" t="s">
        <v>19017</v>
      </c>
      <c r="C2799" t="s">
        <v>61</v>
      </c>
      <c r="D2799" t="s">
        <v>19018</v>
      </c>
      <c r="E2799" t="s">
        <v>19019</v>
      </c>
      <c r="F2799" t="s">
        <v>19020</v>
      </c>
      <c r="G2799" t="s">
        <v>14273</v>
      </c>
      <c r="H2799" t="s">
        <v>19021</v>
      </c>
      <c r="I2799">
        <f t="shared" ca="1" si="172"/>
        <v>50</v>
      </c>
      <c r="J2799" t="str">
        <f t="shared" ca="1" si="173"/>
        <v>50-59</v>
      </c>
      <c r="K2799">
        <v>92209.24</v>
      </c>
      <c r="L2799" t="str">
        <f>IF(Workforce[[#This Row],[Salary]]&lt;50000,"30k-49k",IF(Workforce[[#This Row],[Salary]]&lt;70000,"50k-69k",IF(Workforce[[#This Row],[Salary]]&lt;90000,"70k-89k","90k+")))</f>
        <v>90k+</v>
      </c>
      <c r="M2799" t="s">
        <v>19022</v>
      </c>
      <c r="N2799">
        <f t="shared" ca="1" si="174"/>
        <v>5</v>
      </c>
      <c r="O2799" t="str">
        <f t="shared" ca="1" si="175"/>
        <v>Intermediate level</v>
      </c>
    </row>
    <row r="2800" spans="1:15" x14ac:dyDescent="0.3">
      <c r="A2800" t="s">
        <v>19023</v>
      </c>
      <c r="B2800" t="s">
        <v>19024</v>
      </c>
      <c r="C2800" t="s">
        <v>257</v>
      </c>
      <c r="D2800" t="s">
        <v>19025</v>
      </c>
      <c r="E2800" t="s">
        <v>19026</v>
      </c>
      <c r="F2800" t="s">
        <v>3508</v>
      </c>
      <c r="G2800" t="s">
        <v>19027</v>
      </c>
      <c r="H2800" t="s">
        <v>19028</v>
      </c>
      <c r="I2800">
        <f t="shared" ca="1" si="172"/>
        <v>33</v>
      </c>
      <c r="J2800" t="str">
        <f t="shared" ca="1" si="173"/>
        <v>30-39</v>
      </c>
      <c r="K2800">
        <v>45879.72</v>
      </c>
      <c r="L2800" t="str">
        <f>IF(Workforce[[#This Row],[Salary]]&lt;50000,"30k-49k",IF(Workforce[[#This Row],[Salary]]&lt;70000,"50k-69k",IF(Workforce[[#This Row],[Salary]]&lt;90000,"70k-89k","90k+")))</f>
        <v>30k-49k</v>
      </c>
      <c r="M2800" t="s">
        <v>19029</v>
      </c>
      <c r="N2800">
        <f t="shared" ca="1" si="174"/>
        <v>10</v>
      </c>
      <c r="O2800" t="str">
        <f t="shared" ca="1" si="175"/>
        <v>Senior level</v>
      </c>
    </row>
    <row r="2801" spans="1:15" x14ac:dyDescent="0.3">
      <c r="A2801" t="s">
        <v>19030</v>
      </c>
      <c r="B2801" t="s">
        <v>19031</v>
      </c>
      <c r="C2801" t="s">
        <v>1223</v>
      </c>
      <c r="D2801" t="s">
        <v>19032</v>
      </c>
      <c r="E2801" t="s">
        <v>19033</v>
      </c>
      <c r="F2801" t="s">
        <v>1202</v>
      </c>
      <c r="G2801" t="s">
        <v>19034</v>
      </c>
      <c r="H2801" t="s">
        <v>19035</v>
      </c>
      <c r="I2801">
        <f t="shared" ca="1" si="172"/>
        <v>66</v>
      </c>
      <c r="J2801" t="str">
        <f t="shared" ca="1" si="173"/>
        <v>60+</v>
      </c>
      <c r="K2801">
        <v>109208.63</v>
      </c>
      <c r="L2801" t="str">
        <f>IF(Workforce[[#This Row],[Salary]]&lt;50000,"30k-49k",IF(Workforce[[#This Row],[Salary]]&lt;70000,"50k-69k",IF(Workforce[[#This Row],[Salary]]&lt;90000,"70k-89k","90k+")))</f>
        <v>90k+</v>
      </c>
      <c r="M2801" t="s">
        <v>19036</v>
      </c>
      <c r="N2801">
        <f t="shared" ca="1" si="174"/>
        <v>5</v>
      </c>
      <c r="O2801" t="str">
        <f t="shared" ca="1" si="175"/>
        <v>Intermediate level</v>
      </c>
    </row>
    <row r="2802" spans="1:15" x14ac:dyDescent="0.3">
      <c r="A2802" t="s">
        <v>19037</v>
      </c>
      <c r="B2802" t="s">
        <v>19038</v>
      </c>
      <c r="C2802" t="s">
        <v>26</v>
      </c>
      <c r="D2802" t="s">
        <v>19039</v>
      </c>
      <c r="E2802" t="s">
        <v>19040</v>
      </c>
      <c r="F2802" t="s">
        <v>525</v>
      </c>
      <c r="G2802" t="s">
        <v>19041</v>
      </c>
      <c r="H2802" t="s">
        <v>19042</v>
      </c>
      <c r="I2802">
        <f t="shared" ca="1" si="172"/>
        <v>61</v>
      </c>
      <c r="J2802" t="str">
        <f t="shared" ca="1" si="173"/>
        <v>60+</v>
      </c>
      <c r="K2802">
        <v>74398.78</v>
      </c>
      <c r="L2802" t="str">
        <f>IF(Workforce[[#This Row],[Salary]]&lt;50000,"30k-49k",IF(Workforce[[#This Row],[Salary]]&lt;70000,"50k-69k",IF(Workforce[[#This Row],[Salary]]&lt;90000,"70k-89k","90k+")))</f>
        <v>70k-89k</v>
      </c>
      <c r="M2802" t="s">
        <v>11820</v>
      </c>
      <c r="N2802">
        <f t="shared" ca="1" si="174"/>
        <v>1</v>
      </c>
      <c r="O2802" t="str">
        <f t="shared" ca="1" si="175"/>
        <v>Beginner</v>
      </c>
    </row>
    <row r="2803" spans="1:15" x14ac:dyDescent="0.3">
      <c r="A2803" t="s">
        <v>19043</v>
      </c>
      <c r="B2803" t="s">
        <v>19044</v>
      </c>
      <c r="C2803" t="s">
        <v>1043</v>
      </c>
      <c r="D2803" t="s">
        <v>19045</v>
      </c>
      <c r="E2803" t="s">
        <v>19046</v>
      </c>
      <c r="F2803" t="s">
        <v>4669</v>
      </c>
      <c r="G2803" t="s">
        <v>19047</v>
      </c>
      <c r="H2803" t="s">
        <v>19048</v>
      </c>
      <c r="I2803">
        <f t="shared" ca="1" si="172"/>
        <v>29</v>
      </c>
      <c r="J2803" t="str">
        <f t="shared" ca="1" si="173"/>
        <v>18-29</v>
      </c>
      <c r="K2803">
        <v>78862.149999999994</v>
      </c>
      <c r="L2803" t="str">
        <f>IF(Workforce[[#This Row],[Salary]]&lt;50000,"30k-49k",IF(Workforce[[#This Row],[Salary]]&lt;70000,"50k-69k",IF(Workforce[[#This Row],[Salary]]&lt;90000,"70k-89k","90k+")))</f>
        <v>70k-89k</v>
      </c>
      <c r="M2803" t="s">
        <v>19049</v>
      </c>
      <c r="N2803">
        <f t="shared" ca="1" si="174"/>
        <v>3</v>
      </c>
      <c r="O2803" t="str">
        <f t="shared" ca="1" si="175"/>
        <v>Intermediate level</v>
      </c>
    </row>
    <row r="2804" spans="1:15" x14ac:dyDescent="0.3">
      <c r="A2804" t="s">
        <v>19050</v>
      </c>
      <c r="B2804" t="s">
        <v>19051</v>
      </c>
      <c r="C2804" t="s">
        <v>187</v>
      </c>
      <c r="D2804" t="s">
        <v>19052</v>
      </c>
      <c r="E2804" t="s">
        <v>19053</v>
      </c>
      <c r="F2804" t="s">
        <v>20</v>
      </c>
      <c r="G2804" t="s">
        <v>19054</v>
      </c>
      <c r="H2804" t="s">
        <v>7385</v>
      </c>
      <c r="I2804">
        <f t="shared" ca="1" si="172"/>
        <v>31</v>
      </c>
      <c r="J2804" t="str">
        <f t="shared" ca="1" si="173"/>
        <v>30-39</v>
      </c>
      <c r="K2804">
        <v>71150.83</v>
      </c>
      <c r="L2804" t="str">
        <f>IF(Workforce[[#This Row],[Salary]]&lt;50000,"30k-49k",IF(Workforce[[#This Row],[Salary]]&lt;70000,"50k-69k",IF(Workforce[[#This Row],[Salary]]&lt;90000,"70k-89k","90k+")))</f>
        <v>70k-89k</v>
      </c>
      <c r="M2804" t="s">
        <v>281</v>
      </c>
      <c r="N2804">
        <f t="shared" ca="1" si="174"/>
        <v>2</v>
      </c>
      <c r="O2804" t="str">
        <f t="shared" ca="1" si="175"/>
        <v>Beginner</v>
      </c>
    </row>
    <row r="2805" spans="1:15" x14ac:dyDescent="0.3">
      <c r="A2805" t="s">
        <v>19055</v>
      </c>
      <c r="B2805" t="s">
        <v>19056</v>
      </c>
      <c r="C2805" t="s">
        <v>580</v>
      </c>
      <c r="D2805" t="s">
        <v>19057</v>
      </c>
      <c r="E2805" t="s">
        <v>19058</v>
      </c>
      <c r="F2805" t="s">
        <v>7320</v>
      </c>
      <c r="G2805" t="s">
        <v>19059</v>
      </c>
      <c r="H2805" t="s">
        <v>19060</v>
      </c>
      <c r="I2805">
        <f t="shared" ca="1" si="172"/>
        <v>61</v>
      </c>
      <c r="J2805" t="str">
        <f t="shared" ca="1" si="173"/>
        <v>60+</v>
      </c>
      <c r="K2805">
        <v>56032.11</v>
      </c>
      <c r="L2805" t="str">
        <f>IF(Workforce[[#This Row],[Salary]]&lt;50000,"30k-49k",IF(Workforce[[#This Row],[Salary]]&lt;70000,"50k-69k",IF(Workforce[[#This Row],[Salary]]&lt;90000,"70k-89k","90k+")))</f>
        <v>50k-69k</v>
      </c>
      <c r="M2805" t="s">
        <v>19061</v>
      </c>
      <c r="N2805">
        <f t="shared" ca="1" si="174"/>
        <v>8</v>
      </c>
      <c r="O2805" t="str">
        <f t="shared" ca="1" si="175"/>
        <v>Senior level</v>
      </c>
    </row>
    <row r="2806" spans="1:15" x14ac:dyDescent="0.3">
      <c r="A2806" t="s">
        <v>19062</v>
      </c>
      <c r="B2806" t="s">
        <v>19063</v>
      </c>
      <c r="C2806" t="s">
        <v>266</v>
      </c>
      <c r="D2806" t="s">
        <v>19064</v>
      </c>
      <c r="E2806" t="s">
        <v>19065</v>
      </c>
      <c r="F2806" t="s">
        <v>2379</v>
      </c>
      <c r="G2806" t="s">
        <v>19066</v>
      </c>
      <c r="H2806" t="s">
        <v>19067</v>
      </c>
      <c r="I2806">
        <f t="shared" ca="1" si="172"/>
        <v>53</v>
      </c>
      <c r="J2806" t="str">
        <f t="shared" ca="1" si="173"/>
        <v>50-59</v>
      </c>
      <c r="K2806">
        <v>88882.93</v>
      </c>
      <c r="L2806" t="str">
        <f>IF(Workforce[[#This Row],[Salary]]&lt;50000,"30k-49k",IF(Workforce[[#This Row],[Salary]]&lt;70000,"50k-69k",IF(Workforce[[#This Row],[Salary]]&lt;90000,"70k-89k","90k+")))</f>
        <v>70k-89k</v>
      </c>
      <c r="M2806" t="s">
        <v>12616</v>
      </c>
      <c r="N2806">
        <f t="shared" ca="1" si="174"/>
        <v>4</v>
      </c>
      <c r="O2806" t="str">
        <f t="shared" ca="1" si="175"/>
        <v>Intermediate level</v>
      </c>
    </row>
    <row r="2807" spans="1:15" x14ac:dyDescent="0.3">
      <c r="A2807" t="s">
        <v>19068</v>
      </c>
      <c r="B2807" t="s">
        <v>19069</v>
      </c>
      <c r="C2807" t="s">
        <v>70</v>
      </c>
      <c r="D2807" t="s">
        <v>19070</v>
      </c>
      <c r="E2807" t="s">
        <v>19071</v>
      </c>
      <c r="F2807" t="s">
        <v>8891</v>
      </c>
      <c r="G2807" t="s">
        <v>19072</v>
      </c>
      <c r="H2807" t="s">
        <v>10804</v>
      </c>
      <c r="I2807">
        <f t="shared" ca="1" si="172"/>
        <v>59</v>
      </c>
      <c r="J2807" t="str">
        <f t="shared" ca="1" si="173"/>
        <v>50-59</v>
      </c>
      <c r="K2807">
        <v>44534.13</v>
      </c>
      <c r="L2807" t="str">
        <f>IF(Workforce[[#This Row],[Salary]]&lt;50000,"30k-49k",IF(Workforce[[#This Row],[Salary]]&lt;70000,"50k-69k",IF(Workforce[[#This Row],[Salary]]&lt;90000,"70k-89k","90k+")))</f>
        <v>30k-49k</v>
      </c>
      <c r="M2807" t="s">
        <v>19073</v>
      </c>
      <c r="N2807">
        <f t="shared" ca="1" si="174"/>
        <v>8</v>
      </c>
      <c r="O2807" t="str">
        <f t="shared" ca="1" si="175"/>
        <v>Senior level</v>
      </c>
    </row>
    <row r="2808" spans="1:15" x14ac:dyDescent="0.3">
      <c r="A2808" t="s">
        <v>19074</v>
      </c>
      <c r="B2808" t="s">
        <v>19075</v>
      </c>
      <c r="C2808" t="s">
        <v>653</v>
      </c>
      <c r="D2808" t="s">
        <v>19076</v>
      </c>
      <c r="E2808" t="s">
        <v>19077</v>
      </c>
      <c r="F2808" t="s">
        <v>2446</v>
      </c>
      <c r="G2808" t="s">
        <v>19078</v>
      </c>
      <c r="H2808" t="s">
        <v>19079</v>
      </c>
      <c r="I2808">
        <f t="shared" ca="1" si="172"/>
        <v>29</v>
      </c>
      <c r="J2808" t="str">
        <f t="shared" ca="1" si="173"/>
        <v>18-29</v>
      </c>
      <c r="K2808">
        <v>33170.78</v>
      </c>
      <c r="L2808" t="str">
        <f>IF(Workforce[[#This Row],[Salary]]&lt;50000,"30k-49k",IF(Workforce[[#This Row],[Salary]]&lt;70000,"50k-69k",IF(Workforce[[#This Row],[Salary]]&lt;90000,"70k-89k","90k+")))</f>
        <v>30k-49k</v>
      </c>
      <c r="M2808" t="s">
        <v>11341</v>
      </c>
      <c r="N2808">
        <f t="shared" ca="1" si="174"/>
        <v>7</v>
      </c>
      <c r="O2808" t="str">
        <f t="shared" ca="1" si="175"/>
        <v>Senior level</v>
      </c>
    </row>
    <row r="2809" spans="1:15" x14ac:dyDescent="0.3">
      <c r="A2809" t="s">
        <v>19080</v>
      </c>
      <c r="B2809" t="s">
        <v>19081</v>
      </c>
      <c r="C2809" t="s">
        <v>151</v>
      </c>
      <c r="D2809" t="s">
        <v>19082</v>
      </c>
      <c r="E2809" t="s">
        <v>19083</v>
      </c>
      <c r="F2809" t="s">
        <v>10031</v>
      </c>
      <c r="G2809" t="s">
        <v>19084</v>
      </c>
      <c r="H2809" t="s">
        <v>12341</v>
      </c>
      <c r="I2809">
        <f t="shared" ca="1" si="172"/>
        <v>58</v>
      </c>
      <c r="J2809" t="str">
        <f t="shared" ca="1" si="173"/>
        <v>50-59</v>
      </c>
      <c r="K2809">
        <v>116021.95</v>
      </c>
      <c r="L2809" t="str">
        <f>IF(Workforce[[#This Row],[Salary]]&lt;50000,"30k-49k",IF(Workforce[[#This Row],[Salary]]&lt;70000,"50k-69k",IF(Workforce[[#This Row],[Salary]]&lt;90000,"70k-89k","90k+")))</f>
        <v>90k+</v>
      </c>
      <c r="M2809" t="s">
        <v>3023</v>
      </c>
      <c r="N2809">
        <f t="shared" ca="1" si="174"/>
        <v>3</v>
      </c>
      <c r="O2809" t="str">
        <f t="shared" ca="1" si="175"/>
        <v>Intermediate level</v>
      </c>
    </row>
    <row r="2810" spans="1:15" x14ac:dyDescent="0.3">
      <c r="A2810" t="s">
        <v>19085</v>
      </c>
      <c r="B2810" t="s">
        <v>19086</v>
      </c>
      <c r="C2810" t="s">
        <v>326</v>
      </c>
      <c r="D2810" t="s">
        <v>19087</v>
      </c>
      <c r="E2810" t="s">
        <v>19088</v>
      </c>
      <c r="F2810" t="s">
        <v>3308</v>
      </c>
      <c r="G2810" t="s">
        <v>19089</v>
      </c>
      <c r="H2810" t="s">
        <v>19090</v>
      </c>
      <c r="I2810">
        <f t="shared" ca="1" si="172"/>
        <v>60</v>
      </c>
      <c r="J2810" t="str">
        <f t="shared" ca="1" si="173"/>
        <v>60+</v>
      </c>
      <c r="K2810">
        <v>116242.19</v>
      </c>
      <c r="L2810" t="str">
        <f>IF(Workforce[[#This Row],[Salary]]&lt;50000,"30k-49k",IF(Workforce[[#This Row],[Salary]]&lt;70000,"50k-69k",IF(Workforce[[#This Row],[Salary]]&lt;90000,"70k-89k","90k+")))</f>
        <v>90k+</v>
      </c>
      <c r="M2810" t="s">
        <v>19091</v>
      </c>
      <c r="N2810">
        <f t="shared" ca="1" si="174"/>
        <v>3</v>
      </c>
      <c r="O2810" t="str">
        <f t="shared" ca="1" si="175"/>
        <v>Intermediate level</v>
      </c>
    </row>
    <row r="2811" spans="1:15" x14ac:dyDescent="0.3">
      <c r="A2811" t="s">
        <v>19092</v>
      </c>
      <c r="B2811" t="s">
        <v>19093</v>
      </c>
      <c r="C2811" t="s">
        <v>106</v>
      </c>
      <c r="D2811" t="s">
        <v>19094</v>
      </c>
      <c r="E2811" t="s">
        <v>19095</v>
      </c>
      <c r="F2811" t="s">
        <v>1366</v>
      </c>
      <c r="G2811" t="s">
        <v>19096</v>
      </c>
      <c r="H2811" t="s">
        <v>7555</v>
      </c>
      <c r="I2811">
        <f t="shared" ca="1" si="172"/>
        <v>66</v>
      </c>
      <c r="J2811" t="str">
        <f t="shared" ca="1" si="173"/>
        <v>60+</v>
      </c>
      <c r="K2811">
        <v>107012.63</v>
      </c>
      <c r="L2811" t="str">
        <f>IF(Workforce[[#This Row],[Salary]]&lt;50000,"30k-49k",IF(Workforce[[#This Row],[Salary]]&lt;70000,"50k-69k",IF(Workforce[[#This Row],[Salary]]&lt;90000,"70k-89k","90k+")))</f>
        <v>90k+</v>
      </c>
      <c r="M2811" t="s">
        <v>7543</v>
      </c>
      <c r="N2811">
        <f t="shared" ca="1" si="174"/>
        <v>3</v>
      </c>
      <c r="O2811" t="str">
        <f t="shared" ca="1" si="175"/>
        <v>Intermediate level</v>
      </c>
    </row>
    <row r="2812" spans="1:15" x14ac:dyDescent="0.3">
      <c r="A2812" t="s">
        <v>19097</v>
      </c>
      <c r="B2812" t="s">
        <v>19098</v>
      </c>
      <c r="C2812" t="s">
        <v>604</v>
      </c>
      <c r="D2812" t="s">
        <v>19099</v>
      </c>
      <c r="E2812" t="s">
        <v>19100</v>
      </c>
      <c r="F2812" t="s">
        <v>19101</v>
      </c>
      <c r="G2812" t="s">
        <v>19102</v>
      </c>
      <c r="H2812" t="s">
        <v>19103</v>
      </c>
      <c r="I2812">
        <f t="shared" ca="1" si="172"/>
        <v>19</v>
      </c>
      <c r="J2812" t="str">
        <f t="shared" ca="1" si="173"/>
        <v>18-29</v>
      </c>
      <c r="K2812">
        <v>61785.51</v>
      </c>
      <c r="L2812" t="str">
        <f>IF(Workforce[[#This Row],[Salary]]&lt;50000,"30k-49k",IF(Workforce[[#This Row],[Salary]]&lt;70000,"50k-69k",IF(Workforce[[#This Row],[Salary]]&lt;90000,"70k-89k","90k+")))</f>
        <v>50k-69k</v>
      </c>
      <c r="M2812" t="s">
        <v>32</v>
      </c>
      <c r="N2812">
        <f t="shared" ca="1" si="174"/>
        <v>6</v>
      </c>
      <c r="O2812" t="str">
        <f t="shared" ca="1" si="175"/>
        <v>Intermediate level</v>
      </c>
    </row>
    <row r="2813" spans="1:15" x14ac:dyDescent="0.3">
      <c r="A2813" t="s">
        <v>19104</v>
      </c>
      <c r="B2813" t="s">
        <v>19105</v>
      </c>
      <c r="C2813" t="s">
        <v>187</v>
      </c>
      <c r="D2813" t="s">
        <v>19106</v>
      </c>
      <c r="E2813" t="s">
        <v>19107</v>
      </c>
      <c r="F2813" t="s">
        <v>3079</v>
      </c>
      <c r="G2813" t="s">
        <v>6640</v>
      </c>
      <c r="H2813" t="s">
        <v>14041</v>
      </c>
      <c r="I2813">
        <f t="shared" ca="1" si="172"/>
        <v>51</v>
      </c>
      <c r="J2813" t="str">
        <f t="shared" ca="1" si="173"/>
        <v>50-59</v>
      </c>
      <c r="K2813">
        <v>78568.100000000006</v>
      </c>
      <c r="L2813" t="str">
        <f>IF(Workforce[[#This Row],[Salary]]&lt;50000,"30k-49k",IF(Workforce[[#This Row],[Salary]]&lt;70000,"50k-69k",IF(Workforce[[#This Row],[Salary]]&lt;90000,"70k-89k","90k+")))</f>
        <v>70k-89k</v>
      </c>
      <c r="M2813" t="s">
        <v>19108</v>
      </c>
      <c r="N2813">
        <f t="shared" ca="1" si="174"/>
        <v>9</v>
      </c>
      <c r="O2813" t="str">
        <f t="shared" ca="1" si="175"/>
        <v>Senior level</v>
      </c>
    </row>
    <row r="2814" spans="1:15" x14ac:dyDescent="0.3">
      <c r="A2814" t="s">
        <v>14501</v>
      </c>
      <c r="B2814" t="s">
        <v>19109</v>
      </c>
      <c r="C2814" t="s">
        <v>97</v>
      </c>
      <c r="D2814" t="s">
        <v>19110</v>
      </c>
      <c r="E2814" t="s">
        <v>19111</v>
      </c>
      <c r="F2814" t="s">
        <v>136</v>
      </c>
      <c r="G2814" t="s">
        <v>19112</v>
      </c>
      <c r="H2814" t="s">
        <v>19113</v>
      </c>
      <c r="I2814">
        <f t="shared" ca="1" si="172"/>
        <v>20</v>
      </c>
      <c r="J2814" t="str">
        <f t="shared" ca="1" si="173"/>
        <v>18-29</v>
      </c>
      <c r="K2814">
        <v>59454.82</v>
      </c>
      <c r="L2814" t="str">
        <f>IF(Workforce[[#This Row],[Salary]]&lt;50000,"30k-49k",IF(Workforce[[#This Row],[Salary]]&lt;70000,"50k-69k",IF(Workforce[[#This Row],[Salary]]&lt;90000,"70k-89k","90k+")))</f>
        <v>50k-69k</v>
      </c>
      <c r="M2814" t="s">
        <v>19114</v>
      </c>
      <c r="N2814">
        <f t="shared" ca="1" si="174"/>
        <v>6</v>
      </c>
      <c r="O2814" t="str">
        <f t="shared" ca="1" si="175"/>
        <v>Intermediate level</v>
      </c>
    </row>
    <row r="2815" spans="1:15" x14ac:dyDescent="0.3">
      <c r="A2815" t="s">
        <v>19115</v>
      </c>
      <c r="B2815" t="s">
        <v>19116</v>
      </c>
      <c r="C2815" t="s">
        <v>1043</v>
      </c>
      <c r="D2815" t="s">
        <v>19117</v>
      </c>
      <c r="E2815" t="s">
        <v>19118</v>
      </c>
      <c r="F2815" t="s">
        <v>1657</v>
      </c>
      <c r="G2815" t="s">
        <v>6364</v>
      </c>
      <c r="H2815" t="s">
        <v>19119</v>
      </c>
      <c r="I2815">
        <f t="shared" ca="1" si="172"/>
        <v>29</v>
      </c>
      <c r="J2815" t="str">
        <f t="shared" ca="1" si="173"/>
        <v>18-29</v>
      </c>
      <c r="K2815">
        <v>83827.86</v>
      </c>
      <c r="L2815" t="str">
        <f>IF(Workforce[[#This Row],[Salary]]&lt;50000,"30k-49k",IF(Workforce[[#This Row],[Salary]]&lt;70000,"50k-69k",IF(Workforce[[#This Row],[Salary]]&lt;90000,"70k-89k","90k+")))</f>
        <v>70k-89k</v>
      </c>
      <c r="M2815" t="s">
        <v>14642</v>
      </c>
      <c r="N2815">
        <f t="shared" ca="1" si="174"/>
        <v>8</v>
      </c>
      <c r="O2815" t="str">
        <f t="shared" ca="1" si="175"/>
        <v>Senior level</v>
      </c>
    </row>
    <row r="2816" spans="1:15" x14ac:dyDescent="0.3">
      <c r="A2816" t="s">
        <v>19120</v>
      </c>
      <c r="B2816" t="s">
        <v>19121</v>
      </c>
      <c r="C2816" t="s">
        <v>1004</v>
      </c>
      <c r="D2816" t="s">
        <v>19122</v>
      </c>
      <c r="E2816" t="s">
        <v>19123</v>
      </c>
      <c r="F2816" t="s">
        <v>47</v>
      </c>
      <c r="G2816" t="s">
        <v>2195</v>
      </c>
      <c r="H2816" t="s">
        <v>19124</v>
      </c>
      <c r="I2816">
        <f t="shared" ca="1" si="172"/>
        <v>34</v>
      </c>
      <c r="J2816" t="str">
        <f t="shared" ca="1" si="173"/>
        <v>30-39</v>
      </c>
      <c r="K2816">
        <v>66759.22</v>
      </c>
      <c r="L2816" t="str">
        <f>IF(Workforce[[#This Row],[Salary]]&lt;50000,"30k-49k",IF(Workforce[[#This Row],[Salary]]&lt;70000,"50k-69k",IF(Workforce[[#This Row],[Salary]]&lt;90000,"70k-89k","90k+")))</f>
        <v>50k-69k</v>
      </c>
      <c r="M2816" t="s">
        <v>19125</v>
      </c>
      <c r="N2816">
        <f t="shared" ca="1" si="174"/>
        <v>1</v>
      </c>
      <c r="O2816" t="str">
        <f t="shared" ca="1" si="175"/>
        <v>Beginner</v>
      </c>
    </row>
    <row r="2817" spans="1:15" x14ac:dyDescent="0.3">
      <c r="A2817" t="s">
        <v>19126</v>
      </c>
      <c r="B2817" t="s">
        <v>19127</v>
      </c>
      <c r="C2817" t="s">
        <v>222</v>
      </c>
      <c r="D2817" t="s">
        <v>19128</v>
      </c>
      <c r="E2817" t="s">
        <v>19129</v>
      </c>
      <c r="F2817" t="s">
        <v>4118</v>
      </c>
      <c r="G2817" t="s">
        <v>19130</v>
      </c>
      <c r="H2817" t="s">
        <v>3554</v>
      </c>
      <c r="I2817">
        <f t="shared" ca="1" si="172"/>
        <v>26</v>
      </c>
      <c r="J2817" t="str">
        <f t="shared" ca="1" si="173"/>
        <v>18-29</v>
      </c>
      <c r="K2817">
        <v>65374.94</v>
      </c>
      <c r="L2817" t="str">
        <f>IF(Workforce[[#This Row],[Salary]]&lt;50000,"30k-49k",IF(Workforce[[#This Row],[Salary]]&lt;70000,"50k-69k",IF(Workforce[[#This Row],[Salary]]&lt;90000,"70k-89k","90k+")))</f>
        <v>50k-69k</v>
      </c>
      <c r="M2817" t="s">
        <v>58</v>
      </c>
      <c r="N2817">
        <f t="shared" ca="1" si="174"/>
        <v>6</v>
      </c>
      <c r="O2817" t="str">
        <f t="shared" ca="1" si="175"/>
        <v>Intermediate level</v>
      </c>
    </row>
    <row r="2818" spans="1:15" x14ac:dyDescent="0.3">
      <c r="A2818" t="s">
        <v>19131</v>
      </c>
      <c r="B2818" t="s">
        <v>19132</v>
      </c>
      <c r="C2818" t="s">
        <v>335</v>
      </c>
      <c r="D2818" t="s">
        <v>19133</v>
      </c>
      <c r="E2818" t="s">
        <v>19134</v>
      </c>
      <c r="F2818" t="s">
        <v>4170</v>
      </c>
      <c r="G2818" t="s">
        <v>19135</v>
      </c>
      <c r="H2818" t="s">
        <v>19136</v>
      </c>
      <c r="I2818">
        <f t="shared" ref="I2818:I2881" ca="1" si="176">DATEDIF(H2818,TODAY(),"y")</f>
        <v>66</v>
      </c>
      <c r="J2818" t="str">
        <f t="shared" ref="J2818:J2881" ca="1" si="177">IF(I2818&lt;30,"18-29",IF(I2818&lt;40,"30-39",IF(I2818&lt;50,"40-49",IF(I2818&lt;60,"50-59","60+"))))</f>
        <v>60+</v>
      </c>
      <c r="K2818">
        <v>56299.15</v>
      </c>
      <c r="L2818" t="str">
        <f>IF(Workforce[[#This Row],[Salary]]&lt;50000,"30k-49k",IF(Workforce[[#This Row],[Salary]]&lt;70000,"50k-69k",IF(Workforce[[#This Row],[Salary]]&lt;90000,"70k-89k","90k+")))</f>
        <v>50k-69k</v>
      </c>
      <c r="M2818" t="s">
        <v>10819</v>
      </c>
      <c r="N2818">
        <f t="shared" ref="N2818:N2881" ca="1" si="178">DATEDIF(M2818,TODAY(),"y")</f>
        <v>7</v>
      </c>
      <c r="O2818" t="str">
        <f t="shared" ref="O2818:O2881" ca="1" si="179">IF(N2818&lt;=2,"Beginner",IF(N2818&lt;=6,"Intermediate level","Senior level"))</f>
        <v>Senior level</v>
      </c>
    </row>
    <row r="2819" spans="1:15" x14ac:dyDescent="0.3">
      <c r="A2819" t="s">
        <v>19137</v>
      </c>
      <c r="B2819" t="s">
        <v>19138</v>
      </c>
      <c r="C2819" t="s">
        <v>284</v>
      </c>
      <c r="D2819" t="s">
        <v>19139</v>
      </c>
      <c r="E2819" t="s">
        <v>19140</v>
      </c>
      <c r="F2819" t="s">
        <v>3820</v>
      </c>
      <c r="G2819" t="s">
        <v>19141</v>
      </c>
      <c r="H2819" t="s">
        <v>19142</v>
      </c>
      <c r="I2819">
        <f t="shared" ca="1" si="176"/>
        <v>53</v>
      </c>
      <c r="J2819" t="str">
        <f t="shared" ca="1" si="177"/>
        <v>50-59</v>
      </c>
      <c r="K2819">
        <v>104508.77</v>
      </c>
      <c r="L2819" t="str">
        <f>IF(Workforce[[#This Row],[Salary]]&lt;50000,"30k-49k",IF(Workforce[[#This Row],[Salary]]&lt;70000,"50k-69k",IF(Workforce[[#This Row],[Salary]]&lt;90000,"70k-89k","90k+")))</f>
        <v>90k+</v>
      </c>
      <c r="M2819" t="s">
        <v>19143</v>
      </c>
      <c r="N2819">
        <f t="shared" ca="1" si="178"/>
        <v>8</v>
      </c>
      <c r="O2819" t="str">
        <f t="shared" ca="1" si="179"/>
        <v>Senior level</v>
      </c>
    </row>
    <row r="2820" spans="1:15" x14ac:dyDescent="0.3">
      <c r="A2820" t="s">
        <v>19144</v>
      </c>
      <c r="B2820" t="s">
        <v>19145</v>
      </c>
      <c r="C2820" t="s">
        <v>187</v>
      </c>
      <c r="D2820" t="s">
        <v>19146</v>
      </c>
      <c r="E2820" t="s">
        <v>19147</v>
      </c>
      <c r="F2820" t="s">
        <v>16678</v>
      </c>
      <c r="G2820" t="s">
        <v>10167</v>
      </c>
      <c r="H2820" t="s">
        <v>19148</v>
      </c>
      <c r="I2820">
        <f t="shared" ca="1" si="176"/>
        <v>30</v>
      </c>
      <c r="J2820" t="str">
        <f t="shared" ca="1" si="177"/>
        <v>30-39</v>
      </c>
      <c r="K2820">
        <v>30842.48</v>
      </c>
      <c r="L2820" t="str">
        <f>IF(Workforce[[#This Row],[Salary]]&lt;50000,"30k-49k",IF(Workforce[[#This Row],[Salary]]&lt;70000,"50k-69k",IF(Workforce[[#This Row],[Salary]]&lt;90000,"70k-89k","90k+")))</f>
        <v>30k-49k</v>
      </c>
      <c r="M2820" t="s">
        <v>19149</v>
      </c>
      <c r="N2820">
        <f t="shared" ca="1" si="178"/>
        <v>8</v>
      </c>
      <c r="O2820" t="str">
        <f t="shared" ca="1" si="179"/>
        <v>Senior level</v>
      </c>
    </row>
    <row r="2821" spans="1:15" x14ac:dyDescent="0.3">
      <c r="A2821" t="s">
        <v>19150</v>
      </c>
      <c r="B2821" t="s">
        <v>19151</v>
      </c>
      <c r="C2821" t="s">
        <v>317</v>
      </c>
      <c r="D2821" t="s">
        <v>19152</v>
      </c>
      <c r="E2821" t="s">
        <v>19153</v>
      </c>
      <c r="F2821" t="s">
        <v>910</v>
      </c>
      <c r="G2821" t="s">
        <v>1336</v>
      </c>
      <c r="H2821" t="s">
        <v>15374</v>
      </c>
      <c r="I2821">
        <f t="shared" ca="1" si="176"/>
        <v>53</v>
      </c>
      <c r="J2821" t="str">
        <f t="shared" ca="1" si="177"/>
        <v>50-59</v>
      </c>
      <c r="K2821">
        <v>77226.78</v>
      </c>
      <c r="L2821" t="str">
        <f>IF(Workforce[[#This Row],[Salary]]&lt;50000,"30k-49k",IF(Workforce[[#This Row],[Salary]]&lt;70000,"50k-69k",IF(Workforce[[#This Row],[Salary]]&lt;90000,"70k-89k","90k+")))</f>
        <v>70k-89k</v>
      </c>
      <c r="M2821" t="s">
        <v>12407</v>
      </c>
      <c r="N2821">
        <f t="shared" ca="1" si="178"/>
        <v>8</v>
      </c>
      <c r="O2821" t="str">
        <f t="shared" ca="1" si="179"/>
        <v>Senior level</v>
      </c>
    </row>
    <row r="2822" spans="1:15" x14ac:dyDescent="0.3">
      <c r="A2822" t="s">
        <v>19154</v>
      </c>
      <c r="B2822" t="s">
        <v>19155</v>
      </c>
      <c r="C2822" t="s">
        <v>124</v>
      </c>
      <c r="D2822" t="s">
        <v>19156</v>
      </c>
      <c r="E2822" t="s">
        <v>19157</v>
      </c>
      <c r="F2822" t="s">
        <v>3971</v>
      </c>
      <c r="G2822" t="s">
        <v>19158</v>
      </c>
      <c r="H2822" t="s">
        <v>19159</v>
      </c>
      <c r="I2822">
        <f t="shared" ca="1" si="176"/>
        <v>52</v>
      </c>
      <c r="J2822" t="str">
        <f t="shared" ca="1" si="177"/>
        <v>50-59</v>
      </c>
      <c r="K2822">
        <v>61812.88</v>
      </c>
      <c r="L2822" t="str">
        <f>IF(Workforce[[#This Row],[Salary]]&lt;50000,"30k-49k",IF(Workforce[[#This Row],[Salary]]&lt;70000,"50k-69k",IF(Workforce[[#This Row],[Salary]]&lt;90000,"70k-89k","90k+")))</f>
        <v>50k-69k</v>
      </c>
      <c r="M2822" t="s">
        <v>4360</v>
      </c>
      <c r="N2822">
        <f t="shared" ca="1" si="178"/>
        <v>8</v>
      </c>
      <c r="O2822" t="str">
        <f t="shared" ca="1" si="179"/>
        <v>Senior level</v>
      </c>
    </row>
    <row r="2823" spans="1:15" x14ac:dyDescent="0.3">
      <c r="A2823" t="s">
        <v>19160</v>
      </c>
      <c r="B2823" t="s">
        <v>19161</v>
      </c>
      <c r="C2823" t="s">
        <v>482</v>
      </c>
      <c r="D2823" t="s">
        <v>19162</v>
      </c>
      <c r="E2823" t="s">
        <v>19163</v>
      </c>
      <c r="F2823" t="s">
        <v>1950</v>
      </c>
      <c r="G2823" t="s">
        <v>19164</v>
      </c>
      <c r="H2823" t="s">
        <v>19165</v>
      </c>
      <c r="I2823">
        <f t="shared" ca="1" si="176"/>
        <v>39</v>
      </c>
      <c r="J2823" t="str">
        <f t="shared" ca="1" si="177"/>
        <v>30-39</v>
      </c>
      <c r="K2823">
        <v>49132.74</v>
      </c>
      <c r="L2823" t="str">
        <f>IF(Workforce[[#This Row],[Salary]]&lt;50000,"30k-49k",IF(Workforce[[#This Row],[Salary]]&lt;70000,"50k-69k",IF(Workforce[[#This Row],[Salary]]&lt;90000,"70k-89k","90k+")))</f>
        <v>30k-49k</v>
      </c>
      <c r="M2823" t="s">
        <v>12822</v>
      </c>
      <c r="N2823">
        <f t="shared" ca="1" si="178"/>
        <v>7</v>
      </c>
      <c r="O2823" t="str">
        <f t="shared" ca="1" si="179"/>
        <v>Senior level</v>
      </c>
    </row>
    <row r="2824" spans="1:15" x14ac:dyDescent="0.3">
      <c r="A2824" t="s">
        <v>19166</v>
      </c>
      <c r="B2824" t="s">
        <v>19167</v>
      </c>
      <c r="C2824" t="s">
        <v>178</v>
      </c>
      <c r="D2824" t="s">
        <v>19168</v>
      </c>
      <c r="E2824" t="s">
        <v>19169</v>
      </c>
      <c r="F2824" t="s">
        <v>550</v>
      </c>
      <c r="G2824" t="s">
        <v>19170</v>
      </c>
      <c r="H2824" t="s">
        <v>11571</v>
      </c>
      <c r="I2824">
        <f t="shared" ca="1" si="176"/>
        <v>65</v>
      </c>
      <c r="J2824" t="str">
        <f t="shared" ca="1" si="177"/>
        <v>60+</v>
      </c>
      <c r="K2824">
        <v>119247.84</v>
      </c>
      <c r="L2824" t="str">
        <f>IF(Workforce[[#This Row],[Salary]]&lt;50000,"30k-49k",IF(Workforce[[#This Row],[Salary]]&lt;70000,"50k-69k",IF(Workforce[[#This Row],[Salary]]&lt;90000,"70k-89k","90k+")))</f>
        <v>90k+</v>
      </c>
      <c r="M2824" t="s">
        <v>19171</v>
      </c>
      <c r="N2824">
        <f t="shared" ca="1" si="178"/>
        <v>4</v>
      </c>
      <c r="O2824" t="str">
        <f t="shared" ca="1" si="179"/>
        <v>Intermediate level</v>
      </c>
    </row>
    <row r="2825" spans="1:15" x14ac:dyDescent="0.3">
      <c r="A2825" t="s">
        <v>19172</v>
      </c>
      <c r="B2825" t="s">
        <v>19173</v>
      </c>
      <c r="C2825" t="s">
        <v>774</v>
      </c>
      <c r="D2825" t="s">
        <v>19174</v>
      </c>
      <c r="E2825" t="s">
        <v>19175</v>
      </c>
      <c r="F2825" t="s">
        <v>3329</v>
      </c>
      <c r="G2825" t="s">
        <v>19176</v>
      </c>
      <c r="H2825" t="s">
        <v>19177</v>
      </c>
      <c r="I2825">
        <f t="shared" ca="1" si="176"/>
        <v>28</v>
      </c>
      <c r="J2825" t="str">
        <f t="shared" ca="1" si="177"/>
        <v>18-29</v>
      </c>
      <c r="K2825">
        <v>58798.13</v>
      </c>
      <c r="L2825" t="str">
        <f>IF(Workforce[[#This Row],[Salary]]&lt;50000,"30k-49k",IF(Workforce[[#This Row],[Salary]]&lt;70000,"50k-69k",IF(Workforce[[#This Row],[Salary]]&lt;90000,"70k-89k","90k+")))</f>
        <v>50k-69k</v>
      </c>
      <c r="M2825" t="s">
        <v>8539</v>
      </c>
      <c r="N2825">
        <f t="shared" ca="1" si="178"/>
        <v>2</v>
      </c>
      <c r="O2825" t="str">
        <f t="shared" ca="1" si="179"/>
        <v>Beginner</v>
      </c>
    </row>
    <row r="2826" spans="1:15" x14ac:dyDescent="0.3">
      <c r="A2826" t="s">
        <v>19178</v>
      </c>
      <c r="B2826" t="s">
        <v>19179</v>
      </c>
      <c r="C2826" t="s">
        <v>1004</v>
      </c>
      <c r="D2826" t="s">
        <v>19180</v>
      </c>
      <c r="E2826" t="s">
        <v>19181</v>
      </c>
      <c r="F2826" t="s">
        <v>1880</v>
      </c>
      <c r="G2826" t="s">
        <v>19182</v>
      </c>
      <c r="H2826" t="s">
        <v>19183</v>
      </c>
      <c r="I2826">
        <f t="shared" ca="1" si="176"/>
        <v>54</v>
      </c>
      <c r="J2826" t="str">
        <f t="shared" ca="1" si="177"/>
        <v>50-59</v>
      </c>
      <c r="K2826">
        <v>68838.81</v>
      </c>
      <c r="L2826" t="str">
        <f>IF(Workforce[[#This Row],[Salary]]&lt;50000,"30k-49k",IF(Workforce[[#This Row],[Salary]]&lt;70000,"50k-69k",IF(Workforce[[#This Row],[Salary]]&lt;90000,"70k-89k","90k+")))</f>
        <v>50k-69k</v>
      </c>
      <c r="M2826" t="s">
        <v>85</v>
      </c>
      <c r="N2826">
        <f t="shared" ca="1" si="178"/>
        <v>6</v>
      </c>
      <c r="O2826" t="str">
        <f t="shared" ca="1" si="179"/>
        <v>Intermediate level</v>
      </c>
    </row>
    <row r="2827" spans="1:15" x14ac:dyDescent="0.3">
      <c r="A2827" t="s">
        <v>19184</v>
      </c>
      <c r="B2827" t="s">
        <v>19185</v>
      </c>
      <c r="C2827" t="s">
        <v>124</v>
      </c>
      <c r="D2827" t="s">
        <v>19186</v>
      </c>
      <c r="E2827" t="s">
        <v>19187</v>
      </c>
      <c r="F2827" t="s">
        <v>1210</v>
      </c>
      <c r="G2827" t="s">
        <v>19188</v>
      </c>
      <c r="H2827" t="s">
        <v>13225</v>
      </c>
      <c r="I2827">
        <f t="shared" ca="1" si="176"/>
        <v>45</v>
      </c>
      <c r="J2827" t="str">
        <f t="shared" ca="1" si="177"/>
        <v>40-49</v>
      </c>
      <c r="K2827">
        <v>45389.08</v>
      </c>
      <c r="L2827" t="str">
        <f>IF(Workforce[[#This Row],[Salary]]&lt;50000,"30k-49k",IF(Workforce[[#This Row],[Salary]]&lt;70000,"50k-69k",IF(Workforce[[#This Row],[Salary]]&lt;90000,"70k-89k","90k+")))</f>
        <v>30k-49k</v>
      </c>
      <c r="M2827" t="s">
        <v>112</v>
      </c>
      <c r="N2827">
        <f t="shared" ca="1" si="178"/>
        <v>4</v>
      </c>
      <c r="O2827" t="str">
        <f t="shared" ca="1" si="179"/>
        <v>Intermediate level</v>
      </c>
    </row>
    <row r="2828" spans="1:15" x14ac:dyDescent="0.3">
      <c r="A2828" t="s">
        <v>19189</v>
      </c>
      <c r="B2828" t="s">
        <v>19190</v>
      </c>
      <c r="C2828" t="s">
        <v>774</v>
      </c>
      <c r="D2828" t="s">
        <v>19191</v>
      </c>
      <c r="E2828" t="s">
        <v>19192</v>
      </c>
      <c r="F2828" t="s">
        <v>5111</v>
      </c>
      <c r="G2828" t="s">
        <v>19193</v>
      </c>
      <c r="H2828" t="s">
        <v>19194</v>
      </c>
      <c r="I2828">
        <f t="shared" ca="1" si="176"/>
        <v>49</v>
      </c>
      <c r="J2828" t="str">
        <f t="shared" ca="1" si="177"/>
        <v>40-49</v>
      </c>
      <c r="K2828">
        <v>99098.43</v>
      </c>
      <c r="L2828" t="str">
        <f>IF(Workforce[[#This Row],[Salary]]&lt;50000,"30k-49k",IF(Workforce[[#This Row],[Salary]]&lt;70000,"50k-69k",IF(Workforce[[#This Row],[Salary]]&lt;90000,"70k-89k","90k+")))</f>
        <v>90k+</v>
      </c>
      <c r="M2828" t="s">
        <v>4173</v>
      </c>
      <c r="N2828">
        <f t="shared" ca="1" si="178"/>
        <v>2</v>
      </c>
      <c r="O2828" t="str">
        <f t="shared" ca="1" si="179"/>
        <v>Beginner</v>
      </c>
    </row>
    <row r="2829" spans="1:15" x14ac:dyDescent="0.3">
      <c r="A2829" t="s">
        <v>19195</v>
      </c>
      <c r="B2829" t="s">
        <v>19196</v>
      </c>
      <c r="C2829" t="s">
        <v>1223</v>
      </c>
      <c r="D2829" t="s">
        <v>19197</v>
      </c>
      <c r="E2829" t="s">
        <v>19198</v>
      </c>
      <c r="F2829" t="s">
        <v>14292</v>
      </c>
      <c r="G2829" t="s">
        <v>19199</v>
      </c>
      <c r="H2829" t="s">
        <v>19200</v>
      </c>
      <c r="I2829">
        <f t="shared" ca="1" si="176"/>
        <v>35</v>
      </c>
      <c r="J2829" t="str">
        <f t="shared" ca="1" si="177"/>
        <v>30-39</v>
      </c>
      <c r="K2829">
        <v>33458.76</v>
      </c>
      <c r="L2829" t="str">
        <f>IF(Workforce[[#This Row],[Salary]]&lt;50000,"30k-49k",IF(Workforce[[#This Row],[Salary]]&lt;70000,"50k-69k",IF(Workforce[[#This Row],[Salary]]&lt;90000,"70k-89k","90k+")))</f>
        <v>30k-49k</v>
      </c>
      <c r="M2829" t="s">
        <v>6074</v>
      </c>
      <c r="N2829">
        <f t="shared" ca="1" si="178"/>
        <v>7</v>
      </c>
      <c r="O2829" t="str">
        <f t="shared" ca="1" si="179"/>
        <v>Senior level</v>
      </c>
    </row>
    <row r="2830" spans="1:15" x14ac:dyDescent="0.3">
      <c r="A2830" t="s">
        <v>19201</v>
      </c>
      <c r="B2830" t="s">
        <v>19202</v>
      </c>
      <c r="C2830" t="s">
        <v>266</v>
      </c>
      <c r="D2830" t="s">
        <v>19203</v>
      </c>
      <c r="E2830" t="s">
        <v>19204</v>
      </c>
      <c r="F2830" t="s">
        <v>29</v>
      </c>
      <c r="G2830" t="s">
        <v>19205</v>
      </c>
      <c r="H2830" t="s">
        <v>19206</v>
      </c>
      <c r="I2830">
        <f t="shared" ca="1" si="176"/>
        <v>33</v>
      </c>
      <c r="J2830" t="str">
        <f t="shared" ca="1" si="177"/>
        <v>30-39</v>
      </c>
      <c r="K2830">
        <v>41076.97</v>
      </c>
      <c r="L2830" t="str">
        <f>IF(Workforce[[#This Row],[Salary]]&lt;50000,"30k-49k",IF(Workforce[[#This Row],[Salary]]&lt;70000,"50k-69k",IF(Workforce[[#This Row],[Salary]]&lt;90000,"70k-89k","90k+")))</f>
        <v>30k-49k</v>
      </c>
      <c r="M2830" t="s">
        <v>19207</v>
      </c>
      <c r="N2830">
        <f t="shared" ca="1" si="178"/>
        <v>8</v>
      </c>
      <c r="O2830" t="str">
        <f t="shared" ca="1" si="179"/>
        <v>Senior level</v>
      </c>
    </row>
    <row r="2831" spans="1:15" x14ac:dyDescent="0.3">
      <c r="A2831" t="s">
        <v>19208</v>
      </c>
      <c r="B2831" t="s">
        <v>19209</v>
      </c>
      <c r="C2831" t="s">
        <v>142</v>
      </c>
      <c r="D2831" t="s">
        <v>19210</v>
      </c>
      <c r="E2831" t="s">
        <v>19211</v>
      </c>
      <c r="F2831" t="s">
        <v>10802</v>
      </c>
      <c r="G2831" t="s">
        <v>19212</v>
      </c>
      <c r="H2831" t="s">
        <v>15699</v>
      </c>
      <c r="I2831">
        <f t="shared" ca="1" si="176"/>
        <v>65</v>
      </c>
      <c r="J2831" t="str">
        <f t="shared" ca="1" si="177"/>
        <v>60+</v>
      </c>
      <c r="K2831">
        <v>74019.649999999994</v>
      </c>
      <c r="L2831" t="str">
        <f>IF(Workforce[[#This Row],[Salary]]&lt;50000,"30k-49k",IF(Workforce[[#This Row],[Salary]]&lt;70000,"50k-69k",IF(Workforce[[#This Row],[Salary]]&lt;90000,"70k-89k","90k+")))</f>
        <v>70k-89k</v>
      </c>
      <c r="M2831" t="s">
        <v>6443</v>
      </c>
      <c r="N2831">
        <f t="shared" ca="1" si="178"/>
        <v>9</v>
      </c>
      <c r="O2831" t="str">
        <f t="shared" ca="1" si="179"/>
        <v>Senior level</v>
      </c>
    </row>
    <row r="2832" spans="1:15" x14ac:dyDescent="0.3">
      <c r="A2832" t="s">
        <v>19213</v>
      </c>
      <c r="B2832" t="s">
        <v>19214</v>
      </c>
      <c r="C2832" t="s">
        <v>106</v>
      </c>
      <c r="D2832" t="s">
        <v>19215</v>
      </c>
      <c r="E2832" t="s">
        <v>19216</v>
      </c>
      <c r="F2832" t="s">
        <v>4321</v>
      </c>
      <c r="G2832" t="s">
        <v>19217</v>
      </c>
      <c r="H2832" t="s">
        <v>19218</v>
      </c>
      <c r="I2832">
        <f t="shared" ca="1" si="176"/>
        <v>21</v>
      </c>
      <c r="J2832" t="str">
        <f t="shared" ca="1" si="177"/>
        <v>18-29</v>
      </c>
      <c r="K2832">
        <v>93499.66</v>
      </c>
      <c r="L2832" t="str">
        <f>IF(Workforce[[#This Row],[Salary]]&lt;50000,"30k-49k",IF(Workforce[[#This Row],[Salary]]&lt;70000,"50k-69k",IF(Workforce[[#This Row],[Salary]]&lt;90000,"70k-89k","90k+")))</f>
        <v>90k+</v>
      </c>
      <c r="M2832" t="s">
        <v>19219</v>
      </c>
      <c r="N2832">
        <f t="shared" ca="1" si="178"/>
        <v>6</v>
      </c>
      <c r="O2832" t="str">
        <f t="shared" ca="1" si="179"/>
        <v>Intermediate level</v>
      </c>
    </row>
    <row r="2833" spans="1:15" x14ac:dyDescent="0.3">
      <c r="A2833" t="s">
        <v>9965</v>
      </c>
      <c r="B2833" t="s">
        <v>19220</v>
      </c>
      <c r="C2833" t="s">
        <v>115</v>
      </c>
      <c r="D2833" t="s">
        <v>19221</v>
      </c>
      <c r="E2833" t="s">
        <v>19222</v>
      </c>
      <c r="F2833" t="s">
        <v>7590</v>
      </c>
      <c r="G2833" t="s">
        <v>19223</v>
      </c>
      <c r="H2833" t="s">
        <v>19224</v>
      </c>
      <c r="I2833">
        <f t="shared" ca="1" si="176"/>
        <v>42</v>
      </c>
      <c r="J2833" t="str">
        <f t="shared" ca="1" si="177"/>
        <v>40-49</v>
      </c>
      <c r="K2833">
        <v>114166.81</v>
      </c>
      <c r="L2833" t="str">
        <f>IF(Workforce[[#This Row],[Salary]]&lt;50000,"30k-49k",IF(Workforce[[#This Row],[Salary]]&lt;70000,"50k-69k",IF(Workforce[[#This Row],[Salary]]&lt;90000,"70k-89k","90k+")))</f>
        <v>90k+</v>
      </c>
      <c r="M2833" t="s">
        <v>19225</v>
      </c>
      <c r="N2833">
        <f t="shared" ca="1" si="178"/>
        <v>4</v>
      </c>
      <c r="O2833" t="str">
        <f t="shared" ca="1" si="179"/>
        <v>Intermediate level</v>
      </c>
    </row>
    <row r="2834" spans="1:15" x14ac:dyDescent="0.3">
      <c r="A2834" t="s">
        <v>19226</v>
      </c>
      <c r="B2834" t="s">
        <v>19227</v>
      </c>
      <c r="C2834" t="s">
        <v>151</v>
      </c>
      <c r="D2834" t="s">
        <v>19228</v>
      </c>
      <c r="E2834" t="s">
        <v>19229</v>
      </c>
      <c r="F2834" t="s">
        <v>4887</v>
      </c>
      <c r="G2834" t="s">
        <v>19230</v>
      </c>
      <c r="H2834" t="s">
        <v>19231</v>
      </c>
      <c r="I2834">
        <f t="shared" ca="1" si="176"/>
        <v>57</v>
      </c>
      <c r="J2834" t="str">
        <f t="shared" ca="1" si="177"/>
        <v>50-59</v>
      </c>
      <c r="K2834">
        <v>77219.679999999993</v>
      </c>
      <c r="L2834" t="str">
        <f>IF(Workforce[[#This Row],[Salary]]&lt;50000,"30k-49k",IF(Workforce[[#This Row],[Salary]]&lt;70000,"50k-69k",IF(Workforce[[#This Row],[Salary]]&lt;90000,"70k-89k","90k+")))</f>
        <v>70k-89k</v>
      </c>
      <c r="M2834" t="s">
        <v>12463</v>
      </c>
      <c r="N2834">
        <f t="shared" ca="1" si="178"/>
        <v>8</v>
      </c>
      <c r="O2834" t="str">
        <f t="shared" ca="1" si="179"/>
        <v>Senior level</v>
      </c>
    </row>
    <row r="2835" spans="1:15" x14ac:dyDescent="0.3">
      <c r="A2835" t="s">
        <v>19232</v>
      </c>
      <c r="B2835" t="s">
        <v>19233</v>
      </c>
      <c r="C2835" t="s">
        <v>580</v>
      </c>
      <c r="D2835" t="s">
        <v>19234</v>
      </c>
      <c r="E2835" t="s">
        <v>19235</v>
      </c>
      <c r="F2835" t="s">
        <v>1351</v>
      </c>
      <c r="G2835" t="s">
        <v>19236</v>
      </c>
      <c r="H2835" t="s">
        <v>19237</v>
      </c>
      <c r="I2835">
        <f t="shared" ca="1" si="176"/>
        <v>54</v>
      </c>
      <c r="J2835" t="str">
        <f t="shared" ca="1" si="177"/>
        <v>50-59</v>
      </c>
      <c r="K2835">
        <v>34482.74</v>
      </c>
      <c r="L2835" t="str">
        <f>IF(Workforce[[#This Row],[Salary]]&lt;50000,"30k-49k",IF(Workforce[[#This Row],[Salary]]&lt;70000,"50k-69k",IF(Workforce[[#This Row],[Salary]]&lt;90000,"70k-89k","90k+")))</f>
        <v>30k-49k</v>
      </c>
      <c r="M2835" t="s">
        <v>19238</v>
      </c>
      <c r="N2835">
        <f t="shared" ca="1" si="178"/>
        <v>2</v>
      </c>
      <c r="O2835" t="str">
        <f t="shared" ca="1" si="179"/>
        <v>Beginner</v>
      </c>
    </row>
    <row r="2836" spans="1:15" x14ac:dyDescent="0.3">
      <c r="A2836" t="s">
        <v>19239</v>
      </c>
      <c r="B2836" t="s">
        <v>19240</v>
      </c>
      <c r="C2836" t="s">
        <v>580</v>
      </c>
      <c r="D2836" t="s">
        <v>19241</v>
      </c>
      <c r="E2836" t="s">
        <v>19242</v>
      </c>
      <c r="F2836" t="s">
        <v>8934</v>
      </c>
      <c r="G2836" t="s">
        <v>17586</v>
      </c>
      <c r="H2836" t="s">
        <v>19243</v>
      </c>
      <c r="I2836">
        <f t="shared" ca="1" si="176"/>
        <v>49</v>
      </c>
      <c r="J2836" t="str">
        <f t="shared" ca="1" si="177"/>
        <v>40-49</v>
      </c>
      <c r="K2836">
        <v>88239.039999999994</v>
      </c>
      <c r="L2836" t="str">
        <f>IF(Workforce[[#This Row],[Salary]]&lt;50000,"30k-49k",IF(Workforce[[#This Row],[Salary]]&lt;70000,"50k-69k",IF(Workforce[[#This Row],[Salary]]&lt;90000,"70k-89k","90k+")))</f>
        <v>70k-89k</v>
      </c>
      <c r="M2836" t="s">
        <v>19244</v>
      </c>
      <c r="N2836">
        <f t="shared" ca="1" si="178"/>
        <v>7</v>
      </c>
      <c r="O2836" t="str">
        <f t="shared" ca="1" si="179"/>
        <v>Senior level</v>
      </c>
    </row>
    <row r="2837" spans="1:15" x14ac:dyDescent="0.3">
      <c r="A2837" t="s">
        <v>19245</v>
      </c>
      <c r="B2837" t="s">
        <v>19246</v>
      </c>
      <c r="C2837" t="s">
        <v>400</v>
      </c>
      <c r="D2837" t="s">
        <v>19247</v>
      </c>
      <c r="E2837" t="s">
        <v>19248</v>
      </c>
      <c r="F2837" t="s">
        <v>3126</v>
      </c>
      <c r="G2837" t="s">
        <v>19249</v>
      </c>
      <c r="H2837" t="s">
        <v>19250</v>
      </c>
      <c r="I2837">
        <f t="shared" ca="1" si="176"/>
        <v>26</v>
      </c>
      <c r="J2837" t="str">
        <f t="shared" ca="1" si="177"/>
        <v>18-29</v>
      </c>
      <c r="K2837">
        <v>111175.33</v>
      </c>
      <c r="L2837" t="str">
        <f>IF(Workforce[[#This Row],[Salary]]&lt;50000,"30k-49k",IF(Workforce[[#This Row],[Salary]]&lt;70000,"50k-69k",IF(Workforce[[#This Row],[Salary]]&lt;90000,"70k-89k","90k+")))</f>
        <v>90k+</v>
      </c>
      <c r="M2837" t="s">
        <v>13046</v>
      </c>
      <c r="N2837">
        <f t="shared" ca="1" si="178"/>
        <v>6</v>
      </c>
      <c r="O2837" t="str">
        <f t="shared" ca="1" si="179"/>
        <v>Intermediate level</v>
      </c>
    </row>
    <row r="2838" spans="1:15" x14ac:dyDescent="0.3">
      <c r="A2838" t="s">
        <v>19251</v>
      </c>
      <c r="B2838" t="s">
        <v>19252</v>
      </c>
      <c r="C2838" t="s">
        <v>240</v>
      </c>
      <c r="D2838" t="s">
        <v>19253</v>
      </c>
      <c r="E2838" t="s">
        <v>19254</v>
      </c>
      <c r="F2838" t="s">
        <v>3308</v>
      </c>
      <c r="G2838" t="s">
        <v>19255</v>
      </c>
      <c r="H2838" t="s">
        <v>19256</v>
      </c>
      <c r="I2838">
        <f t="shared" ca="1" si="176"/>
        <v>48</v>
      </c>
      <c r="J2838" t="str">
        <f t="shared" ca="1" si="177"/>
        <v>40-49</v>
      </c>
      <c r="K2838">
        <v>71642.39</v>
      </c>
      <c r="L2838" t="str">
        <f>IF(Workforce[[#This Row],[Salary]]&lt;50000,"30k-49k",IF(Workforce[[#This Row],[Salary]]&lt;70000,"50k-69k",IF(Workforce[[#This Row],[Salary]]&lt;90000,"70k-89k","90k+")))</f>
        <v>70k-89k</v>
      </c>
      <c r="M2838" t="s">
        <v>19257</v>
      </c>
      <c r="N2838">
        <f t="shared" ca="1" si="178"/>
        <v>4</v>
      </c>
      <c r="O2838" t="str">
        <f t="shared" ca="1" si="179"/>
        <v>Intermediate level</v>
      </c>
    </row>
    <row r="2839" spans="1:15" x14ac:dyDescent="0.3">
      <c r="A2839" t="s">
        <v>19258</v>
      </c>
      <c r="B2839" t="s">
        <v>19259</v>
      </c>
      <c r="C2839" t="s">
        <v>142</v>
      </c>
      <c r="D2839" t="s">
        <v>19260</v>
      </c>
      <c r="E2839" t="s">
        <v>19261</v>
      </c>
      <c r="F2839" t="s">
        <v>5111</v>
      </c>
      <c r="G2839" t="s">
        <v>19262</v>
      </c>
      <c r="H2839" t="s">
        <v>19263</v>
      </c>
      <c r="I2839">
        <f t="shared" ca="1" si="176"/>
        <v>56</v>
      </c>
      <c r="J2839" t="str">
        <f t="shared" ca="1" si="177"/>
        <v>50-59</v>
      </c>
      <c r="K2839">
        <v>97434.15</v>
      </c>
      <c r="L2839" t="str">
        <f>IF(Workforce[[#This Row],[Salary]]&lt;50000,"30k-49k",IF(Workforce[[#This Row],[Salary]]&lt;70000,"50k-69k",IF(Workforce[[#This Row],[Salary]]&lt;90000,"70k-89k","90k+")))</f>
        <v>90k+</v>
      </c>
      <c r="M2839" t="s">
        <v>19264</v>
      </c>
      <c r="N2839">
        <f t="shared" ca="1" si="178"/>
        <v>10</v>
      </c>
      <c r="O2839" t="str">
        <f t="shared" ca="1" si="179"/>
        <v>Senior level</v>
      </c>
    </row>
    <row r="2840" spans="1:15" x14ac:dyDescent="0.3">
      <c r="A2840" t="s">
        <v>19265</v>
      </c>
      <c r="B2840" t="s">
        <v>19266</v>
      </c>
      <c r="C2840" t="s">
        <v>266</v>
      </c>
      <c r="D2840" t="s">
        <v>19267</v>
      </c>
      <c r="E2840" t="s">
        <v>19268</v>
      </c>
      <c r="F2840" t="s">
        <v>5243</v>
      </c>
      <c r="G2840" t="s">
        <v>19269</v>
      </c>
      <c r="H2840" t="s">
        <v>19270</v>
      </c>
      <c r="I2840">
        <f t="shared" ca="1" si="176"/>
        <v>45</v>
      </c>
      <c r="J2840" t="str">
        <f t="shared" ca="1" si="177"/>
        <v>40-49</v>
      </c>
      <c r="K2840">
        <v>73625.7</v>
      </c>
      <c r="L2840" t="str">
        <f>IF(Workforce[[#This Row],[Salary]]&lt;50000,"30k-49k",IF(Workforce[[#This Row],[Salary]]&lt;70000,"50k-69k",IF(Workforce[[#This Row],[Salary]]&lt;90000,"70k-89k","90k+")))</f>
        <v>70k-89k</v>
      </c>
      <c r="M2840" t="s">
        <v>19271</v>
      </c>
      <c r="N2840">
        <f t="shared" ca="1" si="178"/>
        <v>1</v>
      </c>
      <c r="O2840" t="str">
        <f t="shared" ca="1" si="179"/>
        <v>Beginner</v>
      </c>
    </row>
    <row r="2841" spans="1:15" x14ac:dyDescent="0.3">
      <c r="A2841" t="s">
        <v>19272</v>
      </c>
      <c r="B2841" t="s">
        <v>19273</v>
      </c>
      <c r="C2841" t="s">
        <v>604</v>
      </c>
      <c r="D2841" t="s">
        <v>19274</v>
      </c>
      <c r="E2841" t="s">
        <v>19275</v>
      </c>
      <c r="F2841" t="s">
        <v>1981</v>
      </c>
      <c r="G2841" t="s">
        <v>19276</v>
      </c>
      <c r="H2841" t="s">
        <v>19277</v>
      </c>
      <c r="I2841">
        <f t="shared" ca="1" si="176"/>
        <v>40</v>
      </c>
      <c r="J2841" t="str">
        <f t="shared" ca="1" si="177"/>
        <v>40-49</v>
      </c>
      <c r="K2841">
        <v>83741.19</v>
      </c>
      <c r="L2841" t="str">
        <f>IF(Workforce[[#This Row],[Salary]]&lt;50000,"30k-49k",IF(Workforce[[#This Row],[Salary]]&lt;70000,"50k-69k",IF(Workforce[[#This Row],[Salary]]&lt;90000,"70k-89k","90k+")))</f>
        <v>70k-89k</v>
      </c>
      <c r="M2841" t="s">
        <v>19278</v>
      </c>
      <c r="N2841">
        <f t="shared" ca="1" si="178"/>
        <v>1</v>
      </c>
      <c r="O2841" t="str">
        <f t="shared" ca="1" si="179"/>
        <v>Beginner</v>
      </c>
    </row>
    <row r="2842" spans="1:15" x14ac:dyDescent="0.3">
      <c r="A2842" t="s">
        <v>19279</v>
      </c>
      <c r="B2842" t="s">
        <v>19280</v>
      </c>
      <c r="C2842" t="s">
        <v>106</v>
      </c>
      <c r="D2842" t="s">
        <v>19281</v>
      </c>
      <c r="E2842" t="s">
        <v>19282</v>
      </c>
      <c r="F2842" t="s">
        <v>234</v>
      </c>
      <c r="G2842" t="s">
        <v>19283</v>
      </c>
      <c r="H2842" t="s">
        <v>19284</v>
      </c>
      <c r="I2842">
        <f t="shared" ca="1" si="176"/>
        <v>28</v>
      </c>
      <c r="J2842" t="str">
        <f t="shared" ca="1" si="177"/>
        <v>18-29</v>
      </c>
      <c r="K2842">
        <v>90989.43</v>
      </c>
      <c r="L2842" t="str">
        <f>IF(Workforce[[#This Row],[Salary]]&lt;50000,"30k-49k",IF(Workforce[[#This Row],[Salary]]&lt;70000,"50k-69k",IF(Workforce[[#This Row],[Salary]]&lt;90000,"70k-89k","90k+")))</f>
        <v>90k+</v>
      </c>
      <c r="M2842" t="s">
        <v>3860</v>
      </c>
      <c r="N2842">
        <f t="shared" ca="1" si="178"/>
        <v>2</v>
      </c>
      <c r="O2842" t="str">
        <f t="shared" ca="1" si="179"/>
        <v>Beginner</v>
      </c>
    </row>
    <row r="2843" spans="1:15" x14ac:dyDescent="0.3">
      <c r="A2843" t="s">
        <v>19285</v>
      </c>
      <c r="B2843" t="s">
        <v>19286</v>
      </c>
      <c r="C2843" t="s">
        <v>35</v>
      </c>
      <c r="D2843" t="s">
        <v>19287</v>
      </c>
      <c r="E2843" t="s">
        <v>19288</v>
      </c>
      <c r="F2843" t="s">
        <v>4772</v>
      </c>
      <c r="G2843" t="s">
        <v>19289</v>
      </c>
      <c r="H2843" t="s">
        <v>19290</v>
      </c>
      <c r="I2843">
        <f t="shared" ca="1" si="176"/>
        <v>56</v>
      </c>
      <c r="J2843" t="str">
        <f t="shared" ca="1" si="177"/>
        <v>50-59</v>
      </c>
      <c r="K2843">
        <v>79135.37</v>
      </c>
      <c r="L2843" t="str">
        <f>IF(Workforce[[#This Row],[Salary]]&lt;50000,"30k-49k",IF(Workforce[[#This Row],[Salary]]&lt;70000,"50k-69k",IF(Workforce[[#This Row],[Salary]]&lt;90000,"70k-89k","90k+")))</f>
        <v>70k-89k</v>
      </c>
      <c r="M2843" t="s">
        <v>14883</v>
      </c>
      <c r="N2843">
        <f t="shared" ca="1" si="178"/>
        <v>5</v>
      </c>
      <c r="O2843" t="str">
        <f t="shared" ca="1" si="179"/>
        <v>Intermediate level</v>
      </c>
    </row>
    <row r="2844" spans="1:15" x14ac:dyDescent="0.3">
      <c r="A2844" t="s">
        <v>19291</v>
      </c>
      <c r="B2844" t="s">
        <v>19292</v>
      </c>
      <c r="C2844" t="s">
        <v>257</v>
      </c>
      <c r="D2844" t="s">
        <v>19293</v>
      </c>
      <c r="E2844" t="s">
        <v>19294</v>
      </c>
      <c r="F2844" t="s">
        <v>1115</v>
      </c>
      <c r="G2844" t="s">
        <v>19295</v>
      </c>
      <c r="H2844" t="s">
        <v>19296</v>
      </c>
      <c r="I2844">
        <f t="shared" ca="1" si="176"/>
        <v>57</v>
      </c>
      <c r="J2844" t="str">
        <f t="shared" ca="1" si="177"/>
        <v>50-59</v>
      </c>
      <c r="K2844">
        <v>109271.43</v>
      </c>
      <c r="L2844" t="str">
        <f>IF(Workforce[[#This Row],[Salary]]&lt;50000,"30k-49k",IF(Workforce[[#This Row],[Salary]]&lt;70000,"50k-69k",IF(Workforce[[#This Row],[Salary]]&lt;90000,"70k-89k","90k+")))</f>
        <v>90k+</v>
      </c>
      <c r="M2844" t="s">
        <v>19297</v>
      </c>
      <c r="N2844">
        <f t="shared" ca="1" si="178"/>
        <v>7</v>
      </c>
      <c r="O2844" t="str">
        <f t="shared" ca="1" si="179"/>
        <v>Senior level</v>
      </c>
    </row>
    <row r="2845" spans="1:15" x14ac:dyDescent="0.3">
      <c r="A2845" t="s">
        <v>19298</v>
      </c>
      <c r="B2845" t="s">
        <v>19299</v>
      </c>
      <c r="C2845" t="s">
        <v>97</v>
      </c>
      <c r="D2845" t="s">
        <v>19300</v>
      </c>
      <c r="E2845" t="s">
        <v>19301</v>
      </c>
      <c r="F2845" t="s">
        <v>4060</v>
      </c>
      <c r="G2845" t="s">
        <v>19302</v>
      </c>
      <c r="H2845" t="s">
        <v>19303</v>
      </c>
      <c r="I2845">
        <f t="shared" ca="1" si="176"/>
        <v>55</v>
      </c>
      <c r="J2845" t="str">
        <f t="shared" ca="1" si="177"/>
        <v>50-59</v>
      </c>
      <c r="K2845">
        <v>65339.72</v>
      </c>
      <c r="L2845" t="str">
        <f>IF(Workforce[[#This Row],[Salary]]&lt;50000,"30k-49k",IF(Workforce[[#This Row],[Salary]]&lt;70000,"50k-69k",IF(Workforce[[#This Row],[Salary]]&lt;90000,"70k-89k","90k+")))</f>
        <v>50k-69k</v>
      </c>
      <c r="M2845" t="s">
        <v>19304</v>
      </c>
      <c r="N2845">
        <f t="shared" ca="1" si="178"/>
        <v>5</v>
      </c>
      <c r="O2845" t="str">
        <f t="shared" ca="1" si="179"/>
        <v>Intermediate level</v>
      </c>
    </row>
    <row r="2846" spans="1:15" x14ac:dyDescent="0.3">
      <c r="A2846" t="s">
        <v>19305</v>
      </c>
      <c r="B2846" t="s">
        <v>19306</v>
      </c>
      <c r="C2846" t="s">
        <v>88</v>
      </c>
      <c r="D2846" t="s">
        <v>19307</v>
      </c>
      <c r="E2846" t="s">
        <v>19308</v>
      </c>
      <c r="F2846" t="s">
        <v>4625</v>
      </c>
      <c r="G2846" t="s">
        <v>502</v>
      </c>
      <c r="H2846" t="s">
        <v>19309</v>
      </c>
      <c r="I2846">
        <f t="shared" ca="1" si="176"/>
        <v>46</v>
      </c>
      <c r="J2846" t="str">
        <f t="shared" ca="1" si="177"/>
        <v>40-49</v>
      </c>
      <c r="K2846">
        <v>34068.550000000003</v>
      </c>
      <c r="L2846" t="str">
        <f>IF(Workforce[[#This Row],[Salary]]&lt;50000,"30k-49k",IF(Workforce[[#This Row],[Salary]]&lt;70000,"50k-69k",IF(Workforce[[#This Row],[Salary]]&lt;90000,"70k-89k","90k+")))</f>
        <v>30k-49k</v>
      </c>
      <c r="M2846" t="s">
        <v>19310</v>
      </c>
      <c r="N2846">
        <f t="shared" ca="1" si="178"/>
        <v>3</v>
      </c>
      <c r="O2846" t="str">
        <f t="shared" ca="1" si="179"/>
        <v>Intermediate level</v>
      </c>
    </row>
    <row r="2847" spans="1:15" x14ac:dyDescent="0.3">
      <c r="A2847" t="s">
        <v>19311</v>
      </c>
      <c r="B2847" t="s">
        <v>19312</v>
      </c>
      <c r="C2847" t="s">
        <v>35</v>
      </c>
      <c r="D2847" t="s">
        <v>19313</v>
      </c>
      <c r="E2847" t="s">
        <v>19314</v>
      </c>
      <c r="F2847" t="s">
        <v>1115</v>
      </c>
      <c r="G2847" t="s">
        <v>19315</v>
      </c>
      <c r="H2847" t="s">
        <v>19316</v>
      </c>
      <c r="I2847">
        <f t="shared" ca="1" si="176"/>
        <v>21</v>
      </c>
      <c r="J2847" t="str">
        <f t="shared" ca="1" si="177"/>
        <v>18-29</v>
      </c>
      <c r="K2847">
        <v>38965.620000000003</v>
      </c>
      <c r="L2847" t="str">
        <f>IF(Workforce[[#This Row],[Salary]]&lt;50000,"30k-49k",IF(Workforce[[#This Row],[Salary]]&lt;70000,"50k-69k",IF(Workforce[[#This Row],[Salary]]&lt;90000,"70k-89k","90k+")))</f>
        <v>30k-49k</v>
      </c>
      <c r="M2847" t="s">
        <v>3136</v>
      </c>
      <c r="N2847">
        <f t="shared" ca="1" si="178"/>
        <v>9</v>
      </c>
      <c r="O2847" t="str">
        <f t="shared" ca="1" si="179"/>
        <v>Senior level</v>
      </c>
    </row>
    <row r="2848" spans="1:15" x14ac:dyDescent="0.3">
      <c r="A2848" t="s">
        <v>19317</v>
      </c>
      <c r="B2848" t="s">
        <v>19318</v>
      </c>
      <c r="C2848" t="s">
        <v>440</v>
      </c>
      <c r="D2848" t="s">
        <v>19319</v>
      </c>
      <c r="E2848" t="s">
        <v>19320</v>
      </c>
      <c r="F2848" t="s">
        <v>8571</v>
      </c>
      <c r="G2848" t="s">
        <v>19321</v>
      </c>
      <c r="H2848" t="s">
        <v>19322</v>
      </c>
      <c r="I2848">
        <f t="shared" ca="1" si="176"/>
        <v>31</v>
      </c>
      <c r="J2848" t="str">
        <f t="shared" ca="1" si="177"/>
        <v>30-39</v>
      </c>
      <c r="K2848">
        <v>105419.92</v>
      </c>
      <c r="L2848" t="str">
        <f>IF(Workforce[[#This Row],[Salary]]&lt;50000,"30k-49k",IF(Workforce[[#This Row],[Salary]]&lt;70000,"50k-69k",IF(Workforce[[#This Row],[Salary]]&lt;90000,"70k-89k","90k+")))</f>
        <v>90k+</v>
      </c>
      <c r="M2848" t="s">
        <v>2285</v>
      </c>
      <c r="N2848">
        <f t="shared" ca="1" si="178"/>
        <v>6</v>
      </c>
      <c r="O2848" t="str">
        <f t="shared" ca="1" si="179"/>
        <v>Intermediate level</v>
      </c>
    </row>
    <row r="2849" spans="1:15" x14ac:dyDescent="0.3">
      <c r="A2849" t="s">
        <v>19323</v>
      </c>
      <c r="B2849" t="s">
        <v>19324</v>
      </c>
      <c r="C2849" t="s">
        <v>1159</v>
      </c>
      <c r="D2849" t="s">
        <v>19325</v>
      </c>
      <c r="E2849" t="s">
        <v>19326</v>
      </c>
      <c r="F2849" t="s">
        <v>7811</v>
      </c>
      <c r="G2849" t="s">
        <v>19327</v>
      </c>
      <c r="H2849" t="s">
        <v>19328</v>
      </c>
      <c r="I2849">
        <f t="shared" ca="1" si="176"/>
        <v>35</v>
      </c>
      <c r="J2849" t="str">
        <f t="shared" ca="1" si="177"/>
        <v>30-39</v>
      </c>
      <c r="K2849">
        <v>95330.1</v>
      </c>
      <c r="L2849" t="str">
        <f>IF(Workforce[[#This Row],[Salary]]&lt;50000,"30k-49k",IF(Workforce[[#This Row],[Salary]]&lt;70000,"50k-69k",IF(Workforce[[#This Row],[Salary]]&lt;90000,"70k-89k","90k+")))</f>
        <v>90k+</v>
      </c>
      <c r="M2849" t="s">
        <v>682</v>
      </c>
      <c r="N2849">
        <f t="shared" ca="1" si="178"/>
        <v>2</v>
      </c>
      <c r="O2849" t="str">
        <f t="shared" ca="1" si="179"/>
        <v>Beginner</v>
      </c>
    </row>
    <row r="2850" spans="1:15" x14ac:dyDescent="0.3">
      <c r="A2850" t="s">
        <v>19329</v>
      </c>
      <c r="B2850" t="s">
        <v>19330</v>
      </c>
      <c r="C2850" t="s">
        <v>2086</v>
      </c>
      <c r="D2850" t="s">
        <v>19331</v>
      </c>
      <c r="E2850" t="s">
        <v>19332</v>
      </c>
      <c r="F2850" t="s">
        <v>1265</v>
      </c>
      <c r="G2850" t="s">
        <v>19333</v>
      </c>
      <c r="H2850" t="s">
        <v>19334</v>
      </c>
      <c r="I2850">
        <f t="shared" ca="1" si="176"/>
        <v>56</v>
      </c>
      <c r="J2850" t="str">
        <f t="shared" ca="1" si="177"/>
        <v>50-59</v>
      </c>
      <c r="K2850">
        <v>94424.95</v>
      </c>
      <c r="L2850" t="str">
        <f>IF(Workforce[[#This Row],[Salary]]&lt;50000,"30k-49k",IF(Workforce[[#This Row],[Salary]]&lt;70000,"50k-69k",IF(Workforce[[#This Row],[Salary]]&lt;90000,"70k-89k","90k+")))</f>
        <v>90k+</v>
      </c>
      <c r="M2850" t="s">
        <v>19335</v>
      </c>
      <c r="N2850">
        <f t="shared" ca="1" si="178"/>
        <v>5</v>
      </c>
      <c r="O2850" t="str">
        <f t="shared" ca="1" si="179"/>
        <v>Intermediate level</v>
      </c>
    </row>
    <row r="2851" spans="1:15" x14ac:dyDescent="0.3">
      <c r="A2851" t="s">
        <v>19336</v>
      </c>
      <c r="B2851" t="s">
        <v>19337</v>
      </c>
      <c r="C2851" t="s">
        <v>457</v>
      </c>
      <c r="D2851" t="s">
        <v>19338</v>
      </c>
      <c r="E2851" t="s">
        <v>19339</v>
      </c>
      <c r="F2851" t="s">
        <v>9085</v>
      </c>
      <c r="G2851" t="s">
        <v>10407</v>
      </c>
      <c r="H2851" t="s">
        <v>8496</v>
      </c>
      <c r="I2851">
        <f t="shared" ca="1" si="176"/>
        <v>22</v>
      </c>
      <c r="J2851" t="str">
        <f t="shared" ca="1" si="177"/>
        <v>18-29</v>
      </c>
      <c r="K2851">
        <v>92960.77</v>
      </c>
      <c r="L2851" t="str">
        <f>IF(Workforce[[#This Row],[Salary]]&lt;50000,"30k-49k",IF(Workforce[[#This Row],[Salary]]&lt;70000,"50k-69k",IF(Workforce[[#This Row],[Salary]]&lt;90000,"70k-89k","90k+")))</f>
        <v>90k+</v>
      </c>
      <c r="M2851" t="s">
        <v>19340</v>
      </c>
      <c r="N2851">
        <f t="shared" ca="1" si="178"/>
        <v>9</v>
      </c>
      <c r="O2851" t="str">
        <f t="shared" ca="1" si="179"/>
        <v>Senior level</v>
      </c>
    </row>
    <row r="2852" spans="1:15" x14ac:dyDescent="0.3">
      <c r="A2852" t="s">
        <v>19341</v>
      </c>
      <c r="B2852" t="s">
        <v>19342</v>
      </c>
      <c r="C2852" t="s">
        <v>79</v>
      </c>
      <c r="D2852" t="s">
        <v>19343</v>
      </c>
      <c r="E2852" t="s">
        <v>19344</v>
      </c>
      <c r="F2852" t="s">
        <v>2080</v>
      </c>
      <c r="G2852" t="s">
        <v>502</v>
      </c>
      <c r="H2852" t="s">
        <v>19345</v>
      </c>
      <c r="I2852">
        <f t="shared" ca="1" si="176"/>
        <v>31</v>
      </c>
      <c r="J2852" t="str">
        <f t="shared" ca="1" si="177"/>
        <v>30-39</v>
      </c>
      <c r="K2852">
        <v>45307.21</v>
      </c>
      <c r="L2852" t="str">
        <f>IF(Workforce[[#This Row],[Salary]]&lt;50000,"30k-49k",IF(Workforce[[#This Row],[Salary]]&lt;70000,"50k-69k",IF(Workforce[[#This Row],[Salary]]&lt;90000,"70k-89k","90k+")))</f>
        <v>30k-49k</v>
      </c>
      <c r="M2852" t="s">
        <v>19346</v>
      </c>
      <c r="N2852">
        <f t="shared" ca="1" si="178"/>
        <v>6</v>
      </c>
      <c r="O2852" t="str">
        <f t="shared" ca="1" si="179"/>
        <v>Intermediate level</v>
      </c>
    </row>
    <row r="2853" spans="1:15" x14ac:dyDescent="0.3">
      <c r="A2853" t="s">
        <v>19347</v>
      </c>
      <c r="B2853" t="s">
        <v>19348</v>
      </c>
      <c r="C2853" t="s">
        <v>240</v>
      </c>
      <c r="D2853" t="s">
        <v>19349</v>
      </c>
      <c r="E2853" t="s">
        <v>19350</v>
      </c>
      <c r="F2853" t="s">
        <v>6570</v>
      </c>
      <c r="G2853" t="s">
        <v>19351</v>
      </c>
      <c r="H2853" t="s">
        <v>19352</v>
      </c>
      <c r="I2853">
        <f t="shared" ca="1" si="176"/>
        <v>38</v>
      </c>
      <c r="J2853" t="str">
        <f t="shared" ca="1" si="177"/>
        <v>30-39</v>
      </c>
      <c r="K2853">
        <v>59846.27</v>
      </c>
      <c r="L2853" t="str">
        <f>IF(Workforce[[#This Row],[Salary]]&lt;50000,"30k-49k",IF(Workforce[[#This Row],[Salary]]&lt;70000,"50k-69k",IF(Workforce[[#This Row],[Salary]]&lt;90000,"70k-89k","90k+")))</f>
        <v>50k-69k</v>
      </c>
      <c r="M2853" t="s">
        <v>16692</v>
      </c>
      <c r="N2853">
        <f t="shared" ca="1" si="178"/>
        <v>2</v>
      </c>
      <c r="O2853" t="str">
        <f t="shared" ca="1" si="179"/>
        <v>Beginner</v>
      </c>
    </row>
    <row r="2854" spans="1:15" x14ac:dyDescent="0.3">
      <c r="A2854" t="s">
        <v>19353</v>
      </c>
      <c r="B2854" t="s">
        <v>19354</v>
      </c>
      <c r="C2854" t="s">
        <v>133</v>
      </c>
      <c r="D2854" t="s">
        <v>19355</v>
      </c>
      <c r="E2854" t="s">
        <v>19356</v>
      </c>
      <c r="F2854" t="s">
        <v>2526</v>
      </c>
      <c r="G2854" t="s">
        <v>19357</v>
      </c>
      <c r="H2854" t="s">
        <v>19358</v>
      </c>
      <c r="I2854">
        <f t="shared" ca="1" si="176"/>
        <v>51</v>
      </c>
      <c r="J2854" t="str">
        <f t="shared" ca="1" si="177"/>
        <v>50-59</v>
      </c>
      <c r="K2854">
        <v>76060.95</v>
      </c>
      <c r="L2854" t="str">
        <f>IF(Workforce[[#This Row],[Salary]]&lt;50000,"30k-49k",IF(Workforce[[#This Row],[Salary]]&lt;70000,"50k-69k",IF(Workforce[[#This Row],[Salary]]&lt;90000,"70k-89k","90k+")))</f>
        <v>70k-89k</v>
      </c>
      <c r="M2854" t="s">
        <v>19359</v>
      </c>
      <c r="N2854">
        <f t="shared" ca="1" si="178"/>
        <v>3</v>
      </c>
      <c r="O2854" t="str">
        <f t="shared" ca="1" si="179"/>
        <v>Intermediate level</v>
      </c>
    </row>
    <row r="2855" spans="1:15" x14ac:dyDescent="0.3">
      <c r="A2855" t="s">
        <v>19360</v>
      </c>
      <c r="B2855" t="s">
        <v>19361</v>
      </c>
      <c r="C2855" t="s">
        <v>2086</v>
      </c>
      <c r="D2855" t="s">
        <v>19362</v>
      </c>
      <c r="E2855" t="s">
        <v>19363</v>
      </c>
      <c r="F2855" t="s">
        <v>6740</v>
      </c>
      <c r="G2855" t="s">
        <v>19364</v>
      </c>
      <c r="H2855" t="s">
        <v>19365</v>
      </c>
      <c r="I2855">
        <f t="shared" ca="1" si="176"/>
        <v>30</v>
      </c>
      <c r="J2855" t="str">
        <f t="shared" ca="1" si="177"/>
        <v>30-39</v>
      </c>
      <c r="K2855">
        <v>38103.050000000003</v>
      </c>
      <c r="L2855" t="str">
        <f>IF(Workforce[[#This Row],[Salary]]&lt;50000,"30k-49k",IF(Workforce[[#This Row],[Salary]]&lt;70000,"50k-69k",IF(Workforce[[#This Row],[Salary]]&lt;90000,"70k-89k","90k+")))</f>
        <v>30k-49k</v>
      </c>
      <c r="M2855" t="s">
        <v>1369</v>
      </c>
      <c r="N2855">
        <f t="shared" ca="1" si="178"/>
        <v>5</v>
      </c>
      <c r="O2855" t="str">
        <f t="shared" ca="1" si="179"/>
        <v>Intermediate level</v>
      </c>
    </row>
    <row r="2856" spans="1:15" x14ac:dyDescent="0.3">
      <c r="A2856" t="s">
        <v>19366</v>
      </c>
      <c r="B2856" t="s">
        <v>19367</v>
      </c>
      <c r="C2856" t="s">
        <v>748</v>
      </c>
      <c r="D2856" t="s">
        <v>19368</v>
      </c>
      <c r="E2856" t="s">
        <v>19369</v>
      </c>
      <c r="F2856" t="s">
        <v>3056</v>
      </c>
      <c r="G2856" t="s">
        <v>19370</v>
      </c>
      <c r="H2856" t="s">
        <v>19371</v>
      </c>
      <c r="I2856">
        <f t="shared" ca="1" si="176"/>
        <v>56</v>
      </c>
      <c r="J2856" t="str">
        <f t="shared" ca="1" si="177"/>
        <v>50-59</v>
      </c>
      <c r="K2856">
        <v>46226.83</v>
      </c>
      <c r="L2856" t="str">
        <f>IF(Workforce[[#This Row],[Salary]]&lt;50000,"30k-49k",IF(Workforce[[#This Row],[Salary]]&lt;70000,"50k-69k",IF(Workforce[[#This Row],[Salary]]&lt;90000,"70k-89k","90k+")))</f>
        <v>30k-49k</v>
      </c>
      <c r="M2856" t="s">
        <v>6671</v>
      </c>
      <c r="N2856">
        <f t="shared" ca="1" si="178"/>
        <v>1</v>
      </c>
      <c r="O2856" t="str">
        <f t="shared" ca="1" si="179"/>
        <v>Beginner</v>
      </c>
    </row>
    <row r="2857" spans="1:15" x14ac:dyDescent="0.3">
      <c r="A2857" t="s">
        <v>19372</v>
      </c>
      <c r="B2857" t="s">
        <v>19373</v>
      </c>
      <c r="C2857" t="s">
        <v>222</v>
      </c>
      <c r="D2857" t="s">
        <v>19374</v>
      </c>
      <c r="E2857" t="s">
        <v>19375</v>
      </c>
      <c r="F2857" t="s">
        <v>2505</v>
      </c>
      <c r="G2857" t="s">
        <v>19376</v>
      </c>
      <c r="H2857" t="s">
        <v>19377</v>
      </c>
      <c r="I2857">
        <f t="shared" ca="1" si="176"/>
        <v>48</v>
      </c>
      <c r="J2857" t="str">
        <f t="shared" ca="1" si="177"/>
        <v>40-49</v>
      </c>
      <c r="K2857">
        <v>96660.32</v>
      </c>
      <c r="L2857" t="str">
        <f>IF(Workforce[[#This Row],[Salary]]&lt;50000,"30k-49k",IF(Workforce[[#This Row],[Salary]]&lt;70000,"50k-69k",IF(Workforce[[#This Row],[Salary]]&lt;90000,"70k-89k","90k+")))</f>
        <v>90k+</v>
      </c>
      <c r="M2857" t="s">
        <v>19378</v>
      </c>
      <c r="N2857">
        <f t="shared" ca="1" si="178"/>
        <v>2</v>
      </c>
      <c r="O2857" t="str">
        <f t="shared" ca="1" si="179"/>
        <v>Beginner</v>
      </c>
    </row>
    <row r="2858" spans="1:15" x14ac:dyDescent="0.3">
      <c r="A2858" t="s">
        <v>19379</v>
      </c>
      <c r="B2858" t="s">
        <v>19380</v>
      </c>
      <c r="C2858" t="s">
        <v>257</v>
      </c>
      <c r="D2858" t="s">
        <v>19381</v>
      </c>
      <c r="E2858" t="s">
        <v>19382</v>
      </c>
      <c r="F2858" t="s">
        <v>768</v>
      </c>
      <c r="G2858" t="s">
        <v>19383</v>
      </c>
      <c r="H2858" t="s">
        <v>14202</v>
      </c>
      <c r="I2858">
        <f t="shared" ca="1" si="176"/>
        <v>51</v>
      </c>
      <c r="J2858" t="str">
        <f t="shared" ca="1" si="177"/>
        <v>50-59</v>
      </c>
      <c r="K2858">
        <v>104875.75</v>
      </c>
      <c r="L2858" t="str">
        <f>IF(Workforce[[#This Row],[Salary]]&lt;50000,"30k-49k",IF(Workforce[[#This Row],[Salary]]&lt;70000,"50k-69k",IF(Workforce[[#This Row],[Salary]]&lt;90000,"70k-89k","90k+")))</f>
        <v>90k+</v>
      </c>
      <c r="M2858" t="s">
        <v>14966</v>
      </c>
      <c r="N2858">
        <f t="shared" ca="1" si="178"/>
        <v>7</v>
      </c>
      <c r="O2858" t="str">
        <f t="shared" ca="1" si="179"/>
        <v>Senior level</v>
      </c>
    </row>
    <row r="2859" spans="1:15" x14ac:dyDescent="0.3">
      <c r="A2859" t="s">
        <v>19384</v>
      </c>
      <c r="B2859" t="s">
        <v>19385</v>
      </c>
      <c r="C2859" t="s">
        <v>35</v>
      </c>
      <c r="D2859" t="s">
        <v>19386</v>
      </c>
      <c r="E2859" t="s">
        <v>19387</v>
      </c>
      <c r="F2859" t="s">
        <v>5222</v>
      </c>
      <c r="G2859" t="s">
        <v>19388</v>
      </c>
      <c r="H2859" t="s">
        <v>13289</v>
      </c>
      <c r="I2859">
        <f t="shared" ca="1" si="176"/>
        <v>45</v>
      </c>
      <c r="J2859" t="str">
        <f t="shared" ca="1" si="177"/>
        <v>40-49</v>
      </c>
      <c r="K2859">
        <v>59807.31</v>
      </c>
      <c r="L2859" t="str">
        <f>IF(Workforce[[#This Row],[Salary]]&lt;50000,"30k-49k",IF(Workforce[[#This Row],[Salary]]&lt;70000,"50k-69k",IF(Workforce[[#This Row],[Salary]]&lt;90000,"70k-89k","90k+")))</f>
        <v>50k-69k</v>
      </c>
      <c r="M2859" t="s">
        <v>19389</v>
      </c>
      <c r="N2859">
        <f t="shared" ca="1" si="178"/>
        <v>2</v>
      </c>
      <c r="O2859" t="str">
        <f t="shared" ca="1" si="179"/>
        <v>Beginner</v>
      </c>
    </row>
    <row r="2860" spans="1:15" x14ac:dyDescent="0.3">
      <c r="A2860" t="s">
        <v>19390</v>
      </c>
      <c r="B2860" t="s">
        <v>19391</v>
      </c>
      <c r="C2860" t="s">
        <v>748</v>
      </c>
      <c r="D2860" t="s">
        <v>19392</v>
      </c>
      <c r="E2860" t="s">
        <v>19393</v>
      </c>
      <c r="F2860" t="s">
        <v>1996</v>
      </c>
      <c r="G2860" t="s">
        <v>19170</v>
      </c>
      <c r="H2860" t="s">
        <v>19394</v>
      </c>
      <c r="I2860">
        <f t="shared" ca="1" si="176"/>
        <v>47</v>
      </c>
      <c r="J2860" t="str">
        <f t="shared" ca="1" si="177"/>
        <v>40-49</v>
      </c>
      <c r="K2860">
        <v>79273.17</v>
      </c>
      <c r="L2860" t="str">
        <f>IF(Workforce[[#This Row],[Salary]]&lt;50000,"30k-49k",IF(Workforce[[#This Row],[Salary]]&lt;70000,"50k-69k",IF(Workforce[[#This Row],[Salary]]&lt;90000,"70k-89k","90k+")))</f>
        <v>70k-89k</v>
      </c>
      <c r="M2860" t="s">
        <v>19395</v>
      </c>
      <c r="N2860">
        <f t="shared" ca="1" si="178"/>
        <v>10</v>
      </c>
      <c r="O2860" t="str">
        <f t="shared" ca="1" si="179"/>
        <v>Senior level</v>
      </c>
    </row>
    <row r="2861" spans="1:15" x14ac:dyDescent="0.3">
      <c r="A2861" t="s">
        <v>19396</v>
      </c>
      <c r="B2861" t="s">
        <v>19397</v>
      </c>
      <c r="C2861" t="s">
        <v>240</v>
      </c>
      <c r="D2861" t="s">
        <v>19398</v>
      </c>
      <c r="E2861" t="s">
        <v>19399</v>
      </c>
      <c r="F2861" t="s">
        <v>14608</v>
      </c>
      <c r="G2861" t="s">
        <v>19400</v>
      </c>
      <c r="H2861" t="s">
        <v>1155</v>
      </c>
      <c r="I2861">
        <f t="shared" ca="1" si="176"/>
        <v>61</v>
      </c>
      <c r="J2861" t="str">
        <f t="shared" ca="1" si="177"/>
        <v>60+</v>
      </c>
      <c r="K2861">
        <v>102266.6</v>
      </c>
      <c r="L2861" t="str">
        <f>IF(Workforce[[#This Row],[Salary]]&lt;50000,"30k-49k",IF(Workforce[[#This Row],[Salary]]&lt;70000,"50k-69k",IF(Workforce[[#This Row],[Salary]]&lt;90000,"70k-89k","90k+")))</f>
        <v>90k+</v>
      </c>
      <c r="M2861" t="s">
        <v>19401</v>
      </c>
      <c r="N2861">
        <f t="shared" ca="1" si="178"/>
        <v>9</v>
      </c>
      <c r="O2861" t="str">
        <f t="shared" ca="1" si="179"/>
        <v>Senior level</v>
      </c>
    </row>
    <row r="2862" spans="1:15" x14ac:dyDescent="0.3">
      <c r="A2862" t="s">
        <v>19402</v>
      </c>
      <c r="B2862" t="s">
        <v>19403</v>
      </c>
      <c r="C2862" t="s">
        <v>580</v>
      </c>
      <c r="D2862" t="s">
        <v>19404</v>
      </c>
      <c r="E2862" t="s">
        <v>19405</v>
      </c>
      <c r="F2862" t="s">
        <v>14233</v>
      </c>
      <c r="G2862" t="s">
        <v>19406</v>
      </c>
      <c r="H2862" t="s">
        <v>19407</v>
      </c>
      <c r="I2862">
        <f t="shared" ca="1" si="176"/>
        <v>43</v>
      </c>
      <c r="J2862" t="str">
        <f t="shared" ca="1" si="177"/>
        <v>40-49</v>
      </c>
      <c r="K2862">
        <v>60326.6</v>
      </c>
      <c r="L2862" t="str">
        <f>IF(Workforce[[#This Row],[Salary]]&lt;50000,"30k-49k",IF(Workforce[[#This Row],[Salary]]&lt;70000,"50k-69k",IF(Workforce[[#This Row],[Salary]]&lt;90000,"70k-89k","90k+")))</f>
        <v>50k-69k</v>
      </c>
      <c r="M2862" t="s">
        <v>19408</v>
      </c>
      <c r="N2862">
        <f t="shared" ca="1" si="178"/>
        <v>3</v>
      </c>
      <c r="O2862" t="str">
        <f t="shared" ca="1" si="179"/>
        <v>Intermediate level</v>
      </c>
    </row>
    <row r="2863" spans="1:15" x14ac:dyDescent="0.3">
      <c r="A2863" t="s">
        <v>19409</v>
      </c>
      <c r="B2863" t="s">
        <v>19410</v>
      </c>
      <c r="C2863" t="s">
        <v>2086</v>
      </c>
      <c r="D2863" t="s">
        <v>19411</v>
      </c>
      <c r="E2863" t="s">
        <v>19412</v>
      </c>
      <c r="F2863" t="s">
        <v>792</v>
      </c>
      <c r="G2863" t="s">
        <v>19413</v>
      </c>
      <c r="H2863" t="s">
        <v>19414</v>
      </c>
      <c r="I2863">
        <f t="shared" ca="1" si="176"/>
        <v>63</v>
      </c>
      <c r="J2863" t="str">
        <f t="shared" ca="1" si="177"/>
        <v>60+</v>
      </c>
      <c r="K2863">
        <v>96907.81</v>
      </c>
      <c r="L2863" t="str">
        <f>IF(Workforce[[#This Row],[Salary]]&lt;50000,"30k-49k",IF(Workforce[[#This Row],[Salary]]&lt;70000,"50k-69k",IF(Workforce[[#This Row],[Salary]]&lt;90000,"70k-89k","90k+")))</f>
        <v>90k+</v>
      </c>
      <c r="M2863" t="s">
        <v>19415</v>
      </c>
      <c r="N2863">
        <f t="shared" ca="1" si="178"/>
        <v>10</v>
      </c>
      <c r="O2863" t="str">
        <f t="shared" ca="1" si="179"/>
        <v>Senior level</v>
      </c>
    </row>
    <row r="2864" spans="1:15" x14ac:dyDescent="0.3">
      <c r="A2864" t="s">
        <v>15518</v>
      </c>
      <c r="B2864" t="s">
        <v>19416</v>
      </c>
      <c r="C2864" t="s">
        <v>1043</v>
      </c>
      <c r="D2864" t="s">
        <v>19417</v>
      </c>
      <c r="E2864" t="s">
        <v>19418</v>
      </c>
      <c r="F2864" t="s">
        <v>981</v>
      </c>
      <c r="G2864" t="s">
        <v>19419</v>
      </c>
      <c r="H2864" t="s">
        <v>19420</v>
      </c>
      <c r="I2864">
        <f t="shared" ca="1" si="176"/>
        <v>23</v>
      </c>
      <c r="J2864" t="str">
        <f t="shared" ca="1" si="177"/>
        <v>18-29</v>
      </c>
      <c r="K2864">
        <v>79214.990000000005</v>
      </c>
      <c r="L2864" t="str">
        <f>IF(Workforce[[#This Row],[Salary]]&lt;50000,"30k-49k",IF(Workforce[[#This Row],[Salary]]&lt;70000,"50k-69k",IF(Workforce[[#This Row],[Salary]]&lt;90000,"70k-89k","90k+")))</f>
        <v>70k-89k</v>
      </c>
      <c r="M2864" t="s">
        <v>19421</v>
      </c>
      <c r="N2864">
        <f t="shared" ca="1" si="178"/>
        <v>10</v>
      </c>
      <c r="O2864" t="str">
        <f t="shared" ca="1" si="179"/>
        <v>Senior level</v>
      </c>
    </row>
    <row r="2865" spans="1:15" x14ac:dyDescent="0.3">
      <c r="A2865" t="s">
        <v>19422</v>
      </c>
      <c r="B2865" t="s">
        <v>19423</v>
      </c>
      <c r="C2865" t="s">
        <v>61</v>
      </c>
      <c r="D2865" t="s">
        <v>19424</v>
      </c>
      <c r="E2865" t="s">
        <v>19425</v>
      </c>
      <c r="F2865" t="s">
        <v>855</v>
      </c>
      <c r="G2865" t="s">
        <v>19426</v>
      </c>
      <c r="H2865" t="s">
        <v>19427</v>
      </c>
      <c r="I2865">
        <f t="shared" ca="1" si="176"/>
        <v>43</v>
      </c>
      <c r="J2865" t="str">
        <f t="shared" ca="1" si="177"/>
        <v>40-49</v>
      </c>
      <c r="K2865">
        <v>107072.45</v>
      </c>
      <c r="L2865" t="str">
        <f>IF(Workforce[[#This Row],[Salary]]&lt;50000,"30k-49k",IF(Workforce[[#This Row],[Salary]]&lt;70000,"50k-69k",IF(Workforce[[#This Row],[Salary]]&lt;90000,"70k-89k","90k+")))</f>
        <v>90k+</v>
      </c>
      <c r="M2865" t="s">
        <v>8539</v>
      </c>
      <c r="N2865">
        <f t="shared" ca="1" si="178"/>
        <v>2</v>
      </c>
      <c r="O2865" t="str">
        <f t="shared" ca="1" si="179"/>
        <v>Beginner</v>
      </c>
    </row>
    <row r="2866" spans="1:15" x14ac:dyDescent="0.3">
      <c r="A2866" t="s">
        <v>19428</v>
      </c>
      <c r="B2866" t="s">
        <v>19429</v>
      </c>
      <c r="C2866" t="s">
        <v>774</v>
      </c>
      <c r="D2866" t="s">
        <v>19430</v>
      </c>
      <c r="E2866" t="s">
        <v>19431</v>
      </c>
      <c r="F2866" t="s">
        <v>7439</v>
      </c>
      <c r="G2866" t="s">
        <v>19432</v>
      </c>
      <c r="H2866" t="s">
        <v>19433</v>
      </c>
      <c r="I2866">
        <f t="shared" ca="1" si="176"/>
        <v>25</v>
      </c>
      <c r="J2866" t="str">
        <f t="shared" ca="1" si="177"/>
        <v>18-29</v>
      </c>
      <c r="K2866">
        <v>103484.29</v>
      </c>
      <c r="L2866" t="str">
        <f>IF(Workforce[[#This Row],[Salary]]&lt;50000,"30k-49k",IF(Workforce[[#This Row],[Salary]]&lt;70000,"50k-69k",IF(Workforce[[#This Row],[Salary]]&lt;90000,"70k-89k","90k+")))</f>
        <v>90k+</v>
      </c>
      <c r="M2866" t="s">
        <v>19434</v>
      </c>
      <c r="N2866">
        <f t="shared" ca="1" si="178"/>
        <v>5</v>
      </c>
      <c r="O2866" t="str">
        <f t="shared" ca="1" si="179"/>
        <v>Intermediate level</v>
      </c>
    </row>
    <row r="2867" spans="1:15" x14ac:dyDescent="0.3">
      <c r="A2867" t="s">
        <v>6976</v>
      </c>
      <c r="B2867" t="s">
        <v>19435</v>
      </c>
      <c r="C2867" t="s">
        <v>604</v>
      </c>
      <c r="D2867" t="s">
        <v>19436</v>
      </c>
      <c r="E2867" t="s">
        <v>19437</v>
      </c>
      <c r="F2867" t="s">
        <v>10080</v>
      </c>
      <c r="G2867" t="s">
        <v>19438</v>
      </c>
      <c r="H2867" t="s">
        <v>19439</v>
      </c>
      <c r="I2867">
        <f t="shared" ca="1" si="176"/>
        <v>53</v>
      </c>
      <c r="J2867" t="str">
        <f t="shared" ca="1" si="177"/>
        <v>50-59</v>
      </c>
      <c r="K2867">
        <v>69771.31</v>
      </c>
      <c r="L2867" t="str">
        <f>IF(Workforce[[#This Row],[Salary]]&lt;50000,"30k-49k",IF(Workforce[[#This Row],[Salary]]&lt;70000,"50k-69k",IF(Workforce[[#This Row],[Salary]]&lt;90000,"70k-89k","90k+")))</f>
        <v>50k-69k</v>
      </c>
      <c r="M2867" t="s">
        <v>19440</v>
      </c>
      <c r="N2867">
        <f t="shared" ca="1" si="178"/>
        <v>8</v>
      </c>
      <c r="O2867" t="str">
        <f t="shared" ca="1" si="179"/>
        <v>Senior level</v>
      </c>
    </row>
    <row r="2868" spans="1:15" x14ac:dyDescent="0.3">
      <c r="A2868" t="s">
        <v>19441</v>
      </c>
      <c r="B2868" t="s">
        <v>19442</v>
      </c>
      <c r="C2868" t="s">
        <v>604</v>
      </c>
      <c r="D2868" t="s">
        <v>19443</v>
      </c>
      <c r="E2868" t="s">
        <v>19444</v>
      </c>
      <c r="F2868" t="s">
        <v>16955</v>
      </c>
      <c r="G2868" t="s">
        <v>19445</v>
      </c>
      <c r="H2868" t="s">
        <v>19446</v>
      </c>
      <c r="I2868">
        <f t="shared" ca="1" si="176"/>
        <v>48</v>
      </c>
      <c r="J2868" t="str">
        <f t="shared" ca="1" si="177"/>
        <v>40-49</v>
      </c>
      <c r="K2868">
        <v>54367.98</v>
      </c>
      <c r="L2868" t="str">
        <f>IF(Workforce[[#This Row],[Salary]]&lt;50000,"30k-49k",IF(Workforce[[#This Row],[Salary]]&lt;70000,"50k-69k",IF(Workforce[[#This Row],[Salary]]&lt;90000,"70k-89k","90k+")))</f>
        <v>50k-69k</v>
      </c>
      <c r="M2868" t="s">
        <v>3230</v>
      </c>
      <c r="N2868">
        <f t="shared" ca="1" si="178"/>
        <v>10</v>
      </c>
      <c r="O2868" t="str">
        <f t="shared" ca="1" si="179"/>
        <v>Senior level</v>
      </c>
    </row>
    <row r="2869" spans="1:15" x14ac:dyDescent="0.3">
      <c r="A2869" t="s">
        <v>19447</v>
      </c>
      <c r="B2869" t="s">
        <v>19448</v>
      </c>
      <c r="C2869" t="s">
        <v>124</v>
      </c>
      <c r="D2869" t="s">
        <v>19449</v>
      </c>
      <c r="E2869" t="s">
        <v>19450</v>
      </c>
      <c r="F2869" t="s">
        <v>8862</v>
      </c>
      <c r="G2869" t="s">
        <v>19451</v>
      </c>
      <c r="H2869" t="s">
        <v>19452</v>
      </c>
      <c r="I2869">
        <f t="shared" ca="1" si="176"/>
        <v>21</v>
      </c>
      <c r="J2869" t="str">
        <f t="shared" ca="1" si="177"/>
        <v>18-29</v>
      </c>
      <c r="K2869">
        <v>60266</v>
      </c>
      <c r="L2869" t="str">
        <f>IF(Workforce[[#This Row],[Salary]]&lt;50000,"30k-49k",IF(Workforce[[#This Row],[Salary]]&lt;70000,"50k-69k",IF(Workforce[[#This Row],[Salary]]&lt;90000,"70k-89k","90k+")))</f>
        <v>50k-69k</v>
      </c>
      <c r="M2869" t="s">
        <v>4491</v>
      </c>
      <c r="N2869">
        <f t="shared" ca="1" si="178"/>
        <v>8</v>
      </c>
      <c r="O2869" t="str">
        <f t="shared" ca="1" si="179"/>
        <v>Senior level</v>
      </c>
    </row>
    <row r="2870" spans="1:15" x14ac:dyDescent="0.3">
      <c r="A2870" t="s">
        <v>19453</v>
      </c>
      <c r="B2870" t="s">
        <v>19454</v>
      </c>
      <c r="C2870" t="s">
        <v>457</v>
      </c>
      <c r="D2870" t="s">
        <v>19455</v>
      </c>
      <c r="E2870" t="s">
        <v>19456</v>
      </c>
      <c r="F2870" t="s">
        <v>13117</v>
      </c>
      <c r="G2870" t="s">
        <v>19457</v>
      </c>
      <c r="H2870" t="s">
        <v>19458</v>
      </c>
      <c r="I2870">
        <f t="shared" ca="1" si="176"/>
        <v>50</v>
      </c>
      <c r="J2870" t="str">
        <f t="shared" ca="1" si="177"/>
        <v>50-59</v>
      </c>
      <c r="K2870">
        <v>37127.269999999997</v>
      </c>
      <c r="L2870" t="str">
        <f>IF(Workforce[[#This Row],[Salary]]&lt;50000,"30k-49k",IF(Workforce[[#This Row],[Salary]]&lt;70000,"50k-69k",IF(Workforce[[#This Row],[Salary]]&lt;90000,"70k-89k","90k+")))</f>
        <v>30k-49k</v>
      </c>
      <c r="M2870" t="s">
        <v>1737</v>
      </c>
      <c r="N2870">
        <f t="shared" ca="1" si="178"/>
        <v>6</v>
      </c>
      <c r="O2870" t="str">
        <f t="shared" ca="1" si="179"/>
        <v>Intermediate level</v>
      </c>
    </row>
    <row r="2871" spans="1:15" x14ac:dyDescent="0.3">
      <c r="A2871" t="s">
        <v>19459</v>
      </c>
      <c r="B2871" t="s">
        <v>19460</v>
      </c>
      <c r="C2871" t="s">
        <v>17</v>
      </c>
      <c r="D2871" t="s">
        <v>19461</v>
      </c>
      <c r="E2871" t="s">
        <v>19462</v>
      </c>
      <c r="F2871" t="s">
        <v>742</v>
      </c>
      <c r="G2871" t="s">
        <v>19463</v>
      </c>
      <c r="H2871" t="s">
        <v>19464</v>
      </c>
      <c r="I2871">
        <f t="shared" ca="1" si="176"/>
        <v>48</v>
      </c>
      <c r="J2871" t="str">
        <f t="shared" ca="1" si="177"/>
        <v>40-49</v>
      </c>
      <c r="K2871">
        <v>59233.17</v>
      </c>
      <c r="L2871" t="str">
        <f>IF(Workforce[[#This Row],[Salary]]&lt;50000,"30k-49k",IF(Workforce[[#This Row],[Salary]]&lt;70000,"50k-69k",IF(Workforce[[#This Row],[Salary]]&lt;90000,"70k-89k","90k+")))</f>
        <v>50k-69k</v>
      </c>
      <c r="M2871" t="s">
        <v>19465</v>
      </c>
      <c r="N2871">
        <f t="shared" ca="1" si="178"/>
        <v>2</v>
      </c>
      <c r="O2871" t="str">
        <f t="shared" ca="1" si="179"/>
        <v>Beginner</v>
      </c>
    </row>
    <row r="2872" spans="1:15" x14ac:dyDescent="0.3">
      <c r="A2872" t="s">
        <v>19466</v>
      </c>
      <c r="B2872" t="s">
        <v>19467</v>
      </c>
      <c r="C2872" t="s">
        <v>844</v>
      </c>
      <c r="D2872" t="s">
        <v>19468</v>
      </c>
      <c r="E2872" t="s">
        <v>19469</v>
      </c>
      <c r="F2872" t="s">
        <v>11430</v>
      </c>
      <c r="G2872" t="s">
        <v>19470</v>
      </c>
      <c r="H2872" t="s">
        <v>19471</v>
      </c>
      <c r="I2872">
        <f t="shared" ca="1" si="176"/>
        <v>65</v>
      </c>
      <c r="J2872" t="str">
        <f t="shared" ca="1" si="177"/>
        <v>60+</v>
      </c>
      <c r="K2872">
        <v>50594.720000000001</v>
      </c>
      <c r="L2872" t="str">
        <f>IF(Workforce[[#This Row],[Salary]]&lt;50000,"30k-49k",IF(Workforce[[#This Row],[Salary]]&lt;70000,"50k-69k",IF(Workforce[[#This Row],[Salary]]&lt;90000,"70k-89k","90k+")))</f>
        <v>50k-69k</v>
      </c>
      <c r="M2872" t="s">
        <v>10408</v>
      </c>
      <c r="N2872">
        <f t="shared" ca="1" si="178"/>
        <v>3</v>
      </c>
      <c r="O2872" t="str">
        <f t="shared" ca="1" si="179"/>
        <v>Intermediate level</v>
      </c>
    </row>
    <row r="2873" spans="1:15" x14ac:dyDescent="0.3">
      <c r="A2873" t="s">
        <v>19472</v>
      </c>
      <c r="B2873" t="s">
        <v>19473</v>
      </c>
      <c r="C2873" t="s">
        <v>222</v>
      </c>
      <c r="D2873" t="s">
        <v>19474</v>
      </c>
      <c r="E2873" t="s">
        <v>19475</v>
      </c>
      <c r="F2873" t="s">
        <v>1541</v>
      </c>
      <c r="G2873" t="s">
        <v>19476</v>
      </c>
      <c r="H2873" t="s">
        <v>19477</v>
      </c>
      <c r="I2873">
        <f t="shared" ca="1" si="176"/>
        <v>21</v>
      </c>
      <c r="J2873" t="str">
        <f t="shared" ca="1" si="177"/>
        <v>18-29</v>
      </c>
      <c r="K2873">
        <v>54408.3</v>
      </c>
      <c r="L2873" t="str">
        <f>IF(Workforce[[#This Row],[Salary]]&lt;50000,"30k-49k",IF(Workforce[[#This Row],[Salary]]&lt;70000,"50k-69k",IF(Workforce[[#This Row],[Salary]]&lt;90000,"70k-89k","90k+")))</f>
        <v>50k-69k</v>
      </c>
      <c r="M2873" t="s">
        <v>19478</v>
      </c>
      <c r="N2873">
        <f t="shared" ca="1" si="178"/>
        <v>10</v>
      </c>
      <c r="O2873" t="str">
        <f t="shared" ca="1" si="179"/>
        <v>Senior level</v>
      </c>
    </row>
    <row r="2874" spans="1:15" x14ac:dyDescent="0.3">
      <c r="A2874" t="s">
        <v>19479</v>
      </c>
      <c r="B2874" t="s">
        <v>19480</v>
      </c>
      <c r="C2874" t="s">
        <v>275</v>
      </c>
      <c r="D2874" t="s">
        <v>19481</v>
      </c>
      <c r="E2874" t="s">
        <v>19482</v>
      </c>
      <c r="F2874" t="s">
        <v>1888</v>
      </c>
      <c r="G2874" t="s">
        <v>19483</v>
      </c>
      <c r="H2874" t="s">
        <v>19484</v>
      </c>
      <c r="I2874">
        <f t="shared" ca="1" si="176"/>
        <v>41</v>
      </c>
      <c r="J2874" t="str">
        <f t="shared" ca="1" si="177"/>
        <v>40-49</v>
      </c>
      <c r="K2874">
        <v>34231</v>
      </c>
      <c r="L2874" t="str">
        <f>IF(Workforce[[#This Row],[Salary]]&lt;50000,"30k-49k",IF(Workforce[[#This Row],[Salary]]&lt;70000,"50k-69k",IF(Workforce[[#This Row],[Salary]]&lt;90000,"70k-89k","90k+")))</f>
        <v>30k-49k</v>
      </c>
      <c r="M2874" t="s">
        <v>17463</v>
      </c>
      <c r="N2874">
        <f t="shared" ca="1" si="178"/>
        <v>0</v>
      </c>
      <c r="O2874" t="str">
        <f t="shared" ca="1" si="179"/>
        <v>Beginner</v>
      </c>
    </row>
    <row r="2875" spans="1:15" x14ac:dyDescent="0.3">
      <c r="A2875" t="s">
        <v>19485</v>
      </c>
      <c r="B2875" t="s">
        <v>19486</v>
      </c>
      <c r="C2875" t="s">
        <v>580</v>
      </c>
      <c r="D2875" t="s">
        <v>19487</v>
      </c>
      <c r="E2875" t="s">
        <v>19488</v>
      </c>
      <c r="F2875" t="s">
        <v>2267</v>
      </c>
      <c r="G2875" t="s">
        <v>19489</v>
      </c>
      <c r="H2875" t="s">
        <v>19490</v>
      </c>
      <c r="I2875">
        <f t="shared" ca="1" si="176"/>
        <v>63</v>
      </c>
      <c r="J2875" t="str">
        <f t="shared" ca="1" si="177"/>
        <v>60+</v>
      </c>
      <c r="K2875">
        <v>85905.15</v>
      </c>
      <c r="L2875" t="str">
        <f>IF(Workforce[[#This Row],[Salary]]&lt;50000,"30k-49k",IF(Workforce[[#This Row],[Salary]]&lt;70000,"50k-69k",IF(Workforce[[#This Row],[Salary]]&lt;90000,"70k-89k","90k+")))</f>
        <v>70k-89k</v>
      </c>
      <c r="M2875" t="s">
        <v>19491</v>
      </c>
      <c r="N2875">
        <f t="shared" ca="1" si="178"/>
        <v>4</v>
      </c>
      <c r="O2875" t="str">
        <f t="shared" ca="1" si="179"/>
        <v>Intermediate level</v>
      </c>
    </row>
    <row r="2876" spans="1:15" x14ac:dyDescent="0.3">
      <c r="A2876" t="s">
        <v>19492</v>
      </c>
      <c r="B2876" t="s">
        <v>19493</v>
      </c>
      <c r="C2876" t="s">
        <v>17</v>
      </c>
      <c r="D2876" t="s">
        <v>19494</v>
      </c>
      <c r="E2876" t="s">
        <v>19495</v>
      </c>
      <c r="F2876" t="s">
        <v>1061</v>
      </c>
      <c r="G2876" t="s">
        <v>19496</v>
      </c>
      <c r="H2876" t="s">
        <v>19497</v>
      </c>
      <c r="I2876">
        <f t="shared" ca="1" si="176"/>
        <v>44</v>
      </c>
      <c r="J2876" t="str">
        <f t="shared" ca="1" si="177"/>
        <v>40-49</v>
      </c>
      <c r="K2876">
        <v>58900.24</v>
      </c>
      <c r="L2876" t="str">
        <f>IF(Workforce[[#This Row],[Salary]]&lt;50000,"30k-49k",IF(Workforce[[#This Row],[Salary]]&lt;70000,"50k-69k",IF(Workforce[[#This Row],[Salary]]&lt;90000,"70k-89k","90k+")))</f>
        <v>50k-69k</v>
      </c>
      <c r="M2876" t="s">
        <v>14649</v>
      </c>
      <c r="N2876">
        <f t="shared" ca="1" si="178"/>
        <v>9</v>
      </c>
      <c r="O2876" t="str">
        <f t="shared" ca="1" si="179"/>
        <v>Senior level</v>
      </c>
    </row>
    <row r="2877" spans="1:15" x14ac:dyDescent="0.3">
      <c r="A2877" t="s">
        <v>113</v>
      </c>
      <c r="B2877" t="s">
        <v>19498</v>
      </c>
      <c r="C2877" t="s">
        <v>539</v>
      </c>
      <c r="D2877" t="s">
        <v>19499</v>
      </c>
      <c r="E2877" t="s">
        <v>19500</v>
      </c>
      <c r="F2877" t="s">
        <v>981</v>
      </c>
      <c r="G2877" t="s">
        <v>19501</v>
      </c>
      <c r="H2877" t="s">
        <v>7661</v>
      </c>
      <c r="I2877">
        <f t="shared" ca="1" si="176"/>
        <v>62</v>
      </c>
      <c r="J2877" t="str">
        <f t="shared" ca="1" si="177"/>
        <v>60+</v>
      </c>
      <c r="K2877">
        <v>31391.1</v>
      </c>
      <c r="L2877" t="str">
        <f>IF(Workforce[[#This Row],[Salary]]&lt;50000,"30k-49k",IF(Workforce[[#This Row],[Salary]]&lt;70000,"50k-69k",IF(Workforce[[#This Row],[Salary]]&lt;90000,"70k-89k","90k+")))</f>
        <v>30k-49k</v>
      </c>
      <c r="M2877" t="s">
        <v>6601</v>
      </c>
      <c r="N2877">
        <f t="shared" ca="1" si="178"/>
        <v>6</v>
      </c>
      <c r="O2877" t="str">
        <f t="shared" ca="1" si="179"/>
        <v>Intermediate level</v>
      </c>
    </row>
    <row r="2878" spans="1:15" x14ac:dyDescent="0.3">
      <c r="A2878" t="s">
        <v>19502</v>
      </c>
      <c r="B2878" t="s">
        <v>19503</v>
      </c>
      <c r="C2878" t="s">
        <v>1043</v>
      </c>
      <c r="D2878" t="s">
        <v>19504</v>
      </c>
      <c r="E2878" t="s">
        <v>19505</v>
      </c>
      <c r="F2878" t="s">
        <v>2336</v>
      </c>
      <c r="G2878" t="s">
        <v>3829</v>
      </c>
      <c r="H2878" t="s">
        <v>19506</v>
      </c>
      <c r="I2878">
        <f t="shared" ca="1" si="176"/>
        <v>25</v>
      </c>
      <c r="J2878" t="str">
        <f t="shared" ca="1" si="177"/>
        <v>18-29</v>
      </c>
      <c r="K2878">
        <v>115668.91</v>
      </c>
      <c r="L2878" t="str">
        <f>IF(Workforce[[#This Row],[Salary]]&lt;50000,"30k-49k",IF(Workforce[[#This Row],[Salary]]&lt;70000,"50k-69k",IF(Workforce[[#This Row],[Salary]]&lt;90000,"70k-89k","90k+")))</f>
        <v>90k+</v>
      </c>
      <c r="M2878" t="s">
        <v>414</v>
      </c>
      <c r="N2878">
        <f t="shared" ca="1" si="178"/>
        <v>6</v>
      </c>
      <c r="O2878" t="str">
        <f t="shared" ca="1" si="179"/>
        <v>Intermediate level</v>
      </c>
    </row>
    <row r="2879" spans="1:15" x14ac:dyDescent="0.3">
      <c r="A2879" t="s">
        <v>19507</v>
      </c>
      <c r="B2879" t="s">
        <v>19508</v>
      </c>
      <c r="C2879" t="s">
        <v>326</v>
      </c>
      <c r="D2879" t="s">
        <v>19509</v>
      </c>
      <c r="E2879" t="s">
        <v>19510</v>
      </c>
      <c r="F2879" t="s">
        <v>3111</v>
      </c>
      <c r="G2879" t="s">
        <v>3049</v>
      </c>
      <c r="H2879" t="s">
        <v>19511</v>
      </c>
      <c r="I2879">
        <f t="shared" ca="1" si="176"/>
        <v>48</v>
      </c>
      <c r="J2879" t="str">
        <f t="shared" ca="1" si="177"/>
        <v>40-49</v>
      </c>
      <c r="K2879">
        <v>83578.570000000007</v>
      </c>
      <c r="L2879" t="str">
        <f>IF(Workforce[[#This Row],[Salary]]&lt;50000,"30k-49k",IF(Workforce[[#This Row],[Salary]]&lt;70000,"50k-69k",IF(Workforce[[#This Row],[Salary]]&lt;90000,"70k-89k","90k+")))</f>
        <v>70k-89k</v>
      </c>
      <c r="M2879" t="s">
        <v>12759</v>
      </c>
      <c r="N2879">
        <f t="shared" ca="1" si="178"/>
        <v>1</v>
      </c>
      <c r="O2879" t="str">
        <f t="shared" ca="1" si="179"/>
        <v>Beginner</v>
      </c>
    </row>
    <row r="2880" spans="1:15" x14ac:dyDescent="0.3">
      <c r="A2880" t="s">
        <v>19512</v>
      </c>
      <c r="B2880" t="s">
        <v>19513</v>
      </c>
      <c r="C2880" t="s">
        <v>604</v>
      </c>
      <c r="D2880" t="s">
        <v>19514</v>
      </c>
      <c r="E2880" t="s">
        <v>19515</v>
      </c>
      <c r="F2880" t="s">
        <v>82</v>
      </c>
      <c r="G2880" t="s">
        <v>19516</v>
      </c>
      <c r="H2880" t="s">
        <v>19517</v>
      </c>
      <c r="I2880">
        <f t="shared" ca="1" si="176"/>
        <v>54</v>
      </c>
      <c r="J2880" t="str">
        <f t="shared" ca="1" si="177"/>
        <v>50-59</v>
      </c>
      <c r="K2880">
        <v>39335.230000000003</v>
      </c>
      <c r="L2880" t="str">
        <f>IF(Workforce[[#This Row],[Salary]]&lt;50000,"30k-49k",IF(Workforce[[#This Row],[Salary]]&lt;70000,"50k-69k",IF(Workforce[[#This Row],[Salary]]&lt;90000,"70k-89k","90k+")))</f>
        <v>30k-49k</v>
      </c>
      <c r="M2880" t="s">
        <v>18199</v>
      </c>
      <c r="N2880">
        <f t="shared" ca="1" si="178"/>
        <v>5</v>
      </c>
      <c r="O2880" t="str">
        <f t="shared" ca="1" si="179"/>
        <v>Intermediate level</v>
      </c>
    </row>
    <row r="2881" spans="1:15" x14ac:dyDescent="0.3">
      <c r="A2881" t="s">
        <v>19518</v>
      </c>
      <c r="B2881" t="s">
        <v>19519</v>
      </c>
      <c r="C2881" t="s">
        <v>351</v>
      </c>
      <c r="D2881" t="s">
        <v>19520</v>
      </c>
      <c r="E2881" t="s">
        <v>19521</v>
      </c>
      <c r="F2881" t="s">
        <v>4887</v>
      </c>
      <c r="G2881" t="s">
        <v>19522</v>
      </c>
      <c r="H2881" t="s">
        <v>19523</v>
      </c>
      <c r="I2881">
        <f t="shared" ca="1" si="176"/>
        <v>36</v>
      </c>
      <c r="J2881" t="str">
        <f t="shared" ca="1" si="177"/>
        <v>30-39</v>
      </c>
      <c r="K2881">
        <v>72444.240000000005</v>
      </c>
      <c r="L2881" t="str">
        <f>IF(Workforce[[#This Row],[Salary]]&lt;50000,"30k-49k",IF(Workforce[[#This Row],[Salary]]&lt;70000,"50k-69k",IF(Workforce[[#This Row],[Salary]]&lt;90000,"70k-89k","90k+")))</f>
        <v>70k-89k</v>
      </c>
      <c r="M2881" t="s">
        <v>19524</v>
      </c>
      <c r="N2881">
        <f t="shared" ca="1" si="178"/>
        <v>8</v>
      </c>
      <c r="O2881" t="str">
        <f t="shared" ca="1" si="179"/>
        <v>Senior level</v>
      </c>
    </row>
    <row r="2882" spans="1:15" x14ac:dyDescent="0.3">
      <c r="A2882" t="s">
        <v>19525</v>
      </c>
      <c r="B2882" t="s">
        <v>19526</v>
      </c>
      <c r="C2882" t="s">
        <v>187</v>
      </c>
      <c r="D2882" t="s">
        <v>19527</v>
      </c>
      <c r="E2882" t="s">
        <v>19528</v>
      </c>
      <c r="F2882" t="s">
        <v>1765</v>
      </c>
      <c r="G2882" t="s">
        <v>19529</v>
      </c>
      <c r="H2882" t="s">
        <v>19530</v>
      </c>
      <c r="I2882">
        <f t="shared" ref="I2882:I2945" ca="1" si="180">DATEDIF(H2882,TODAY(),"y")</f>
        <v>32</v>
      </c>
      <c r="J2882" t="str">
        <f t="shared" ref="J2882:J2945" ca="1" si="181">IF(I2882&lt;30,"18-29",IF(I2882&lt;40,"30-39",IF(I2882&lt;50,"40-49",IF(I2882&lt;60,"50-59","60+"))))</f>
        <v>30-39</v>
      </c>
      <c r="K2882">
        <v>76156.429999999993</v>
      </c>
      <c r="L2882" t="str">
        <f>IF(Workforce[[#This Row],[Salary]]&lt;50000,"30k-49k",IF(Workforce[[#This Row],[Salary]]&lt;70000,"50k-69k",IF(Workforce[[#This Row],[Salary]]&lt;90000,"70k-89k","90k+")))</f>
        <v>70k-89k</v>
      </c>
      <c r="M2882" t="s">
        <v>14268</v>
      </c>
      <c r="N2882">
        <f t="shared" ref="N2882:N2945" ca="1" si="182">DATEDIF(M2882,TODAY(),"y")</f>
        <v>5</v>
      </c>
      <c r="O2882" t="str">
        <f t="shared" ref="O2882:O2945" ca="1" si="183">IF(N2882&lt;=2,"Beginner",IF(N2882&lt;=6,"Intermediate level","Senior level"))</f>
        <v>Intermediate level</v>
      </c>
    </row>
    <row r="2883" spans="1:15" x14ac:dyDescent="0.3">
      <c r="A2883" t="s">
        <v>19531</v>
      </c>
      <c r="B2883" t="s">
        <v>19532</v>
      </c>
      <c r="C2883" t="s">
        <v>115</v>
      </c>
      <c r="D2883" t="s">
        <v>19533</v>
      </c>
      <c r="E2883" t="s">
        <v>19534</v>
      </c>
      <c r="F2883" t="s">
        <v>3087</v>
      </c>
      <c r="G2883" t="s">
        <v>19535</v>
      </c>
      <c r="H2883" t="s">
        <v>19536</v>
      </c>
      <c r="I2883">
        <f t="shared" ca="1" si="180"/>
        <v>29</v>
      </c>
      <c r="J2883" t="str">
        <f t="shared" ca="1" si="181"/>
        <v>18-29</v>
      </c>
      <c r="K2883">
        <v>112119.32</v>
      </c>
      <c r="L2883" t="str">
        <f>IF(Workforce[[#This Row],[Salary]]&lt;50000,"30k-49k",IF(Workforce[[#This Row],[Salary]]&lt;70000,"50k-69k",IF(Workforce[[#This Row],[Salary]]&lt;90000,"70k-89k","90k+")))</f>
        <v>90k+</v>
      </c>
      <c r="M2883" t="s">
        <v>19537</v>
      </c>
      <c r="N2883">
        <f t="shared" ca="1" si="182"/>
        <v>1</v>
      </c>
      <c r="O2883" t="str">
        <f t="shared" ca="1" si="183"/>
        <v>Beginner</v>
      </c>
    </row>
    <row r="2884" spans="1:15" x14ac:dyDescent="0.3">
      <c r="A2884" t="s">
        <v>19538</v>
      </c>
      <c r="B2884" t="s">
        <v>19539</v>
      </c>
      <c r="C2884" t="s">
        <v>400</v>
      </c>
      <c r="D2884" t="s">
        <v>19540</v>
      </c>
      <c r="E2884" t="s">
        <v>19541</v>
      </c>
      <c r="F2884" t="s">
        <v>1765</v>
      </c>
      <c r="G2884" t="s">
        <v>19542</v>
      </c>
      <c r="H2884" t="s">
        <v>19543</v>
      </c>
      <c r="I2884">
        <f t="shared" ca="1" si="180"/>
        <v>44</v>
      </c>
      <c r="J2884" t="str">
        <f t="shared" ca="1" si="181"/>
        <v>40-49</v>
      </c>
      <c r="K2884">
        <v>67706.880000000005</v>
      </c>
      <c r="L2884" t="str">
        <f>IF(Workforce[[#This Row],[Salary]]&lt;50000,"30k-49k",IF(Workforce[[#This Row],[Salary]]&lt;70000,"50k-69k",IF(Workforce[[#This Row],[Salary]]&lt;90000,"70k-89k","90k+")))</f>
        <v>50k-69k</v>
      </c>
      <c r="M2884" t="s">
        <v>1056</v>
      </c>
      <c r="N2884">
        <f t="shared" ca="1" si="182"/>
        <v>8</v>
      </c>
      <c r="O2884" t="str">
        <f t="shared" ca="1" si="183"/>
        <v>Senior level</v>
      </c>
    </row>
    <row r="2885" spans="1:15" x14ac:dyDescent="0.3">
      <c r="A2885" t="s">
        <v>19544</v>
      </c>
      <c r="B2885" t="s">
        <v>19545</v>
      </c>
      <c r="C2885" t="s">
        <v>257</v>
      </c>
      <c r="D2885" t="s">
        <v>19546</v>
      </c>
      <c r="E2885" t="s">
        <v>19547</v>
      </c>
      <c r="F2885" t="s">
        <v>1099</v>
      </c>
      <c r="G2885" t="s">
        <v>19548</v>
      </c>
      <c r="H2885" t="s">
        <v>4468</v>
      </c>
      <c r="I2885">
        <f t="shared" ca="1" si="180"/>
        <v>63</v>
      </c>
      <c r="J2885" t="str">
        <f t="shared" ca="1" si="181"/>
        <v>60+</v>
      </c>
      <c r="K2885">
        <v>106057.31</v>
      </c>
      <c r="L2885" t="str">
        <f>IF(Workforce[[#This Row],[Salary]]&lt;50000,"30k-49k",IF(Workforce[[#This Row],[Salary]]&lt;70000,"50k-69k",IF(Workforce[[#This Row],[Salary]]&lt;90000,"70k-89k","90k+")))</f>
        <v>90k+</v>
      </c>
      <c r="M2885" t="s">
        <v>3015</v>
      </c>
      <c r="N2885">
        <f t="shared" ca="1" si="182"/>
        <v>2</v>
      </c>
      <c r="O2885" t="str">
        <f t="shared" ca="1" si="183"/>
        <v>Beginner</v>
      </c>
    </row>
    <row r="2886" spans="1:15" x14ac:dyDescent="0.3">
      <c r="A2886" t="s">
        <v>19549</v>
      </c>
      <c r="B2886" t="s">
        <v>19550</v>
      </c>
      <c r="C2886" t="s">
        <v>240</v>
      </c>
      <c r="D2886" t="s">
        <v>19551</v>
      </c>
      <c r="E2886" t="s">
        <v>19552</v>
      </c>
      <c r="F2886" t="s">
        <v>2653</v>
      </c>
      <c r="G2886" t="s">
        <v>19553</v>
      </c>
      <c r="H2886" t="s">
        <v>19554</v>
      </c>
      <c r="I2886">
        <f t="shared" ca="1" si="180"/>
        <v>32</v>
      </c>
      <c r="J2886" t="str">
        <f t="shared" ca="1" si="181"/>
        <v>30-39</v>
      </c>
      <c r="K2886">
        <v>37554.39</v>
      </c>
      <c r="L2886" t="str">
        <f>IF(Workforce[[#This Row],[Salary]]&lt;50000,"30k-49k",IF(Workforce[[#This Row],[Salary]]&lt;70000,"50k-69k",IF(Workforce[[#This Row],[Salary]]&lt;90000,"70k-89k","90k+")))</f>
        <v>30k-49k</v>
      </c>
      <c r="M2886" t="s">
        <v>13120</v>
      </c>
      <c r="N2886">
        <f t="shared" ca="1" si="182"/>
        <v>6</v>
      </c>
      <c r="O2886" t="str">
        <f t="shared" ca="1" si="183"/>
        <v>Intermediate level</v>
      </c>
    </row>
    <row r="2887" spans="1:15" x14ac:dyDescent="0.3">
      <c r="A2887" t="s">
        <v>19555</v>
      </c>
      <c r="B2887" t="s">
        <v>19556</v>
      </c>
      <c r="C2887" t="s">
        <v>317</v>
      </c>
      <c r="D2887" t="s">
        <v>19557</v>
      </c>
      <c r="E2887" t="s">
        <v>19558</v>
      </c>
      <c r="F2887" t="s">
        <v>451</v>
      </c>
      <c r="G2887" t="s">
        <v>19559</v>
      </c>
      <c r="H2887" t="s">
        <v>17056</v>
      </c>
      <c r="I2887">
        <f t="shared" ca="1" si="180"/>
        <v>35</v>
      </c>
      <c r="J2887" t="str">
        <f t="shared" ca="1" si="181"/>
        <v>30-39</v>
      </c>
      <c r="K2887">
        <v>105963.84</v>
      </c>
      <c r="L2887" t="str">
        <f>IF(Workforce[[#This Row],[Salary]]&lt;50000,"30k-49k",IF(Workforce[[#This Row],[Salary]]&lt;70000,"50k-69k",IF(Workforce[[#This Row],[Salary]]&lt;90000,"70k-89k","90k+")))</f>
        <v>90k+</v>
      </c>
      <c r="M2887" t="s">
        <v>1025</v>
      </c>
      <c r="N2887">
        <f t="shared" ca="1" si="182"/>
        <v>3</v>
      </c>
      <c r="O2887" t="str">
        <f t="shared" ca="1" si="183"/>
        <v>Intermediate level</v>
      </c>
    </row>
    <row r="2888" spans="1:15" x14ac:dyDescent="0.3">
      <c r="A2888" t="s">
        <v>19560</v>
      </c>
      <c r="B2888" t="s">
        <v>19561</v>
      </c>
      <c r="C2888" t="s">
        <v>844</v>
      </c>
      <c r="D2888" t="s">
        <v>19562</v>
      </c>
      <c r="E2888" t="s">
        <v>19563</v>
      </c>
      <c r="F2888" t="s">
        <v>1076</v>
      </c>
      <c r="G2888" t="s">
        <v>19564</v>
      </c>
      <c r="H2888" t="s">
        <v>19565</v>
      </c>
      <c r="I2888">
        <f t="shared" ca="1" si="180"/>
        <v>36</v>
      </c>
      <c r="J2888" t="str">
        <f t="shared" ca="1" si="181"/>
        <v>30-39</v>
      </c>
      <c r="K2888">
        <v>97018.46</v>
      </c>
      <c r="L2888" t="str">
        <f>IF(Workforce[[#This Row],[Salary]]&lt;50000,"30k-49k",IF(Workforce[[#This Row],[Salary]]&lt;70000,"50k-69k",IF(Workforce[[#This Row],[Salary]]&lt;90000,"70k-89k","90k+")))</f>
        <v>90k+</v>
      </c>
      <c r="M2888" t="s">
        <v>13865</v>
      </c>
      <c r="N2888">
        <f t="shared" ca="1" si="182"/>
        <v>9</v>
      </c>
      <c r="O2888" t="str">
        <f t="shared" ca="1" si="183"/>
        <v>Senior level</v>
      </c>
    </row>
    <row r="2889" spans="1:15" x14ac:dyDescent="0.3">
      <c r="A2889" t="s">
        <v>19566</v>
      </c>
      <c r="B2889" t="s">
        <v>19567</v>
      </c>
      <c r="C2889" t="s">
        <v>326</v>
      </c>
      <c r="D2889" t="s">
        <v>19568</v>
      </c>
      <c r="E2889" t="s">
        <v>19569</v>
      </c>
      <c r="F2889" t="s">
        <v>2020</v>
      </c>
      <c r="G2889" t="s">
        <v>19570</v>
      </c>
      <c r="H2889" t="s">
        <v>19571</v>
      </c>
      <c r="I2889">
        <f t="shared" ca="1" si="180"/>
        <v>19</v>
      </c>
      <c r="J2889" t="str">
        <f t="shared" ca="1" si="181"/>
        <v>18-29</v>
      </c>
      <c r="K2889">
        <v>45454.07</v>
      </c>
      <c r="L2889" t="str">
        <f>IF(Workforce[[#This Row],[Salary]]&lt;50000,"30k-49k",IF(Workforce[[#This Row],[Salary]]&lt;70000,"50k-69k",IF(Workforce[[#This Row],[Salary]]&lt;90000,"70k-89k","90k+")))</f>
        <v>30k-49k</v>
      </c>
      <c r="M2889" t="s">
        <v>10527</v>
      </c>
      <c r="N2889">
        <f t="shared" ca="1" si="182"/>
        <v>2</v>
      </c>
      <c r="O2889" t="str">
        <f t="shared" ca="1" si="183"/>
        <v>Beginner</v>
      </c>
    </row>
    <row r="2890" spans="1:15" x14ac:dyDescent="0.3">
      <c r="A2890" t="s">
        <v>19572</v>
      </c>
      <c r="B2890" t="s">
        <v>19573</v>
      </c>
      <c r="C2890" t="s">
        <v>351</v>
      </c>
      <c r="D2890" t="s">
        <v>19574</v>
      </c>
      <c r="E2890" t="s">
        <v>19575</v>
      </c>
      <c r="F2890" t="s">
        <v>4618</v>
      </c>
      <c r="G2890" t="s">
        <v>19576</v>
      </c>
      <c r="H2890" t="s">
        <v>19577</v>
      </c>
      <c r="I2890">
        <f t="shared" ca="1" si="180"/>
        <v>25</v>
      </c>
      <c r="J2890" t="str">
        <f t="shared" ca="1" si="181"/>
        <v>18-29</v>
      </c>
      <c r="K2890">
        <v>60576.3</v>
      </c>
      <c r="L2890" t="str">
        <f>IF(Workforce[[#This Row],[Salary]]&lt;50000,"30k-49k",IF(Workforce[[#This Row],[Salary]]&lt;70000,"50k-69k",IF(Workforce[[#This Row],[Salary]]&lt;90000,"70k-89k","90k+")))</f>
        <v>50k-69k</v>
      </c>
      <c r="M2890" t="s">
        <v>19578</v>
      </c>
      <c r="N2890">
        <f t="shared" ca="1" si="182"/>
        <v>6</v>
      </c>
      <c r="O2890" t="str">
        <f t="shared" ca="1" si="183"/>
        <v>Intermediate level</v>
      </c>
    </row>
    <row r="2891" spans="1:15" x14ac:dyDescent="0.3">
      <c r="A2891" t="s">
        <v>19579</v>
      </c>
      <c r="B2891" t="s">
        <v>19580</v>
      </c>
      <c r="C2891" t="s">
        <v>995</v>
      </c>
      <c r="D2891" t="s">
        <v>19581</v>
      </c>
      <c r="E2891" t="s">
        <v>19582</v>
      </c>
      <c r="F2891" t="s">
        <v>5918</v>
      </c>
      <c r="G2891" t="s">
        <v>19583</v>
      </c>
      <c r="H2891" t="s">
        <v>19584</v>
      </c>
      <c r="I2891">
        <f t="shared" ca="1" si="180"/>
        <v>60</v>
      </c>
      <c r="J2891" t="str">
        <f t="shared" ca="1" si="181"/>
        <v>60+</v>
      </c>
      <c r="K2891">
        <v>76482.34</v>
      </c>
      <c r="L2891" t="str">
        <f>IF(Workforce[[#This Row],[Salary]]&lt;50000,"30k-49k",IF(Workforce[[#This Row],[Salary]]&lt;70000,"50k-69k",IF(Workforce[[#This Row],[Salary]]&lt;90000,"70k-89k","90k+")))</f>
        <v>70k-89k</v>
      </c>
      <c r="M2891" t="s">
        <v>19585</v>
      </c>
      <c r="N2891">
        <f t="shared" ca="1" si="182"/>
        <v>7</v>
      </c>
      <c r="O2891" t="str">
        <f t="shared" ca="1" si="183"/>
        <v>Senior level</v>
      </c>
    </row>
    <row r="2892" spans="1:15" x14ac:dyDescent="0.3">
      <c r="A2892" t="s">
        <v>19586</v>
      </c>
      <c r="B2892" t="s">
        <v>19587</v>
      </c>
      <c r="C2892" t="s">
        <v>482</v>
      </c>
      <c r="D2892" t="s">
        <v>19588</v>
      </c>
      <c r="E2892" t="s">
        <v>19589</v>
      </c>
      <c r="F2892" t="s">
        <v>19590</v>
      </c>
      <c r="G2892" t="s">
        <v>19591</v>
      </c>
      <c r="H2892" t="s">
        <v>19592</v>
      </c>
      <c r="I2892">
        <f t="shared" ca="1" si="180"/>
        <v>21</v>
      </c>
      <c r="J2892" t="str">
        <f t="shared" ca="1" si="181"/>
        <v>18-29</v>
      </c>
      <c r="K2892">
        <v>69022.06</v>
      </c>
      <c r="L2892" t="str">
        <f>IF(Workforce[[#This Row],[Salary]]&lt;50000,"30k-49k",IF(Workforce[[#This Row],[Salary]]&lt;70000,"50k-69k",IF(Workforce[[#This Row],[Salary]]&lt;90000,"70k-89k","90k+")))</f>
        <v>50k-69k</v>
      </c>
      <c r="M2892" t="s">
        <v>19593</v>
      </c>
      <c r="N2892">
        <f t="shared" ca="1" si="182"/>
        <v>2</v>
      </c>
      <c r="O2892" t="str">
        <f t="shared" ca="1" si="183"/>
        <v>Beginner</v>
      </c>
    </row>
    <row r="2893" spans="1:15" x14ac:dyDescent="0.3">
      <c r="A2893" t="s">
        <v>19594</v>
      </c>
      <c r="B2893" t="s">
        <v>19595</v>
      </c>
      <c r="C2893" t="s">
        <v>97</v>
      </c>
      <c r="D2893" t="s">
        <v>19596</v>
      </c>
      <c r="E2893" t="s">
        <v>19597</v>
      </c>
      <c r="F2893" t="s">
        <v>11183</v>
      </c>
      <c r="G2893" t="s">
        <v>19598</v>
      </c>
      <c r="H2893" t="s">
        <v>19599</v>
      </c>
      <c r="I2893">
        <f t="shared" ca="1" si="180"/>
        <v>20</v>
      </c>
      <c r="J2893" t="str">
        <f t="shared" ca="1" si="181"/>
        <v>18-29</v>
      </c>
      <c r="K2893">
        <v>119436.14</v>
      </c>
      <c r="L2893" t="str">
        <f>IF(Workforce[[#This Row],[Salary]]&lt;50000,"30k-49k",IF(Workforce[[#This Row],[Salary]]&lt;70000,"50k-69k",IF(Workforce[[#This Row],[Salary]]&lt;90000,"70k-89k","90k+")))</f>
        <v>90k+</v>
      </c>
      <c r="M2893" t="s">
        <v>4606</v>
      </c>
      <c r="N2893">
        <f t="shared" ca="1" si="182"/>
        <v>8</v>
      </c>
      <c r="O2893" t="str">
        <f t="shared" ca="1" si="183"/>
        <v>Senior level</v>
      </c>
    </row>
    <row r="2894" spans="1:15" x14ac:dyDescent="0.3">
      <c r="A2894" t="s">
        <v>19600</v>
      </c>
      <c r="B2894" t="s">
        <v>19601</v>
      </c>
      <c r="C2894" t="s">
        <v>539</v>
      </c>
      <c r="D2894" t="s">
        <v>19602</v>
      </c>
      <c r="E2894" t="s">
        <v>19603</v>
      </c>
      <c r="F2894" t="s">
        <v>558</v>
      </c>
      <c r="G2894" t="s">
        <v>19604</v>
      </c>
      <c r="H2894" t="s">
        <v>19605</v>
      </c>
      <c r="I2894">
        <f t="shared" ca="1" si="180"/>
        <v>22</v>
      </c>
      <c r="J2894" t="str">
        <f t="shared" ca="1" si="181"/>
        <v>18-29</v>
      </c>
      <c r="K2894">
        <v>67995.91</v>
      </c>
      <c r="L2894" t="str">
        <f>IF(Workforce[[#This Row],[Salary]]&lt;50000,"30k-49k",IF(Workforce[[#This Row],[Salary]]&lt;70000,"50k-69k",IF(Workforce[[#This Row],[Salary]]&lt;90000,"70k-89k","90k+")))</f>
        <v>50k-69k</v>
      </c>
      <c r="M2894" t="s">
        <v>13077</v>
      </c>
      <c r="N2894">
        <f t="shared" ca="1" si="182"/>
        <v>1</v>
      </c>
      <c r="O2894" t="str">
        <f t="shared" ca="1" si="183"/>
        <v>Beginner</v>
      </c>
    </row>
    <row r="2895" spans="1:15" x14ac:dyDescent="0.3">
      <c r="A2895" t="s">
        <v>19606</v>
      </c>
      <c r="B2895" t="s">
        <v>19607</v>
      </c>
      <c r="C2895" t="s">
        <v>400</v>
      </c>
      <c r="D2895" t="s">
        <v>19608</v>
      </c>
      <c r="E2895" t="s">
        <v>19609</v>
      </c>
      <c r="F2895" t="s">
        <v>3508</v>
      </c>
      <c r="G2895" t="s">
        <v>19610</v>
      </c>
      <c r="H2895" t="s">
        <v>19611</v>
      </c>
      <c r="I2895">
        <f t="shared" ca="1" si="180"/>
        <v>55</v>
      </c>
      <c r="J2895" t="str">
        <f t="shared" ca="1" si="181"/>
        <v>50-59</v>
      </c>
      <c r="K2895">
        <v>66360.789999999994</v>
      </c>
      <c r="L2895" t="str">
        <f>IF(Workforce[[#This Row],[Salary]]&lt;50000,"30k-49k",IF(Workforce[[#This Row],[Salary]]&lt;70000,"50k-69k",IF(Workforce[[#This Row],[Salary]]&lt;90000,"70k-89k","90k+")))</f>
        <v>50k-69k</v>
      </c>
      <c r="M2895" t="s">
        <v>8141</v>
      </c>
      <c r="N2895">
        <f t="shared" ca="1" si="182"/>
        <v>8</v>
      </c>
      <c r="O2895" t="str">
        <f t="shared" ca="1" si="183"/>
        <v>Senior level</v>
      </c>
    </row>
    <row r="2896" spans="1:15" x14ac:dyDescent="0.3">
      <c r="A2896" t="s">
        <v>19612</v>
      </c>
      <c r="B2896" t="s">
        <v>19613</v>
      </c>
      <c r="C2896" t="s">
        <v>88</v>
      </c>
      <c r="D2896" t="s">
        <v>19614</v>
      </c>
      <c r="E2896" t="s">
        <v>19615</v>
      </c>
      <c r="F2896" t="s">
        <v>7271</v>
      </c>
      <c r="G2896" t="s">
        <v>19616</v>
      </c>
      <c r="H2896" t="s">
        <v>19617</v>
      </c>
      <c r="I2896">
        <f t="shared" ca="1" si="180"/>
        <v>63</v>
      </c>
      <c r="J2896" t="str">
        <f t="shared" ca="1" si="181"/>
        <v>60+</v>
      </c>
      <c r="K2896">
        <v>88404.88</v>
      </c>
      <c r="L2896" t="str">
        <f>IF(Workforce[[#This Row],[Salary]]&lt;50000,"30k-49k",IF(Workforce[[#This Row],[Salary]]&lt;70000,"50k-69k",IF(Workforce[[#This Row],[Salary]]&lt;90000,"70k-89k","90k+")))</f>
        <v>70k-89k</v>
      </c>
      <c r="M2896" t="s">
        <v>19618</v>
      </c>
      <c r="N2896">
        <f t="shared" ca="1" si="182"/>
        <v>4</v>
      </c>
      <c r="O2896" t="str">
        <f t="shared" ca="1" si="183"/>
        <v>Intermediate level</v>
      </c>
    </row>
    <row r="2897" spans="1:15" x14ac:dyDescent="0.3">
      <c r="A2897" t="s">
        <v>19619</v>
      </c>
      <c r="B2897" t="s">
        <v>19620</v>
      </c>
      <c r="C2897" t="s">
        <v>580</v>
      </c>
      <c r="D2897" t="s">
        <v>19621</v>
      </c>
      <c r="E2897" t="s">
        <v>19622</v>
      </c>
      <c r="F2897" t="s">
        <v>2975</v>
      </c>
      <c r="G2897" t="s">
        <v>19623</v>
      </c>
      <c r="H2897" t="s">
        <v>19624</v>
      </c>
      <c r="I2897">
        <f t="shared" ca="1" si="180"/>
        <v>53</v>
      </c>
      <c r="J2897" t="str">
        <f t="shared" ca="1" si="181"/>
        <v>50-59</v>
      </c>
      <c r="K2897">
        <v>101649.1</v>
      </c>
      <c r="L2897" t="str">
        <f>IF(Workforce[[#This Row],[Salary]]&lt;50000,"30k-49k",IF(Workforce[[#This Row],[Salary]]&lt;70000,"50k-69k",IF(Workforce[[#This Row],[Salary]]&lt;90000,"70k-89k","90k+")))</f>
        <v>90k+</v>
      </c>
      <c r="M2897" t="s">
        <v>17783</v>
      </c>
      <c r="N2897">
        <f t="shared" ca="1" si="182"/>
        <v>8</v>
      </c>
      <c r="O2897" t="str">
        <f t="shared" ca="1" si="183"/>
        <v>Senior level</v>
      </c>
    </row>
    <row r="2898" spans="1:15" x14ac:dyDescent="0.3">
      <c r="A2898" t="s">
        <v>19625</v>
      </c>
      <c r="B2898" t="s">
        <v>19626</v>
      </c>
      <c r="C2898" t="s">
        <v>326</v>
      </c>
      <c r="D2898" t="s">
        <v>19627</v>
      </c>
      <c r="E2898" t="s">
        <v>19628</v>
      </c>
      <c r="F2898" t="s">
        <v>5206</v>
      </c>
      <c r="G2898" t="s">
        <v>4372</v>
      </c>
      <c r="H2898" t="s">
        <v>19629</v>
      </c>
      <c r="I2898">
        <f t="shared" ca="1" si="180"/>
        <v>28</v>
      </c>
      <c r="J2898" t="str">
        <f t="shared" ca="1" si="181"/>
        <v>18-29</v>
      </c>
      <c r="K2898">
        <v>64278.84</v>
      </c>
      <c r="L2898" t="str">
        <f>IF(Workforce[[#This Row],[Salary]]&lt;50000,"30k-49k",IF(Workforce[[#This Row],[Salary]]&lt;70000,"50k-69k",IF(Workforce[[#This Row],[Salary]]&lt;90000,"70k-89k","90k+")))</f>
        <v>50k-69k</v>
      </c>
      <c r="M2898" t="s">
        <v>19630</v>
      </c>
      <c r="N2898">
        <f t="shared" ca="1" si="182"/>
        <v>3</v>
      </c>
      <c r="O2898" t="str">
        <f t="shared" ca="1" si="183"/>
        <v>Intermediate level</v>
      </c>
    </row>
    <row r="2899" spans="1:15" x14ac:dyDescent="0.3">
      <c r="A2899" t="s">
        <v>19631</v>
      </c>
      <c r="B2899" t="s">
        <v>19632</v>
      </c>
      <c r="C2899" t="s">
        <v>44</v>
      </c>
      <c r="D2899" t="s">
        <v>19633</v>
      </c>
      <c r="E2899" t="s">
        <v>19634</v>
      </c>
      <c r="F2899" t="s">
        <v>476</v>
      </c>
      <c r="G2899" t="s">
        <v>19635</v>
      </c>
      <c r="H2899" t="s">
        <v>19636</v>
      </c>
      <c r="I2899">
        <f t="shared" ca="1" si="180"/>
        <v>56</v>
      </c>
      <c r="J2899" t="str">
        <f t="shared" ca="1" si="181"/>
        <v>50-59</v>
      </c>
      <c r="K2899">
        <v>51219.55</v>
      </c>
      <c r="L2899" t="str">
        <f>IF(Workforce[[#This Row],[Salary]]&lt;50000,"30k-49k",IF(Workforce[[#This Row],[Salary]]&lt;70000,"50k-69k",IF(Workforce[[#This Row],[Salary]]&lt;90000,"70k-89k","90k+")))</f>
        <v>50k-69k</v>
      </c>
      <c r="M2899" t="s">
        <v>15419</v>
      </c>
      <c r="N2899">
        <f t="shared" ca="1" si="182"/>
        <v>9</v>
      </c>
      <c r="O2899" t="str">
        <f t="shared" ca="1" si="183"/>
        <v>Senior level</v>
      </c>
    </row>
    <row r="2900" spans="1:15" x14ac:dyDescent="0.3">
      <c r="A2900" t="s">
        <v>19637</v>
      </c>
      <c r="B2900" t="s">
        <v>19638</v>
      </c>
      <c r="C2900" t="s">
        <v>231</v>
      </c>
      <c r="D2900" t="s">
        <v>19639</v>
      </c>
      <c r="E2900" t="s">
        <v>19640</v>
      </c>
      <c r="F2900" t="s">
        <v>5701</v>
      </c>
      <c r="G2900" t="s">
        <v>19641</v>
      </c>
      <c r="H2900" t="s">
        <v>19642</v>
      </c>
      <c r="I2900">
        <f t="shared" ca="1" si="180"/>
        <v>65</v>
      </c>
      <c r="J2900" t="str">
        <f t="shared" ca="1" si="181"/>
        <v>60+</v>
      </c>
      <c r="K2900">
        <v>60270.22</v>
      </c>
      <c r="L2900" t="str">
        <f>IF(Workforce[[#This Row],[Salary]]&lt;50000,"30k-49k",IF(Workforce[[#This Row],[Salary]]&lt;70000,"50k-69k",IF(Workforce[[#This Row],[Salary]]&lt;90000,"70k-89k","90k+")))</f>
        <v>50k-69k</v>
      </c>
      <c r="M2900" t="s">
        <v>5590</v>
      </c>
      <c r="N2900">
        <f t="shared" ca="1" si="182"/>
        <v>7</v>
      </c>
      <c r="O2900" t="str">
        <f t="shared" ca="1" si="183"/>
        <v>Senior level</v>
      </c>
    </row>
    <row r="2901" spans="1:15" x14ac:dyDescent="0.3">
      <c r="A2901" t="s">
        <v>19643</v>
      </c>
      <c r="B2901" t="s">
        <v>19644</v>
      </c>
      <c r="C2901" t="s">
        <v>142</v>
      </c>
      <c r="D2901" t="s">
        <v>19645</v>
      </c>
      <c r="E2901" t="s">
        <v>19646</v>
      </c>
      <c r="F2901" t="s">
        <v>4148</v>
      </c>
      <c r="G2901" t="s">
        <v>19647</v>
      </c>
      <c r="H2901" t="s">
        <v>19648</v>
      </c>
      <c r="I2901">
        <f t="shared" ca="1" si="180"/>
        <v>31</v>
      </c>
      <c r="J2901" t="str">
        <f t="shared" ca="1" si="181"/>
        <v>30-39</v>
      </c>
      <c r="K2901">
        <v>42645.98</v>
      </c>
      <c r="L2901" t="str">
        <f>IF(Workforce[[#This Row],[Salary]]&lt;50000,"30k-49k",IF(Workforce[[#This Row],[Salary]]&lt;70000,"50k-69k",IF(Workforce[[#This Row],[Salary]]&lt;90000,"70k-89k","90k+")))</f>
        <v>30k-49k</v>
      </c>
      <c r="M2901" t="s">
        <v>19649</v>
      </c>
      <c r="N2901">
        <f t="shared" ca="1" si="182"/>
        <v>9</v>
      </c>
      <c r="O2901" t="str">
        <f t="shared" ca="1" si="183"/>
        <v>Senior level</v>
      </c>
    </row>
    <row r="2902" spans="1:15" x14ac:dyDescent="0.3">
      <c r="A2902" t="s">
        <v>19650</v>
      </c>
      <c r="B2902" t="s">
        <v>19651</v>
      </c>
      <c r="C2902" t="s">
        <v>222</v>
      </c>
      <c r="D2902" t="s">
        <v>19652</v>
      </c>
      <c r="E2902" t="s">
        <v>19653</v>
      </c>
      <c r="F2902" t="s">
        <v>710</v>
      </c>
      <c r="G2902" t="s">
        <v>19654</v>
      </c>
      <c r="H2902" t="s">
        <v>15693</v>
      </c>
      <c r="I2902">
        <f t="shared" ca="1" si="180"/>
        <v>24</v>
      </c>
      <c r="J2902" t="str">
        <f t="shared" ca="1" si="181"/>
        <v>18-29</v>
      </c>
      <c r="K2902">
        <v>99302.46</v>
      </c>
      <c r="L2902" t="str">
        <f>IF(Workforce[[#This Row],[Salary]]&lt;50000,"30k-49k",IF(Workforce[[#This Row],[Salary]]&lt;70000,"50k-69k",IF(Workforce[[#This Row],[Salary]]&lt;90000,"70k-89k","90k+")))</f>
        <v>90k+</v>
      </c>
      <c r="M2902" t="s">
        <v>16391</v>
      </c>
      <c r="N2902">
        <f t="shared" ca="1" si="182"/>
        <v>1</v>
      </c>
      <c r="O2902" t="str">
        <f t="shared" ca="1" si="183"/>
        <v>Beginner</v>
      </c>
    </row>
    <row r="2903" spans="1:15" x14ac:dyDescent="0.3">
      <c r="A2903" t="s">
        <v>11827</v>
      </c>
      <c r="B2903" t="s">
        <v>19655</v>
      </c>
      <c r="C2903" t="s">
        <v>1043</v>
      </c>
      <c r="D2903" t="s">
        <v>19656</v>
      </c>
      <c r="E2903" t="s">
        <v>19657</v>
      </c>
      <c r="F2903" t="s">
        <v>3126</v>
      </c>
      <c r="G2903" t="s">
        <v>19658</v>
      </c>
      <c r="H2903" t="s">
        <v>19659</v>
      </c>
      <c r="I2903">
        <f t="shared" ca="1" si="180"/>
        <v>27</v>
      </c>
      <c r="J2903" t="str">
        <f t="shared" ca="1" si="181"/>
        <v>18-29</v>
      </c>
      <c r="K2903">
        <v>109906.5</v>
      </c>
      <c r="L2903" t="str">
        <f>IF(Workforce[[#This Row],[Salary]]&lt;50000,"30k-49k",IF(Workforce[[#This Row],[Salary]]&lt;70000,"50k-69k",IF(Workforce[[#This Row],[Salary]]&lt;90000,"70k-89k","90k+")))</f>
        <v>90k+</v>
      </c>
      <c r="M2903" t="s">
        <v>19660</v>
      </c>
      <c r="N2903">
        <f t="shared" ca="1" si="182"/>
        <v>5</v>
      </c>
      <c r="O2903" t="str">
        <f t="shared" ca="1" si="183"/>
        <v>Intermediate level</v>
      </c>
    </row>
    <row r="2904" spans="1:15" x14ac:dyDescent="0.3">
      <c r="A2904" t="s">
        <v>19661</v>
      </c>
      <c r="B2904" t="s">
        <v>19662</v>
      </c>
      <c r="C2904" t="s">
        <v>115</v>
      </c>
      <c r="D2904" t="s">
        <v>19663</v>
      </c>
      <c r="E2904" t="s">
        <v>19664</v>
      </c>
      <c r="F2904" t="s">
        <v>1210</v>
      </c>
      <c r="G2904" t="s">
        <v>9106</v>
      </c>
      <c r="H2904" t="s">
        <v>19665</v>
      </c>
      <c r="I2904">
        <f t="shared" ca="1" si="180"/>
        <v>63</v>
      </c>
      <c r="J2904" t="str">
        <f t="shared" ca="1" si="181"/>
        <v>60+</v>
      </c>
      <c r="K2904">
        <v>83100.87</v>
      </c>
      <c r="L2904" t="str">
        <f>IF(Workforce[[#This Row],[Salary]]&lt;50000,"30k-49k",IF(Workforce[[#This Row],[Salary]]&lt;70000,"50k-69k",IF(Workforce[[#This Row],[Salary]]&lt;90000,"70k-89k","90k+")))</f>
        <v>70k-89k</v>
      </c>
      <c r="M2904" t="s">
        <v>7543</v>
      </c>
      <c r="N2904">
        <f t="shared" ca="1" si="182"/>
        <v>3</v>
      </c>
      <c r="O2904" t="str">
        <f t="shared" ca="1" si="183"/>
        <v>Intermediate level</v>
      </c>
    </row>
    <row r="2905" spans="1:15" x14ac:dyDescent="0.3">
      <c r="A2905" t="s">
        <v>19666</v>
      </c>
      <c r="B2905" t="s">
        <v>19667</v>
      </c>
      <c r="C2905" t="s">
        <v>240</v>
      </c>
      <c r="D2905" t="s">
        <v>19668</v>
      </c>
      <c r="E2905" t="s">
        <v>19669</v>
      </c>
      <c r="F2905" t="s">
        <v>1123</v>
      </c>
      <c r="G2905" t="s">
        <v>19670</v>
      </c>
      <c r="H2905" t="s">
        <v>19671</v>
      </c>
      <c r="I2905">
        <f t="shared" ca="1" si="180"/>
        <v>26</v>
      </c>
      <c r="J2905" t="str">
        <f t="shared" ca="1" si="181"/>
        <v>18-29</v>
      </c>
      <c r="K2905">
        <v>83934.77</v>
      </c>
      <c r="L2905" t="str">
        <f>IF(Workforce[[#This Row],[Salary]]&lt;50000,"30k-49k",IF(Workforce[[#This Row],[Salary]]&lt;70000,"50k-69k",IF(Workforce[[#This Row],[Salary]]&lt;90000,"70k-89k","90k+")))</f>
        <v>70k-89k</v>
      </c>
      <c r="M2905" t="s">
        <v>3924</v>
      </c>
      <c r="N2905">
        <f t="shared" ca="1" si="182"/>
        <v>6</v>
      </c>
      <c r="O2905" t="str">
        <f t="shared" ca="1" si="183"/>
        <v>Intermediate level</v>
      </c>
    </row>
    <row r="2906" spans="1:15" x14ac:dyDescent="0.3">
      <c r="A2906" t="s">
        <v>19672</v>
      </c>
      <c r="B2906" t="s">
        <v>19673</v>
      </c>
      <c r="C2906" t="s">
        <v>317</v>
      </c>
      <c r="D2906" t="s">
        <v>19674</v>
      </c>
      <c r="E2906" t="s">
        <v>19675</v>
      </c>
      <c r="F2906" t="s">
        <v>17266</v>
      </c>
      <c r="G2906" t="s">
        <v>19676</v>
      </c>
      <c r="H2906" t="s">
        <v>19677</v>
      </c>
      <c r="I2906">
        <f t="shared" ca="1" si="180"/>
        <v>25</v>
      </c>
      <c r="J2906" t="str">
        <f t="shared" ca="1" si="181"/>
        <v>18-29</v>
      </c>
      <c r="K2906">
        <v>80430.710000000006</v>
      </c>
      <c r="L2906" t="str">
        <f>IF(Workforce[[#This Row],[Salary]]&lt;50000,"30k-49k",IF(Workforce[[#This Row],[Salary]]&lt;70000,"50k-69k",IF(Workforce[[#This Row],[Salary]]&lt;90000,"70k-89k","90k+")))</f>
        <v>70k-89k</v>
      </c>
      <c r="M2906" t="s">
        <v>19678</v>
      </c>
      <c r="N2906">
        <f t="shared" ca="1" si="182"/>
        <v>3</v>
      </c>
      <c r="O2906" t="str">
        <f t="shared" ca="1" si="183"/>
        <v>Intermediate level</v>
      </c>
    </row>
    <row r="2907" spans="1:15" x14ac:dyDescent="0.3">
      <c r="A2907" t="s">
        <v>19679</v>
      </c>
      <c r="B2907" t="s">
        <v>19680</v>
      </c>
      <c r="C2907" t="s">
        <v>580</v>
      </c>
      <c r="D2907" t="s">
        <v>19681</v>
      </c>
      <c r="E2907" t="s">
        <v>19682</v>
      </c>
      <c r="F2907" t="s">
        <v>5031</v>
      </c>
      <c r="G2907" t="s">
        <v>19683</v>
      </c>
      <c r="H2907" t="s">
        <v>19684</v>
      </c>
      <c r="I2907">
        <f t="shared" ca="1" si="180"/>
        <v>63</v>
      </c>
      <c r="J2907" t="str">
        <f t="shared" ca="1" si="181"/>
        <v>60+</v>
      </c>
      <c r="K2907">
        <v>92020.76</v>
      </c>
      <c r="L2907" t="str">
        <f>IF(Workforce[[#This Row],[Salary]]&lt;50000,"30k-49k",IF(Workforce[[#This Row],[Salary]]&lt;70000,"50k-69k",IF(Workforce[[#This Row],[Salary]]&lt;90000,"70k-89k","90k+")))</f>
        <v>90k+</v>
      </c>
      <c r="M2907" t="s">
        <v>14261</v>
      </c>
      <c r="N2907">
        <f t="shared" ca="1" si="182"/>
        <v>3</v>
      </c>
      <c r="O2907" t="str">
        <f t="shared" ca="1" si="183"/>
        <v>Intermediate level</v>
      </c>
    </row>
    <row r="2908" spans="1:15" x14ac:dyDescent="0.3">
      <c r="A2908" t="s">
        <v>19685</v>
      </c>
      <c r="B2908" t="s">
        <v>19686</v>
      </c>
      <c r="C2908" t="s">
        <v>106</v>
      </c>
      <c r="D2908" t="s">
        <v>19687</v>
      </c>
      <c r="E2908" t="s">
        <v>19688</v>
      </c>
      <c r="F2908" t="s">
        <v>6132</v>
      </c>
      <c r="G2908" t="s">
        <v>19689</v>
      </c>
      <c r="H2908" t="s">
        <v>9167</v>
      </c>
      <c r="I2908">
        <f t="shared" ca="1" si="180"/>
        <v>41</v>
      </c>
      <c r="J2908" t="str">
        <f t="shared" ca="1" si="181"/>
        <v>40-49</v>
      </c>
      <c r="K2908">
        <v>91448.6</v>
      </c>
      <c r="L2908" t="str">
        <f>IF(Workforce[[#This Row],[Salary]]&lt;50000,"30k-49k",IF(Workforce[[#This Row],[Salary]]&lt;70000,"50k-69k",IF(Workforce[[#This Row],[Salary]]&lt;90000,"70k-89k","90k+")))</f>
        <v>90k+</v>
      </c>
      <c r="M2908" t="s">
        <v>6671</v>
      </c>
      <c r="N2908">
        <f t="shared" ca="1" si="182"/>
        <v>1</v>
      </c>
      <c r="O2908" t="str">
        <f t="shared" ca="1" si="183"/>
        <v>Beginner</v>
      </c>
    </row>
    <row r="2909" spans="1:15" x14ac:dyDescent="0.3">
      <c r="A2909" t="s">
        <v>19690</v>
      </c>
      <c r="B2909" t="s">
        <v>19691</v>
      </c>
      <c r="C2909" t="s">
        <v>748</v>
      </c>
      <c r="D2909" t="s">
        <v>19692</v>
      </c>
      <c r="E2909" t="s">
        <v>19693</v>
      </c>
      <c r="F2909" t="s">
        <v>3957</v>
      </c>
      <c r="G2909" t="s">
        <v>19694</v>
      </c>
      <c r="H2909" t="s">
        <v>19695</v>
      </c>
      <c r="I2909">
        <f t="shared" ca="1" si="180"/>
        <v>41</v>
      </c>
      <c r="J2909" t="str">
        <f t="shared" ca="1" si="181"/>
        <v>40-49</v>
      </c>
      <c r="K2909">
        <v>78902.679999999993</v>
      </c>
      <c r="L2909" t="str">
        <f>IF(Workforce[[#This Row],[Salary]]&lt;50000,"30k-49k",IF(Workforce[[#This Row],[Salary]]&lt;70000,"50k-69k",IF(Workforce[[#This Row],[Salary]]&lt;90000,"70k-89k","90k+")))</f>
        <v>70k-89k</v>
      </c>
      <c r="M2909" t="s">
        <v>9199</v>
      </c>
      <c r="N2909">
        <f t="shared" ca="1" si="182"/>
        <v>9</v>
      </c>
      <c r="O2909" t="str">
        <f t="shared" ca="1" si="183"/>
        <v>Senior level</v>
      </c>
    </row>
    <row r="2910" spans="1:15" x14ac:dyDescent="0.3">
      <c r="A2910" t="s">
        <v>19696</v>
      </c>
      <c r="B2910" t="s">
        <v>19697</v>
      </c>
      <c r="C2910" t="s">
        <v>774</v>
      </c>
      <c r="D2910" t="s">
        <v>19698</v>
      </c>
      <c r="E2910" t="s">
        <v>19699</v>
      </c>
      <c r="F2910" t="s">
        <v>1872</v>
      </c>
      <c r="G2910" t="s">
        <v>19700</v>
      </c>
      <c r="H2910" t="s">
        <v>19701</v>
      </c>
      <c r="I2910">
        <f t="shared" ca="1" si="180"/>
        <v>36</v>
      </c>
      <c r="J2910" t="str">
        <f t="shared" ca="1" si="181"/>
        <v>30-39</v>
      </c>
      <c r="K2910">
        <v>33657.33</v>
      </c>
      <c r="L2910" t="str">
        <f>IF(Workforce[[#This Row],[Salary]]&lt;50000,"30k-49k",IF(Workforce[[#This Row],[Salary]]&lt;70000,"50k-69k",IF(Workforce[[#This Row],[Salary]]&lt;90000,"70k-89k","90k+")))</f>
        <v>30k-49k</v>
      </c>
      <c r="M2910" t="s">
        <v>19702</v>
      </c>
      <c r="N2910">
        <f t="shared" ca="1" si="182"/>
        <v>2</v>
      </c>
      <c r="O2910" t="str">
        <f t="shared" ca="1" si="183"/>
        <v>Beginner</v>
      </c>
    </row>
    <row r="2911" spans="1:15" x14ac:dyDescent="0.3">
      <c r="A2911" t="s">
        <v>19703</v>
      </c>
      <c r="B2911" t="s">
        <v>19704</v>
      </c>
      <c r="C2911" t="s">
        <v>2086</v>
      </c>
      <c r="D2911" t="s">
        <v>19705</v>
      </c>
      <c r="E2911" t="s">
        <v>19706</v>
      </c>
      <c r="F2911" t="s">
        <v>7582</v>
      </c>
      <c r="G2911" t="s">
        <v>19707</v>
      </c>
      <c r="H2911" t="s">
        <v>19708</v>
      </c>
      <c r="I2911">
        <f t="shared" ca="1" si="180"/>
        <v>65</v>
      </c>
      <c r="J2911" t="str">
        <f t="shared" ca="1" si="181"/>
        <v>60+</v>
      </c>
      <c r="K2911">
        <v>81537.37</v>
      </c>
      <c r="L2911" t="str">
        <f>IF(Workforce[[#This Row],[Salary]]&lt;50000,"30k-49k",IF(Workforce[[#This Row],[Salary]]&lt;70000,"50k-69k",IF(Workforce[[#This Row],[Salary]]&lt;90000,"70k-89k","90k+")))</f>
        <v>70k-89k</v>
      </c>
      <c r="M2911" t="s">
        <v>19709</v>
      </c>
      <c r="N2911">
        <f t="shared" ca="1" si="182"/>
        <v>10</v>
      </c>
      <c r="O2911" t="str">
        <f t="shared" ca="1" si="183"/>
        <v>Senior level</v>
      </c>
    </row>
    <row r="2912" spans="1:15" x14ac:dyDescent="0.3">
      <c r="A2912" t="s">
        <v>19710</v>
      </c>
      <c r="B2912" t="s">
        <v>19711</v>
      </c>
      <c r="C2912" t="s">
        <v>400</v>
      </c>
      <c r="D2912" t="s">
        <v>19712</v>
      </c>
      <c r="E2912" t="s">
        <v>19713</v>
      </c>
      <c r="F2912" t="s">
        <v>1596</v>
      </c>
      <c r="G2912" t="s">
        <v>19714</v>
      </c>
      <c r="H2912" t="s">
        <v>19715</v>
      </c>
      <c r="I2912">
        <f t="shared" ca="1" si="180"/>
        <v>41</v>
      </c>
      <c r="J2912" t="str">
        <f t="shared" ca="1" si="181"/>
        <v>40-49</v>
      </c>
      <c r="K2912">
        <v>116729.02</v>
      </c>
      <c r="L2912" t="str">
        <f>IF(Workforce[[#This Row],[Salary]]&lt;50000,"30k-49k",IF(Workforce[[#This Row],[Salary]]&lt;70000,"50k-69k",IF(Workforce[[#This Row],[Salary]]&lt;90000,"70k-89k","90k+")))</f>
        <v>90k+</v>
      </c>
      <c r="M2912" t="s">
        <v>19716</v>
      </c>
      <c r="N2912">
        <f t="shared" ca="1" si="182"/>
        <v>3</v>
      </c>
      <c r="O2912" t="str">
        <f t="shared" ca="1" si="183"/>
        <v>Intermediate level</v>
      </c>
    </row>
    <row r="2913" spans="1:15" x14ac:dyDescent="0.3">
      <c r="A2913" t="s">
        <v>19717</v>
      </c>
      <c r="B2913" t="s">
        <v>19718</v>
      </c>
      <c r="C2913" t="s">
        <v>151</v>
      </c>
      <c r="D2913" t="s">
        <v>19719</v>
      </c>
      <c r="E2913" t="s">
        <v>19720</v>
      </c>
      <c r="F2913" t="s">
        <v>17246</v>
      </c>
      <c r="G2913" t="s">
        <v>19721</v>
      </c>
      <c r="H2913" t="s">
        <v>19722</v>
      </c>
      <c r="I2913">
        <f t="shared" ca="1" si="180"/>
        <v>34</v>
      </c>
      <c r="J2913" t="str">
        <f t="shared" ca="1" si="181"/>
        <v>30-39</v>
      </c>
      <c r="K2913">
        <v>102813.75999999999</v>
      </c>
      <c r="L2913" t="str">
        <f>IF(Workforce[[#This Row],[Salary]]&lt;50000,"30k-49k",IF(Workforce[[#This Row],[Salary]]&lt;70000,"50k-69k",IF(Workforce[[#This Row],[Salary]]&lt;90000,"70k-89k","90k+")))</f>
        <v>90k+</v>
      </c>
      <c r="M2913" t="s">
        <v>19723</v>
      </c>
      <c r="N2913">
        <f t="shared" ca="1" si="182"/>
        <v>9</v>
      </c>
      <c r="O2913" t="str">
        <f t="shared" ca="1" si="183"/>
        <v>Senior level</v>
      </c>
    </row>
    <row r="2914" spans="1:15" x14ac:dyDescent="0.3">
      <c r="A2914" t="s">
        <v>19724</v>
      </c>
      <c r="B2914" t="s">
        <v>19725</v>
      </c>
      <c r="C2914" t="s">
        <v>1043</v>
      </c>
      <c r="D2914" t="s">
        <v>19726</v>
      </c>
      <c r="E2914" t="s">
        <v>19727</v>
      </c>
      <c r="F2914" t="s">
        <v>1022</v>
      </c>
      <c r="G2914" t="s">
        <v>19728</v>
      </c>
      <c r="H2914" t="s">
        <v>19729</v>
      </c>
      <c r="I2914">
        <f t="shared" ca="1" si="180"/>
        <v>47</v>
      </c>
      <c r="J2914" t="str">
        <f t="shared" ca="1" si="181"/>
        <v>40-49</v>
      </c>
      <c r="K2914">
        <v>58114.38</v>
      </c>
      <c r="L2914" t="str">
        <f>IF(Workforce[[#This Row],[Salary]]&lt;50000,"30k-49k",IF(Workforce[[#This Row],[Salary]]&lt;70000,"50k-69k",IF(Workforce[[#This Row],[Salary]]&lt;90000,"70k-89k","90k+")))</f>
        <v>50k-69k</v>
      </c>
      <c r="M2914" t="s">
        <v>2127</v>
      </c>
      <c r="N2914">
        <f t="shared" ca="1" si="182"/>
        <v>9</v>
      </c>
      <c r="O2914" t="str">
        <f t="shared" ca="1" si="183"/>
        <v>Senior level</v>
      </c>
    </row>
    <row r="2915" spans="1:15" x14ac:dyDescent="0.3">
      <c r="A2915" t="s">
        <v>19730</v>
      </c>
      <c r="B2915" t="s">
        <v>19731</v>
      </c>
      <c r="C2915" t="s">
        <v>1004</v>
      </c>
      <c r="D2915" t="s">
        <v>19732</v>
      </c>
      <c r="E2915" t="s">
        <v>19733</v>
      </c>
      <c r="F2915" t="s">
        <v>2975</v>
      </c>
      <c r="G2915" t="s">
        <v>19734</v>
      </c>
      <c r="H2915" t="s">
        <v>17154</v>
      </c>
      <c r="I2915">
        <f t="shared" ca="1" si="180"/>
        <v>53</v>
      </c>
      <c r="J2915" t="str">
        <f t="shared" ca="1" si="181"/>
        <v>50-59</v>
      </c>
      <c r="K2915">
        <v>46718.1</v>
      </c>
      <c r="L2915" t="str">
        <f>IF(Workforce[[#This Row],[Salary]]&lt;50000,"30k-49k",IF(Workforce[[#This Row],[Salary]]&lt;70000,"50k-69k",IF(Workforce[[#This Row],[Salary]]&lt;90000,"70k-89k","90k+")))</f>
        <v>30k-49k</v>
      </c>
      <c r="M2915" t="s">
        <v>1567</v>
      </c>
      <c r="N2915">
        <f t="shared" ca="1" si="182"/>
        <v>10</v>
      </c>
      <c r="O2915" t="str">
        <f t="shared" ca="1" si="183"/>
        <v>Senior level</v>
      </c>
    </row>
    <row r="2916" spans="1:15" x14ac:dyDescent="0.3">
      <c r="A2916" t="s">
        <v>19735</v>
      </c>
      <c r="B2916" t="s">
        <v>19736</v>
      </c>
      <c r="C2916" t="s">
        <v>35</v>
      </c>
      <c r="D2916" t="s">
        <v>19737</v>
      </c>
      <c r="E2916" t="s">
        <v>19738</v>
      </c>
      <c r="F2916" t="s">
        <v>1257</v>
      </c>
      <c r="G2916" t="s">
        <v>19739</v>
      </c>
      <c r="H2916" t="s">
        <v>19740</v>
      </c>
      <c r="I2916">
        <f t="shared" ca="1" si="180"/>
        <v>24</v>
      </c>
      <c r="J2916" t="str">
        <f t="shared" ca="1" si="181"/>
        <v>18-29</v>
      </c>
      <c r="K2916">
        <v>43104.2</v>
      </c>
      <c r="L2916" t="str">
        <f>IF(Workforce[[#This Row],[Salary]]&lt;50000,"30k-49k",IF(Workforce[[#This Row],[Salary]]&lt;70000,"50k-69k",IF(Workforce[[#This Row],[Salary]]&lt;90000,"70k-89k","90k+")))</f>
        <v>30k-49k</v>
      </c>
      <c r="M2916" t="s">
        <v>19741</v>
      </c>
      <c r="N2916">
        <f t="shared" ca="1" si="182"/>
        <v>5</v>
      </c>
      <c r="O2916" t="str">
        <f t="shared" ca="1" si="183"/>
        <v>Intermediate level</v>
      </c>
    </row>
    <row r="2917" spans="1:15" x14ac:dyDescent="0.3">
      <c r="A2917" t="s">
        <v>19742</v>
      </c>
      <c r="B2917" t="s">
        <v>19743</v>
      </c>
      <c r="C2917" t="s">
        <v>539</v>
      </c>
      <c r="D2917" t="s">
        <v>19744</v>
      </c>
      <c r="E2917" t="s">
        <v>19745</v>
      </c>
      <c r="F2917" t="s">
        <v>394</v>
      </c>
      <c r="G2917" t="s">
        <v>19746</v>
      </c>
      <c r="H2917" t="s">
        <v>10300</v>
      </c>
      <c r="I2917">
        <f t="shared" ca="1" si="180"/>
        <v>23</v>
      </c>
      <c r="J2917" t="str">
        <f t="shared" ca="1" si="181"/>
        <v>18-29</v>
      </c>
      <c r="K2917">
        <v>50725.07</v>
      </c>
      <c r="L2917" t="str">
        <f>IF(Workforce[[#This Row],[Salary]]&lt;50000,"30k-49k",IF(Workforce[[#This Row],[Salary]]&lt;70000,"50k-69k",IF(Workforce[[#This Row],[Salary]]&lt;90000,"70k-89k","90k+")))</f>
        <v>50k-69k</v>
      </c>
      <c r="M2917" t="s">
        <v>19747</v>
      </c>
      <c r="N2917">
        <f t="shared" ca="1" si="182"/>
        <v>2</v>
      </c>
      <c r="O2917" t="str">
        <f t="shared" ca="1" si="183"/>
        <v>Beginner</v>
      </c>
    </row>
    <row r="2918" spans="1:15" x14ac:dyDescent="0.3">
      <c r="A2918" t="s">
        <v>19748</v>
      </c>
      <c r="B2918" t="s">
        <v>19749</v>
      </c>
      <c r="C2918" t="s">
        <v>196</v>
      </c>
      <c r="D2918" t="s">
        <v>19750</v>
      </c>
      <c r="E2918" t="s">
        <v>19751</v>
      </c>
      <c r="F2918" t="s">
        <v>1673</v>
      </c>
      <c r="G2918" t="s">
        <v>19752</v>
      </c>
      <c r="H2918" t="s">
        <v>19753</v>
      </c>
      <c r="I2918">
        <f t="shared" ca="1" si="180"/>
        <v>62</v>
      </c>
      <c r="J2918" t="str">
        <f t="shared" ca="1" si="181"/>
        <v>60+</v>
      </c>
      <c r="K2918">
        <v>113285.83</v>
      </c>
      <c r="L2918" t="str">
        <f>IF(Workforce[[#This Row],[Salary]]&lt;50000,"30k-49k",IF(Workforce[[#This Row],[Salary]]&lt;70000,"50k-69k",IF(Workforce[[#This Row],[Salary]]&lt;90000,"70k-89k","90k+")))</f>
        <v>90k+</v>
      </c>
      <c r="M2918" t="s">
        <v>13239</v>
      </c>
      <c r="N2918">
        <f t="shared" ca="1" si="182"/>
        <v>1</v>
      </c>
      <c r="O2918" t="str">
        <f t="shared" ca="1" si="183"/>
        <v>Beginner</v>
      </c>
    </row>
    <row r="2919" spans="1:15" x14ac:dyDescent="0.3">
      <c r="A2919" t="s">
        <v>19754</v>
      </c>
      <c r="B2919" t="s">
        <v>19755</v>
      </c>
      <c r="C2919" t="s">
        <v>995</v>
      </c>
      <c r="D2919" t="s">
        <v>19756</v>
      </c>
      <c r="E2919" t="s">
        <v>19757</v>
      </c>
      <c r="F2919" t="s">
        <v>1626</v>
      </c>
      <c r="G2919" t="s">
        <v>19758</v>
      </c>
      <c r="H2919" t="s">
        <v>7784</v>
      </c>
      <c r="I2919">
        <f t="shared" ca="1" si="180"/>
        <v>19</v>
      </c>
      <c r="J2919" t="str">
        <f t="shared" ca="1" si="181"/>
        <v>18-29</v>
      </c>
      <c r="K2919">
        <v>56010.23</v>
      </c>
      <c r="L2919" t="str">
        <f>IF(Workforce[[#This Row],[Salary]]&lt;50000,"30k-49k",IF(Workforce[[#This Row],[Salary]]&lt;70000,"50k-69k",IF(Workforce[[#This Row],[Salary]]&lt;90000,"70k-89k","90k+")))</f>
        <v>50k-69k</v>
      </c>
      <c r="M2919" t="s">
        <v>19759</v>
      </c>
      <c r="N2919">
        <f t="shared" ca="1" si="182"/>
        <v>5</v>
      </c>
      <c r="O2919" t="str">
        <f t="shared" ca="1" si="183"/>
        <v>Intermediate level</v>
      </c>
    </row>
    <row r="2920" spans="1:15" x14ac:dyDescent="0.3">
      <c r="A2920" t="s">
        <v>19760</v>
      </c>
      <c r="B2920" t="s">
        <v>19761</v>
      </c>
      <c r="C2920" t="s">
        <v>178</v>
      </c>
      <c r="D2920" t="s">
        <v>19762</v>
      </c>
      <c r="E2920" t="s">
        <v>19763</v>
      </c>
      <c r="F2920" t="s">
        <v>4895</v>
      </c>
      <c r="G2920" t="s">
        <v>19764</v>
      </c>
      <c r="H2920" t="s">
        <v>19765</v>
      </c>
      <c r="I2920">
        <f t="shared" ca="1" si="180"/>
        <v>22</v>
      </c>
      <c r="J2920" t="str">
        <f t="shared" ca="1" si="181"/>
        <v>18-29</v>
      </c>
      <c r="K2920">
        <v>108803.28</v>
      </c>
      <c r="L2920" t="str">
        <f>IF(Workforce[[#This Row],[Salary]]&lt;50000,"30k-49k",IF(Workforce[[#This Row],[Salary]]&lt;70000,"50k-69k",IF(Workforce[[#This Row],[Salary]]&lt;90000,"70k-89k","90k+")))</f>
        <v>90k+</v>
      </c>
      <c r="M2920" t="s">
        <v>6019</v>
      </c>
      <c r="N2920">
        <f t="shared" ca="1" si="182"/>
        <v>6</v>
      </c>
      <c r="O2920" t="str">
        <f t="shared" ca="1" si="183"/>
        <v>Intermediate level</v>
      </c>
    </row>
    <row r="2921" spans="1:15" x14ac:dyDescent="0.3">
      <c r="A2921" t="s">
        <v>19766</v>
      </c>
      <c r="B2921" t="s">
        <v>19767</v>
      </c>
      <c r="C2921" t="s">
        <v>97</v>
      </c>
      <c r="D2921" t="s">
        <v>19768</v>
      </c>
      <c r="E2921" t="s">
        <v>19769</v>
      </c>
      <c r="F2921" t="s">
        <v>4170</v>
      </c>
      <c r="G2921" t="s">
        <v>1827</v>
      </c>
      <c r="H2921" t="s">
        <v>19770</v>
      </c>
      <c r="I2921">
        <f t="shared" ca="1" si="180"/>
        <v>60</v>
      </c>
      <c r="J2921" t="str">
        <f t="shared" ca="1" si="181"/>
        <v>60+</v>
      </c>
      <c r="K2921">
        <v>81596.509999999995</v>
      </c>
      <c r="L2921" t="str">
        <f>IF(Workforce[[#This Row],[Salary]]&lt;50000,"30k-49k",IF(Workforce[[#This Row],[Salary]]&lt;70000,"50k-69k",IF(Workforce[[#This Row],[Salary]]&lt;90000,"70k-89k","90k+")))</f>
        <v>70k-89k</v>
      </c>
      <c r="M2921" t="s">
        <v>5761</v>
      </c>
      <c r="N2921">
        <f t="shared" ca="1" si="182"/>
        <v>10</v>
      </c>
      <c r="O2921" t="str">
        <f t="shared" ca="1" si="183"/>
        <v>Senior level</v>
      </c>
    </row>
    <row r="2922" spans="1:15" x14ac:dyDescent="0.3">
      <c r="A2922" t="s">
        <v>19771</v>
      </c>
      <c r="B2922" t="s">
        <v>19772</v>
      </c>
      <c r="C2922" t="s">
        <v>169</v>
      </c>
      <c r="D2922" t="s">
        <v>19773</v>
      </c>
      <c r="E2922" t="s">
        <v>19774</v>
      </c>
      <c r="F2922" t="s">
        <v>6966</v>
      </c>
      <c r="G2922" t="s">
        <v>19775</v>
      </c>
      <c r="H2922" t="s">
        <v>19776</v>
      </c>
      <c r="I2922">
        <f t="shared" ca="1" si="180"/>
        <v>52</v>
      </c>
      <c r="J2922" t="str">
        <f t="shared" ca="1" si="181"/>
        <v>50-59</v>
      </c>
      <c r="K2922">
        <v>61807.88</v>
      </c>
      <c r="L2922" t="str">
        <f>IF(Workforce[[#This Row],[Salary]]&lt;50000,"30k-49k",IF(Workforce[[#This Row],[Salary]]&lt;70000,"50k-69k",IF(Workforce[[#This Row],[Salary]]&lt;90000,"70k-89k","90k+")))</f>
        <v>50k-69k</v>
      </c>
      <c r="M2922" t="s">
        <v>19777</v>
      </c>
      <c r="N2922">
        <f t="shared" ca="1" si="182"/>
        <v>7</v>
      </c>
      <c r="O2922" t="str">
        <f t="shared" ca="1" si="183"/>
        <v>Senior level</v>
      </c>
    </row>
    <row r="2923" spans="1:15" x14ac:dyDescent="0.3">
      <c r="A2923" t="s">
        <v>19778</v>
      </c>
      <c r="B2923" t="s">
        <v>19779</v>
      </c>
      <c r="C2923" t="s">
        <v>774</v>
      </c>
      <c r="D2923" t="s">
        <v>19780</v>
      </c>
      <c r="E2923" t="s">
        <v>19781</v>
      </c>
      <c r="F2923" t="s">
        <v>4772</v>
      </c>
      <c r="G2923" t="s">
        <v>10264</v>
      </c>
      <c r="H2923" t="s">
        <v>19782</v>
      </c>
      <c r="I2923">
        <f t="shared" ca="1" si="180"/>
        <v>45</v>
      </c>
      <c r="J2923" t="str">
        <f t="shared" ca="1" si="181"/>
        <v>40-49</v>
      </c>
      <c r="K2923">
        <v>34929.47</v>
      </c>
      <c r="L2923" t="str">
        <f>IF(Workforce[[#This Row],[Salary]]&lt;50000,"30k-49k",IF(Workforce[[#This Row],[Salary]]&lt;70000,"50k-69k",IF(Workforce[[#This Row],[Salary]]&lt;90000,"70k-89k","90k+")))</f>
        <v>30k-49k</v>
      </c>
      <c r="M2923" t="s">
        <v>14124</v>
      </c>
      <c r="N2923">
        <f t="shared" ca="1" si="182"/>
        <v>2</v>
      </c>
      <c r="O2923" t="str">
        <f t="shared" ca="1" si="183"/>
        <v>Beginner</v>
      </c>
    </row>
    <row r="2924" spans="1:15" x14ac:dyDescent="0.3">
      <c r="A2924" t="s">
        <v>19783</v>
      </c>
      <c r="B2924" t="s">
        <v>19784</v>
      </c>
      <c r="C2924" t="s">
        <v>326</v>
      </c>
      <c r="D2924" t="s">
        <v>19785</v>
      </c>
      <c r="E2924" t="s">
        <v>19786</v>
      </c>
      <c r="F2924" t="s">
        <v>3012</v>
      </c>
      <c r="G2924" t="s">
        <v>19787</v>
      </c>
      <c r="H2924" t="s">
        <v>19788</v>
      </c>
      <c r="I2924">
        <f t="shared" ca="1" si="180"/>
        <v>53</v>
      </c>
      <c r="J2924" t="str">
        <f t="shared" ca="1" si="181"/>
        <v>50-59</v>
      </c>
      <c r="K2924">
        <v>42337.07</v>
      </c>
      <c r="L2924" t="str">
        <f>IF(Workforce[[#This Row],[Salary]]&lt;50000,"30k-49k",IF(Workforce[[#This Row],[Salary]]&lt;70000,"50k-69k",IF(Workforce[[#This Row],[Salary]]&lt;90000,"70k-89k","90k+")))</f>
        <v>30k-49k</v>
      </c>
      <c r="M2924" t="s">
        <v>19789</v>
      </c>
      <c r="N2924">
        <f t="shared" ca="1" si="182"/>
        <v>5</v>
      </c>
      <c r="O2924" t="str">
        <f t="shared" ca="1" si="183"/>
        <v>Intermediate level</v>
      </c>
    </row>
    <row r="2925" spans="1:15" x14ac:dyDescent="0.3">
      <c r="A2925" t="s">
        <v>19790</v>
      </c>
      <c r="B2925" t="s">
        <v>19791</v>
      </c>
      <c r="C2925" t="s">
        <v>1004</v>
      </c>
      <c r="D2925" t="s">
        <v>19792</v>
      </c>
      <c r="E2925" t="s">
        <v>19793</v>
      </c>
      <c r="F2925" t="s">
        <v>5870</v>
      </c>
      <c r="G2925" t="s">
        <v>19794</v>
      </c>
      <c r="H2925" t="s">
        <v>19795</v>
      </c>
      <c r="I2925">
        <f t="shared" ca="1" si="180"/>
        <v>21</v>
      </c>
      <c r="J2925" t="str">
        <f t="shared" ca="1" si="181"/>
        <v>18-29</v>
      </c>
      <c r="K2925">
        <v>64102.46</v>
      </c>
      <c r="L2925" t="str">
        <f>IF(Workforce[[#This Row],[Salary]]&lt;50000,"30k-49k",IF(Workforce[[#This Row],[Salary]]&lt;70000,"50k-69k",IF(Workforce[[#This Row],[Salary]]&lt;90000,"70k-89k","90k+")))</f>
        <v>50k-69k</v>
      </c>
      <c r="M2925" t="s">
        <v>19796</v>
      </c>
      <c r="N2925">
        <f t="shared" ca="1" si="182"/>
        <v>2</v>
      </c>
      <c r="O2925" t="str">
        <f t="shared" ca="1" si="183"/>
        <v>Beginner</v>
      </c>
    </row>
    <row r="2926" spans="1:15" x14ac:dyDescent="0.3">
      <c r="A2926" t="s">
        <v>19797</v>
      </c>
      <c r="B2926" t="s">
        <v>19798</v>
      </c>
      <c r="C2926" t="s">
        <v>124</v>
      </c>
      <c r="D2926" t="s">
        <v>19799</v>
      </c>
      <c r="E2926" t="s">
        <v>19800</v>
      </c>
      <c r="F2926" t="s">
        <v>2526</v>
      </c>
      <c r="G2926" t="s">
        <v>19801</v>
      </c>
      <c r="H2926" t="s">
        <v>19802</v>
      </c>
      <c r="I2926">
        <f t="shared" ca="1" si="180"/>
        <v>42</v>
      </c>
      <c r="J2926" t="str">
        <f t="shared" ca="1" si="181"/>
        <v>40-49</v>
      </c>
      <c r="K2926">
        <v>91456.21</v>
      </c>
      <c r="L2926" t="str">
        <f>IF(Workforce[[#This Row],[Salary]]&lt;50000,"30k-49k",IF(Workforce[[#This Row],[Salary]]&lt;70000,"50k-69k",IF(Workforce[[#This Row],[Salary]]&lt;90000,"70k-89k","90k+")))</f>
        <v>90k+</v>
      </c>
      <c r="M2926" t="s">
        <v>2277</v>
      </c>
      <c r="N2926">
        <f t="shared" ca="1" si="182"/>
        <v>8</v>
      </c>
      <c r="O2926" t="str">
        <f t="shared" ca="1" si="183"/>
        <v>Senior level</v>
      </c>
    </row>
    <row r="2927" spans="1:15" x14ac:dyDescent="0.3">
      <c r="A2927" t="s">
        <v>19803</v>
      </c>
      <c r="B2927" t="s">
        <v>19804</v>
      </c>
      <c r="C2927" t="s">
        <v>266</v>
      </c>
      <c r="D2927" t="s">
        <v>19805</v>
      </c>
      <c r="E2927" t="s">
        <v>19806</v>
      </c>
      <c r="F2927" t="s">
        <v>18869</v>
      </c>
      <c r="G2927" t="s">
        <v>19807</v>
      </c>
      <c r="H2927" t="s">
        <v>19808</v>
      </c>
      <c r="I2927">
        <f t="shared" ca="1" si="180"/>
        <v>54</v>
      </c>
      <c r="J2927" t="str">
        <f t="shared" ca="1" si="181"/>
        <v>50-59</v>
      </c>
      <c r="K2927">
        <v>87259.37</v>
      </c>
      <c r="L2927" t="str">
        <f>IF(Workforce[[#This Row],[Salary]]&lt;50000,"30k-49k",IF(Workforce[[#This Row],[Salary]]&lt;70000,"50k-69k",IF(Workforce[[#This Row],[Salary]]&lt;90000,"70k-89k","90k+")))</f>
        <v>70k-89k</v>
      </c>
      <c r="M2927" t="s">
        <v>19809</v>
      </c>
      <c r="N2927">
        <f t="shared" ca="1" si="182"/>
        <v>9</v>
      </c>
      <c r="O2927" t="str">
        <f t="shared" ca="1" si="183"/>
        <v>Senior level</v>
      </c>
    </row>
    <row r="2928" spans="1:15" x14ac:dyDescent="0.3">
      <c r="A2928" t="s">
        <v>19810</v>
      </c>
      <c r="B2928" t="s">
        <v>19811</v>
      </c>
      <c r="C2928" t="s">
        <v>213</v>
      </c>
      <c r="D2928" t="s">
        <v>19812</v>
      </c>
      <c r="E2928" t="s">
        <v>19813</v>
      </c>
      <c r="F2928" t="s">
        <v>8536</v>
      </c>
      <c r="G2928" t="s">
        <v>19814</v>
      </c>
      <c r="H2928" t="s">
        <v>19815</v>
      </c>
      <c r="I2928">
        <f t="shared" ca="1" si="180"/>
        <v>23</v>
      </c>
      <c r="J2928" t="str">
        <f t="shared" ca="1" si="181"/>
        <v>18-29</v>
      </c>
      <c r="K2928">
        <v>63906.32</v>
      </c>
      <c r="L2928" t="str">
        <f>IF(Workforce[[#This Row],[Salary]]&lt;50000,"30k-49k",IF(Workforce[[#This Row],[Salary]]&lt;70000,"50k-69k",IF(Workforce[[#This Row],[Salary]]&lt;90000,"70k-89k","90k+")))</f>
        <v>50k-69k</v>
      </c>
      <c r="M2928" t="s">
        <v>6033</v>
      </c>
      <c r="N2928">
        <f t="shared" ca="1" si="182"/>
        <v>7</v>
      </c>
      <c r="O2928" t="str">
        <f t="shared" ca="1" si="183"/>
        <v>Senior level</v>
      </c>
    </row>
    <row r="2929" spans="1:15" x14ac:dyDescent="0.3">
      <c r="A2929" t="s">
        <v>19816</v>
      </c>
      <c r="B2929" t="s">
        <v>19817</v>
      </c>
      <c r="C2929" t="s">
        <v>187</v>
      </c>
      <c r="D2929" t="s">
        <v>19818</v>
      </c>
      <c r="E2929" t="s">
        <v>19819</v>
      </c>
      <c r="F2929" t="s">
        <v>8249</v>
      </c>
      <c r="G2929" t="s">
        <v>19820</v>
      </c>
      <c r="H2929" t="s">
        <v>19821</v>
      </c>
      <c r="I2929">
        <f t="shared" ca="1" si="180"/>
        <v>56</v>
      </c>
      <c r="J2929" t="str">
        <f t="shared" ca="1" si="181"/>
        <v>50-59</v>
      </c>
      <c r="K2929">
        <v>71142.37</v>
      </c>
      <c r="L2929" t="str">
        <f>IF(Workforce[[#This Row],[Salary]]&lt;50000,"30k-49k",IF(Workforce[[#This Row],[Salary]]&lt;70000,"50k-69k",IF(Workforce[[#This Row],[Salary]]&lt;90000,"70k-89k","90k+")))</f>
        <v>70k-89k</v>
      </c>
      <c r="M2929" t="s">
        <v>19822</v>
      </c>
      <c r="N2929">
        <f t="shared" ca="1" si="182"/>
        <v>6</v>
      </c>
      <c r="O2929" t="str">
        <f t="shared" ca="1" si="183"/>
        <v>Intermediate level</v>
      </c>
    </row>
    <row r="2930" spans="1:15" x14ac:dyDescent="0.3">
      <c r="A2930" t="s">
        <v>19823</v>
      </c>
      <c r="B2930" t="s">
        <v>19824</v>
      </c>
      <c r="C2930" t="s">
        <v>213</v>
      </c>
      <c r="D2930" t="s">
        <v>19825</v>
      </c>
      <c r="E2930" t="s">
        <v>19826</v>
      </c>
      <c r="F2930" t="s">
        <v>10347</v>
      </c>
      <c r="G2930" t="s">
        <v>19827</v>
      </c>
      <c r="H2930" t="s">
        <v>19828</v>
      </c>
      <c r="I2930">
        <f t="shared" ca="1" si="180"/>
        <v>51</v>
      </c>
      <c r="J2930" t="str">
        <f t="shared" ca="1" si="181"/>
        <v>50-59</v>
      </c>
      <c r="K2930">
        <v>101036.55</v>
      </c>
      <c r="L2930" t="str">
        <f>IF(Workforce[[#This Row],[Salary]]&lt;50000,"30k-49k",IF(Workforce[[#This Row],[Salary]]&lt;70000,"50k-69k",IF(Workforce[[#This Row],[Salary]]&lt;90000,"70k-89k","90k+")))</f>
        <v>90k+</v>
      </c>
      <c r="M2930" t="s">
        <v>5905</v>
      </c>
      <c r="N2930">
        <f t="shared" ca="1" si="182"/>
        <v>8</v>
      </c>
      <c r="O2930" t="str">
        <f t="shared" ca="1" si="183"/>
        <v>Senior level</v>
      </c>
    </row>
    <row r="2931" spans="1:15" x14ac:dyDescent="0.3">
      <c r="A2931" t="s">
        <v>19829</v>
      </c>
      <c r="B2931" t="s">
        <v>19830</v>
      </c>
      <c r="C2931" t="s">
        <v>1223</v>
      </c>
      <c r="D2931" t="s">
        <v>19831</v>
      </c>
      <c r="E2931" t="s">
        <v>19832</v>
      </c>
      <c r="F2931" t="s">
        <v>15340</v>
      </c>
      <c r="G2931" t="s">
        <v>19833</v>
      </c>
      <c r="H2931" t="s">
        <v>19834</v>
      </c>
      <c r="I2931">
        <f t="shared" ca="1" si="180"/>
        <v>22</v>
      </c>
      <c r="J2931" t="str">
        <f t="shared" ca="1" si="181"/>
        <v>18-29</v>
      </c>
      <c r="K2931">
        <v>46762.67</v>
      </c>
      <c r="L2931" t="str">
        <f>IF(Workforce[[#This Row],[Salary]]&lt;50000,"30k-49k",IF(Workforce[[#This Row],[Salary]]&lt;70000,"50k-69k",IF(Workforce[[#This Row],[Salary]]&lt;90000,"70k-89k","90k+")))</f>
        <v>30k-49k</v>
      </c>
      <c r="M2931" t="s">
        <v>5404</v>
      </c>
      <c r="N2931">
        <f t="shared" ca="1" si="182"/>
        <v>8</v>
      </c>
      <c r="O2931" t="str">
        <f t="shared" ca="1" si="183"/>
        <v>Senior level</v>
      </c>
    </row>
    <row r="2932" spans="1:15" x14ac:dyDescent="0.3">
      <c r="A2932" t="s">
        <v>19835</v>
      </c>
      <c r="B2932" t="s">
        <v>19836</v>
      </c>
      <c r="C2932" t="s">
        <v>335</v>
      </c>
      <c r="D2932" t="s">
        <v>19837</v>
      </c>
      <c r="E2932" t="s">
        <v>19838</v>
      </c>
      <c r="F2932" t="s">
        <v>6275</v>
      </c>
      <c r="G2932" t="s">
        <v>19839</v>
      </c>
      <c r="H2932" t="s">
        <v>19840</v>
      </c>
      <c r="I2932">
        <f t="shared" ca="1" si="180"/>
        <v>59</v>
      </c>
      <c r="J2932" t="str">
        <f t="shared" ca="1" si="181"/>
        <v>50-59</v>
      </c>
      <c r="K2932">
        <v>70538.47</v>
      </c>
      <c r="L2932" t="str">
        <f>IF(Workforce[[#This Row],[Salary]]&lt;50000,"30k-49k",IF(Workforce[[#This Row],[Salary]]&lt;70000,"50k-69k",IF(Workforce[[#This Row],[Salary]]&lt;90000,"70k-89k","90k+")))</f>
        <v>70k-89k</v>
      </c>
      <c r="M2932" t="s">
        <v>3481</v>
      </c>
      <c r="N2932">
        <f t="shared" ca="1" si="182"/>
        <v>2</v>
      </c>
      <c r="O2932" t="str">
        <f t="shared" ca="1" si="183"/>
        <v>Beginner</v>
      </c>
    </row>
    <row r="2933" spans="1:15" x14ac:dyDescent="0.3">
      <c r="A2933" t="s">
        <v>19841</v>
      </c>
      <c r="B2933" t="s">
        <v>19842</v>
      </c>
      <c r="C2933" t="s">
        <v>151</v>
      </c>
      <c r="D2933" t="s">
        <v>19843</v>
      </c>
      <c r="E2933" t="s">
        <v>19844</v>
      </c>
      <c r="F2933" t="s">
        <v>3199</v>
      </c>
      <c r="G2933" t="s">
        <v>19845</v>
      </c>
      <c r="H2933" t="s">
        <v>19846</v>
      </c>
      <c r="I2933">
        <f t="shared" ca="1" si="180"/>
        <v>51</v>
      </c>
      <c r="J2933" t="str">
        <f t="shared" ca="1" si="181"/>
        <v>50-59</v>
      </c>
      <c r="K2933">
        <v>42829.67</v>
      </c>
      <c r="L2933" t="str">
        <f>IF(Workforce[[#This Row],[Salary]]&lt;50000,"30k-49k",IF(Workforce[[#This Row],[Salary]]&lt;70000,"50k-69k",IF(Workforce[[#This Row],[Salary]]&lt;90000,"70k-89k","90k+")))</f>
        <v>30k-49k</v>
      </c>
      <c r="M2933" t="s">
        <v>1899</v>
      </c>
      <c r="N2933">
        <f t="shared" ca="1" si="182"/>
        <v>4</v>
      </c>
      <c r="O2933" t="str">
        <f t="shared" ca="1" si="183"/>
        <v>Intermediate level</v>
      </c>
    </row>
    <row r="2934" spans="1:15" x14ac:dyDescent="0.3">
      <c r="A2934" t="s">
        <v>19847</v>
      </c>
      <c r="B2934" t="s">
        <v>19848</v>
      </c>
      <c r="C2934" t="s">
        <v>17</v>
      </c>
      <c r="D2934" t="s">
        <v>19849</v>
      </c>
      <c r="E2934" t="s">
        <v>19850</v>
      </c>
      <c r="F2934" t="s">
        <v>3293</v>
      </c>
      <c r="G2934" t="s">
        <v>19851</v>
      </c>
      <c r="H2934" t="s">
        <v>19852</v>
      </c>
      <c r="I2934">
        <f t="shared" ca="1" si="180"/>
        <v>55</v>
      </c>
      <c r="J2934" t="str">
        <f t="shared" ca="1" si="181"/>
        <v>50-59</v>
      </c>
      <c r="K2934">
        <v>39750.93</v>
      </c>
      <c r="L2934" t="str">
        <f>IF(Workforce[[#This Row],[Salary]]&lt;50000,"30k-49k",IF(Workforce[[#This Row],[Salary]]&lt;70000,"50k-69k",IF(Workforce[[#This Row],[Salary]]&lt;90000,"70k-89k","90k+")))</f>
        <v>30k-49k</v>
      </c>
      <c r="M2934" t="s">
        <v>2500</v>
      </c>
      <c r="N2934">
        <f t="shared" ca="1" si="182"/>
        <v>2</v>
      </c>
      <c r="O2934" t="str">
        <f t="shared" ca="1" si="183"/>
        <v>Beginner</v>
      </c>
    </row>
    <row r="2935" spans="1:15" x14ac:dyDescent="0.3">
      <c r="A2935" t="s">
        <v>19853</v>
      </c>
      <c r="B2935" t="s">
        <v>19854</v>
      </c>
      <c r="C2935" t="s">
        <v>151</v>
      </c>
      <c r="D2935" t="s">
        <v>19855</v>
      </c>
      <c r="E2935" t="s">
        <v>19856</v>
      </c>
      <c r="F2935" t="s">
        <v>11398</v>
      </c>
      <c r="G2935" t="s">
        <v>14690</v>
      </c>
      <c r="H2935" t="s">
        <v>19857</v>
      </c>
      <c r="I2935">
        <f t="shared" ca="1" si="180"/>
        <v>40</v>
      </c>
      <c r="J2935" t="str">
        <f t="shared" ca="1" si="181"/>
        <v>40-49</v>
      </c>
      <c r="K2935">
        <v>51969.22</v>
      </c>
      <c r="L2935" t="str">
        <f>IF(Workforce[[#This Row],[Salary]]&lt;50000,"30k-49k",IF(Workforce[[#This Row],[Salary]]&lt;70000,"50k-69k",IF(Workforce[[#This Row],[Salary]]&lt;90000,"70k-89k","90k+")))</f>
        <v>50k-69k</v>
      </c>
      <c r="M2935" t="s">
        <v>18266</v>
      </c>
      <c r="N2935">
        <f t="shared" ca="1" si="182"/>
        <v>5</v>
      </c>
      <c r="O2935" t="str">
        <f t="shared" ca="1" si="183"/>
        <v>Intermediate level</v>
      </c>
    </row>
    <row r="2936" spans="1:15" x14ac:dyDescent="0.3">
      <c r="A2936" t="s">
        <v>19858</v>
      </c>
      <c r="B2936" t="s">
        <v>19859</v>
      </c>
      <c r="C2936" t="s">
        <v>124</v>
      </c>
      <c r="D2936" t="s">
        <v>19860</v>
      </c>
      <c r="E2936" t="s">
        <v>19861</v>
      </c>
      <c r="F2936" t="s">
        <v>525</v>
      </c>
      <c r="G2936" t="s">
        <v>19862</v>
      </c>
      <c r="H2936" t="s">
        <v>13864</v>
      </c>
      <c r="I2936">
        <f t="shared" ca="1" si="180"/>
        <v>64</v>
      </c>
      <c r="J2936" t="str">
        <f t="shared" ca="1" si="181"/>
        <v>60+</v>
      </c>
      <c r="K2936">
        <v>42540.5</v>
      </c>
      <c r="L2936" t="str">
        <f>IF(Workforce[[#This Row],[Salary]]&lt;50000,"30k-49k",IF(Workforce[[#This Row],[Salary]]&lt;70000,"50k-69k",IF(Workforce[[#This Row],[Salary]]&lt;90000,"70k-89k","90k+")))</f>
        <v>30k-49k</v>
      </c>
      <c r="M2936" t="s">
        <v>14939</v>
      </c>
      <c r="N2936">
        <f t="shared" ca="1" si="182"/>
        <v>8</v>
      </c>
      <c r="O2936" t="str">
        <f t="shared" ca="1" si="183"/>
        <v>Senior level</v>
      </c>
    </row>
    <row r="2937" spans="1:15" x14ac:dyDescent="0.3">
      <c r="A2937" t="s">
        <v>19863</v>
      </c>
      <c r="B2937" t="s">
        <v>19864</v>
      </c>
      <c r="C2937" t="s">
        <v>257</v>
      </c>
      <c r="D2937" t="s">
        <v>19865</v>
      </c>
      <c r="E2937" t="s">
        <v>19866</v>
      </c>
      <c r="F2937" t="s">
        <v>525</v>
      </c>
      <c r="G2937" t="s">
        <v>19867</v>
      </c>
      <c r="H2937" t="s">
        <v>19868</v>
      </c>
      <c r="I2937">
        <f t="shared" ca="1" si="180"/>
        <v>27</v>
      </c>
      <c r="J2937" t="str">
        <f t="shared" ca="1" si="181"/>
        <v>18-29</v>
      </c>
      <c r="K2937">
        <v>87555.31</v>
      </c>
      <c r="L2937" t="str">
        <f>IF(Workforce[[#This Row],[Salary]]&lt;50000,"30k-49k",IF(Workforce[[#This Row],[Salary]]&lt;70000,"50k-69k",IF(Workforce[[#This Row],[Salary]]&lt;90000,"70k-89k","90k+")))</f>
        <v>70k-89k</v>
      </c>
      <c r="M2937" t="s">
        <v>5465</v>
      </c>
      <c r="N2937">
        <f t="shared" ca="1" si="182"/>
        <v>7</v>
      </c>
      <c r="O2937" t="str">
        <f t="shared" ca="1" si="183"/>
        <v>Senior level</v>
      </c>
    </row>
    <row r="2938" spans="1:15" x14ac:dyDescent="0.3">
      <c r="A2938" t="s">
        <v>1237</v>
      </c>
      <c r="B2938" t="s">
        <v>19869</v>
      </c>
      <c r="C2938" t="s">
        <v>231</v>
      </c>
      <c r="D2938" t="s">
        <v>19870</v>
      </c>
      <c r="E2938" t="s">
        <v>19871</v>
      </c>
      <c r="F2938" t="s">
        <v>10031</v>
      </c>
      <c r="G2938" t="s">
        <v>19872</v>
      </c>
      <c r="H2938" t="s">
        <v>6728</v>
      </c>
      <c r="I2938">
        <f t="shared" ca="1" si="180"/>
        <v>24</v>
      </c>
      <c r="J2938" t="str">
        <f t="shared" ca="1" si="181"/>
        <v>18-29</v>
      </c>
      <c r="K2938">
        <v>97963.94</v>
      </c>
      <c r="L2938" t="str">
        <f>IF(Workforce[[#This Row],[Salary]]&lt;50000,"30k-49k",IF(Workforce[[#This Row],[Salary]]&lt;70000,"50k-69k",IF(Workforce[[#This Row],[Salary]]&lt;90000,"70k-89k","90k+")))</f>
        <v>90k+</v>
      </c>
      <c r="M2938" t="s">
        <v>19873</v>
      </c>
      <c r="N2938">
        <f t="shared" ca="1" si="182"/>
        <v>4</v>
      </c>
      <c r="O2938" t="str">
        <f t="shared" ca="1" si="183"/>
        <v>Intermediate level</v>
      </c>
    </row>
    <row r="2939" spans="1:15" x14ac:dyDescent="0.3">
      <c r="A2939" t="s">
        <v>18490</v>
      </c>
      <c r="B2939" t="s">
        <v>19874</v>
      </c>
      <c r="C2939" t="s">
        <v>400</v>
      </c>
      <c r="D2939" t="s">
        <v>19875</v>
      </c>
      <c r="E2939" t="s">
        <v>19876</v>
      </c>
      <c r="F2939" t="s">
        <v>2028</v>
      </c>
      <c r="G2939" t="s">
        <v>19877</v>
      </c>
      <c r="H2939" t="s">
        <v>19878</v>
      </c>
      <c r="I2939">
        <f t="shared" ca="1" si="180"/>
        <v>61</v>
      </c>
      <c r="J2939" t="str">
        <f t="shared" ca="1" si="181"/>
        <v>60+</v>
      </c>
      <c r="K2939">
        <v>90161.39</v>
      </c>
      <c r="L2939" t="str">
        <f>IF(Workforce[[#This Row],[Salary]]&lt;50000,"30k-49k",IF(Workforce[[#This Row],[Salary]]&lt;70000,"50k-69k",IF(Workforce[[#This Row],[Salary]]&lt;90000,"70k-89k","90k+")))</f>
        <v>90k+</v>
      </c>
      <c r="M2939" t="s">
        <v>11192</v>
      </c>
      <c r="N2939">
        <f t="shared" ca="1" si="182"/>
        <v>4</v>
      </c>
      <c r="O2939" t="str">
        <f t="shared" ca="1" si="183"/>
        <v>Intermediate level</v>
      </c>
    </row>
    <row r="2940" spans="1:15" x14ac:dyDescent="0.3">
      <c r="A2940" t="s">
        <v>19879</v>
      </c>
      <c r="B2940" t="s">
        <v>19880</v>
      </c>
      <c r="C2940" t="s">
        <v>196</v>
      </c>
      <c r="D2940" t="s">
        <v>19881</v>
      </c>
      <c r="E2940" t="s">
        <v>19882</v>
      </c>
      <c r="F2940" t="s">
        <v>2716</v>
      </c>
      <c r="G2940" t="s">
        <v>19883</v>
      </c>
      <c r="H2940" t="s">
        <v>19884</v>
      </c>
      <c r="I2940">
        <f t="shared" ca="1" si="180"/>
        <v>37</v>
      </c>
      <c r="J2940" t="str">
        <f t="shared" ca="1" si="181"/>
        <v>30-39</v>
      </c>
      <c r="K2940">
        <v>31137.02</v>
      </c>
      <c r="L2940" t="str">
        <f>IF(Workforce[[#This Row],[Salary]]&lt;50000,"30k-49k",IF(Workforce[[#This Row],[Salary]]&lt;70000,"50k-69k",IF(Workforce[[#This Row],[Salary]]&lt;90000,"70k-89k","90k+")))</f>
        <v>30k-49k</v>
      </c>
      <c r="M2940" t="s">
        <v>19885</v>
      </c>
      <c r="N2940">
        <f t="shared" ca="1" si="182"/>
        <v>7</v>
      </c>
      <c r="O2940" t="str">
        <f t="shared" ca="1" si="183"/>
        <v>Senior level</v>
      </c>
    </row>
    <row r="2941" spans="1:15" x14ac:dyDescent="0.3">
      <c r="A2941" t="s">
        <v>19886</v>
      </c>
      <c r="B2941" t="s">
        <v>19887</v>
      </c>
      <c r="C2941" t="s">
        <v>35</v>
      </c>
      <c r="D2941" t="s">
        <v>19888</v>
      </c>
      <c r="E2941" t="s">
        <v>19889</v>
      </c>
      <c r="F2941" t="s">
        <v>8351</v>
      </c>
      <c r="G2941" t="s">
        <v>19890</v>
      </c>
      <c r="H2941" t="s">
        <v>19891</v>
      </c>
      <c r="I2941">
        <f t="shared" ca="1" si="180"/>
        <v>25</v>
      </c>
      <c r="J2941" t="str">
        <f t="shared" ca="1" si="181"/>
        <v>18-29</v>
      </c>
      <c r="K2941">
        <v>107173.92</v>
      </c>
      <c r="L2941" t="str">
        <f>IF(Workforce[[#This Row],[Salary]]&lt;50000,"30k-49k",IF(Workforce[[#This Row],[Salary]]&lt;70000,"50k-69k",IF(Workforce[[#This Row],[Salary]]&lt;90000,"70k-89k","90k+")))</f>
        <v>90k+</v>
      </c>
      <c r="M2941" t="s">
        <v>19892</v>
      </c>
      <c r="N2941">
        <f t="shared" ca="1" si="182"/>
        <v>4</v>
      </c>
      <c r="O2941" t="str">
        <f t="shared" ca="1" si="183"/>
        <v>Intermediate level</v>
      </c>
    </row>
    <row r="2942" spans="1:15" x14ac:dyDescent="0.3">
      <c r="A2942" t="s">
        <v>19893</v>
      </c>
      <c r="B2942" t="s">
        <v>19894</v>
      </c>
      <c r="C2942" t="s">
        <v>275</v>
      </c>
      <c r="D2942" t="s">
        <v>19895</v>
      </c>
      <c r="E2942" t="s">
        <v>19896</v>
      </c>
      <c r="F2942" t="s">
        <v>1864</v>
      </c>
      <c r="G2942" t="s">
        <v>19897</v>
      </c>
      <c r="H2942" t="s">
        <v>19898</v>
      </c>
      <c r="I2942">
        <f t="shared" ca="1" si="180"/>
        <v>46</v>
      </c>
      <c r="J2942" t="str">
        <f t="shared" ca="1" si="181"/>
        <v>40-49</v>
      </c>
      <c r="K2942">
        <v>111010.89</v>
      </c>
      <c r="L2942" t="str">
        <f>IF(Workforce[[#This Row],[Salary]]&lt;50000,"30k-49k",IF(Workforce[[#This Row],[Salary]]&lt;70000,"50k-69k",IF(Workforce[[#This Row],[Salary]]&lt;90000,"70k-89k","90k+")))</f>
        <v>90k+</v>
      </c>
      <c r="M2942" t="s">
        <v>5238</v>
      </c>
      <c r="N2942">
        <f t="shared" ca="1" si="182"/>
        <v>8</v>
      </c>
      <c r="O2942" t="str">
        <f t="shared" ca="1" si="183"/>
        <v>Senior level</v>
      </c>
    </row>
    <row r="2943" spans="1:15" x14ac:dyDescent="0.3">
      <c r="A2943" t="s">
        <v>19899</v>
      </c>
      <c r="B2943" t="s">
        <v>19900</v>
      </c>
      <c r="C2943" t="s">
        <v>653</v>
      </c>
      <c r="D2943" t="s">
        <v>19901</v>
      </c>
      <c r="E2943" t="s">
        <v>19902</v>
      </c>
      <c r="F2943" t="s">
        <v>517</v>
      </c>
      <c r="G2943" t="s">
        <v>19903</v>
      </c>
      <c r="H2943" t="s">
        <v>19904</v>
      </c>
      <c r="I2943">
        <f t="shared" ca="1" si="180"/>
        <v>54</v>
      </c>
      <c r="J2943" t="str">
        <f t="shared" ca="1" si="181"/>
        <v>50-59</v>
      </c>
      <c r="K2943">
        <v>81039.570000000007</v>
      </c>
      <c r="L2943" t="str">
        <f>IF(Workforce[[#This Row],[Salary]]&lt;50000,"30k-49k",IF(Workforce[[#This Row],[Salary]]&lt;70000,"50k-69k",IF(Workforce[[#This Row],[Salary]]&lt;90000,"70k-89k","90k+")))</f>
        <v>70k-89k</v>
      </c>
      <c r="M2943" t="s">
        <v>19905</v>
      </c>
      <c r="N2943">
        <f t="shared" ca="1" si="182"/>
        <v>6</v>
      </c>
      <c r="O2943" t="str">
        <f t="shared" ca="1" si="183"/>
        <v>Intermediate level</v>
      </c>
    </row>
    <row r="2944" spans="1:15" x14ac:dyDescent="0.3">
      <c r="A2944" t="s">
        <v>19906</v>
      </c>
      <c r="B2944" t="s">
        <v>19907</v>
      </c>
      <c r="C2944" t="s">
        <v>275</v>
      </c>
      <c r="D2944" t="s">
        <v>19908</v>
      </c>
      <c r="E2944" t="s">
        <v>19909</v>
      </c>
      <c r="F2944" t="s">
        <v>2358</v>
      </c>
      <c r="G2944" t="s">
        <v>2894</v>
      </c>
      <c r="H2944" t="s">
        <v>19910</v>
      </c>
      <c r="I2944">
        <f t="shared" ca="1" si="180"/>
        <v>27</v>
      </c>
      <c r="J2944" t="str">
        <f t="shared" ca="1" si="181"/>
        <v>18-29</v>
      </c>
      <c r="K2944">
        <v>105839.51</v>
      </c>
      <c r="L2944" t="str">
        <f>IF(Workforce[[#This Row],[Salary]]&lt;50000,"30k-49k",IF(Workforce[[#This Row],[Salary]]&lt;70000,"50k-69k",IF(Workforce[[#This Row],[Salary]]&lt;90000,"70k-89k","90k+")))</f>
        <v>90k+</v>
      </c>
      <c r="M2944" t="s">
        <v>12033</v>
      </c>
      <c r="N2944">
        <f t="shared" ca="1" si="182"/>
        <v>8</v>
      </c>
      <c r="O2944" t="str">
        <f t="shared" ca="1" si="183"/>
        <v>Senior level</v>
      </c>
    </row>
    <row r="2945" spans="1:15" x14ac:dyDescent="0.3">
      <c r="A2945" t="s">
        <v>19911</v>
      </c>
      <c r="B2945" t="s">
        <v>19912</v>
      </c>
      <c r="C2945" t="s">
        <v>580</v>
      </c>
      <c r="D2945" t="s">
        <v>19913</v>
      </c>
      <c r="E2945" t="s">
        <v>19914</v>
      </c>
      <c r="F2945" t="s">
        <v>2004</v>
      </c>
      <c r="G2945" t="s">
        <v>19915</v>
      </c>
      <c r="H2945" t="s">
        <v>19916</v>
      </c>
      <c r="I2945">
        <f t="shared" ca="1" si="180"/>
        <v>25</v>
      </c>
      <c r="J2945" t="str">
        <f t="shared" ca="1" si="181"/>
        <v>18-29</v>
      </c>
      <c r="K2945">
        <v>42825.49</v>
      </c>
      <c r="L2945" t="str">
        <f>IF(Workforce[[#This Row],[Salary]]&lt;50000,"30k-49k",IF(Workforce[[#This Row],[Salary]]&lt;70000,"50k-69k",IF(Workforce[[#This Row],[Salary]]&lt;90000,"70k-89k","90k+")))</f>
        <v>30k-49k</v>
      </c>
      <c r="M2945" t="s">
        <v>2098</v>
      </c>
      <c r="N2945">
        <f t="shared" ca="1" si="182"/>
        <v>9</v>
      </c>
      <c r="O2945" t="str">
        <f t="shared" ca="1" si="183"/>
        <v>Senior level</v>
      </c>
    </row>
    <row r="2946" spans="1:15" x14ac:dyDescent="0.3">
      <c r="A2946" t="s">
        <v>19917</v>
      </c>
      <c r="B2946" t="s">
        <v>19918</v>
      </c>
      <c r="C2946" t="s">
        <v>61</v>
      </c>
      <c r="D2946" t="s">
        <v>19919</v>
      </c>
      <c r="E2946" t="s">
        <v>19920</v>
      </c>
      <c r="F2946" t="s">
        <v>2615</v>
      </c>
      <c r="G2946" t="s">
        <v>12912</v>
      </c>
      <c r="H2946" t="s">
        <v>19921</v>
      </c>
      <c r="I2946">
        <f t="shared" ref="I2946:I3001" ca="1" si="184">DATEDIF(H2946,TODAY(),"y")</f>
        <v>52</v>
      </c>
      <c r="J2946" t="str">
        <f t="shared" ref="J2946:J3001" ca="1" si="185">IF(I2946&lt;30,"18-29",IF(I2946&lt;40,"30-39",IF(I2946&lt;50,"40-49",IF(I2946&lt;60,"50-59","60+"))))</f>
        <v>50-59</v>
      </c>
      <c r="K2946">
        <v>53804.160000000003</v>
      </c>
      <c r="L2946" t="str">
        <f>IF(Workforce[[#This Row],[Salary]]&lt;50000,"30k-49k",IF(Workforce[[#This Row],[Salary]]&lt;70000,"50k-69k",IF(Workforce[[#This Row],[Salary]]&lt;90000,"70k-89k","90k+")))</f>
        <v>50k-69k</v>
      </c>
      <c r="M2946" t="s">
        <v>3548</v>
      </c>
      <c r="N2946">
        <f t="shared" ref="N2946:N3001" ca="1" si="186">DATEDIF(M2946,TODAY(),"y")</f>
        <v>4</v>
      </c>
      <c r="O2946" t="str">
        <f t="shared" ref="O2946:O3001" ca="1" si="187">IF(N2946&lt;=2,"Beginner",IF(N2946&lt;=6,"Intermediate level","Senior level"))</f>
        <v>Intermediate level</v>
      </c>
    </row>
    <row r="2947" spans="1:15" x14ac:dyDescent="0.3">
      <c r="A2947" t="s">
        <v>19922</v>
      </c>
      <c r="B2947" t="s">
        <v>19923</v>
      </c>
      <c r="C2947" t="s">
        <v>1043</v>
      </c>
      <c r="D2947" t="s">
        <v>19924</v>
      </c>
      <c r="E2947" t="s">
        <v>19925</v>
      </c>
      <c r="F2947" t="s">
        <v>10095</v>
      </c>
      <c r="G2947" t="s">
        <v>11756</v>
      </c>
      <c r="H2947" t="s">
        <v>19926</v>
      </c>
      <c r="I2947">
        <f t="shared" ca="1" si="184"/>
        <v>49</v>
      </c>
      <c r="J2947" t="str">
        <f t="shared" ca="1" si="185"/>
        <v>40-49</v>
      </c>
      <c r="K2947">
        <v>96378.63</v>
      </c>
      <c r="L2947" t="str">
        <f>IF(Workforce[[#This Row],[Salary]]&lt;50000,"30k-49k",IF(Workforce[[#This Row],[Salary]]&lt;70000,"50k-69k",IF(Workforce[[#This Row],[Salary]]&lt;90000,"70k-89k","90k+")))</f>
        <v>90k+</v>
      </c>
      <c r="M2947" t="s">
        <v>19927</v>
      </c>
      <c r="N2947">
        <f t="shared" ca="1" si="186"/>
        <v>3</v>
      </c>
      <c r="O2947" t="str">
        <f t="shared" ca="1" si="187"/>
        <v>Intermediate level</v>
      </c>
    </row>
    <row r="2948" spans="1:15" x14ac:dyDescent="0.3">
      <c r="A2948" t="s">
        <v>19928</v>
      </c>
      <c r="B2948" t="s">
        <v>19929</v>
      </c>
      <c r="C2948" t="s">
        <v>187</v>
      </c>
      <c r="D2948" t="s">
        <v>19930</v>
      </c>
      <c r="E2948" t="s">
        <v>19931</v>
      </c>
      <c r="F2948" t="s">
        <v>1257</v>
      </c>
      <c r="G2948" t="s">
        <v>19932</v>
      </c>
      <c r="H2948" t="s">
        <v>19933</v>
      </c>
      <c r="I2948">
        <f t="shared" ca="1" si="184"/>
        <v>37</v>
      </c>
      <c r="J2948" t="str">
        <f t="shared" ca="1" si="185"/>
        <v>30-39</v>
      </c>
      <c r="K2948">
        <v>70276.009999999995</v>
      </c>
      <c r="L2948" t="str">
        <f>IF(Workforce[[#This Row],[Salary]]&lt;50000,"30k-49k",IF(Workforce[[#This Row],[Salary]]&lt;70000,"50k-69k",IF(Workforce[[#This Row],[Salary]]&lt;90000,"70k-89k","90k+")))</f>
        <v>70k-89k</v>
      </c>
      <c r="M2948" t="s">
        <v>19934</v>
      </c>
      <c r="N2948">
        <f t="shared" ca="1" si="186"/>
        <v>4</v>
      </c>
      <c r="O2948" t="str">
        <f t="shared" ca="1" si="187"/>
        <v>Intermediate level</v>
      </c>
    </row>
    <row r="2949" spans="1:15" x14ac:dyDescent="0.3">
      <c r="A2949" t="s">
        <v>19935</v>
      </c>
      <c r="B2949" t="s">
        <v>19936</v>
      </c>
      <c r="C2949" t="s">
        <v>748</v>
      </c>
      <c r="D2949" t="s">
        <v>19937</v>
      </c>
      <c r="E2949" t="s">
        <v>19938</v>
      </c>
      <c r="F2949" t="s">
        <v>8805</v>
      </c>
      <c r="G2949" t="s">
        <v>9339</v>
      </c>
      <c r="H2949" t="s">
        <v>19939</v>
      </c>
      <c r="I2949">
        <f t="shared" ca="1" si="184"/>
        <v>52</v>
      </c>
      <c r="J2949" t="str">
        <f t="shared" ca="1" si="185"/>
        <v>50-59</v>
      </c>
      <c r="K2949">
        <v>113675.11</v>
      </c>
      <c r="L2949" t="str">
        <f>IF(Workforce[[#This Row],[Salary]]&lt;50000,"30k-49k",IF(Workforce[[#This Row],[Salary]]&lt;70000,"50k-69k",IF(Workforce[[#This Row],[Salary]]&lt;90000,"70k-89k","90k+")))</f>
        <v>90k+</v>
      </c>
      <c r="M2949" t="s">
        <v>414</v>
      </c>
      <c r="N2949">
        <f t="shared" ca="1" si="186"/>
        <v>6</v>
      </c>
      <c r="O2949" t="str">
        <f t="shared" ca="1" si="187"/>
        <v>Intermediate level</v>
      </c>
    </row>
    <row r="2950" spans="1:15" x14ac:dyDescent="0.3">
      <c r="A2950" t="s">
        <v>19940</v>
      </c>
      <c r="B2950" t="s">
        <v>19941</v>
      </c>
      <c r="C2950" t="s">
        <v>482</v>
      </c>
      <c r="D2950" t="s">
        <v>19942</v>
      </c>
      <c r="E2950" t="s">
        <v>19943</v>
      </c>
      <c r="F2950" t="s">
        <v>8934</v>
      </c>
      <c r="G2950" t="s">
        <v>19944</v>
      </c>
      <c r="H2950" t="s">
        <v>19945</v>
      </c>
      <c r="I2950">
        <f t="shared" ca="1" si="184"/>
        <v>62</v>
      </c>
      <c r="J2950" t="str">
        <f t="shared" ca="1" si="185"/>
        <v>60+</v>
      </c>
      <c r="K2950">
        <v>46403.82</v>
      </c>
      <c r="L2950" t="str">
        <f>IF(Workforce[[#This Row],[Salary]]&lt;50000,"30k-49k",IF(Workforce[[#This Row],[Salary]]&lt;70000,"50k-69k",IF(Workforce[[#This Row],[Salary]]&lt;90000,"70k-89k","90k+")))</f>
        <v>30k-49k</v>
      </c>
      <c r="M2950" t="s">
        <v>19946</v>
      </c>
      <c r="N2950">
        <f t="shared" ca="1" si="186"/>
        <v>10</v>
      </c>
      <c r="O2950" t="str">
        <f t="shared" ca="1" si="187"/>
        <v>Senior level</v>
      </c>
    </row>
    <row r="2951" spans="1:15" x14ac:dyDescent="0.3">
      <c r="A2951" t="s">
        <v>19947</v>
      </c>
      <c r="B2951" t="s">
        <v>19948</v>
      </c>
      <c r="C2951" t="s">
        <v>995</v>
      </c>
      <c r="D2951" t="s">
        <v>19949</v>
      </c>
      <c r="E2951" t="s">
        <v>19950</v>
      </c>
      <c r="F2951" t="s">
        <v>1950</v>
      </c>
      <c r="G2951" t="s">
        <v>19951</v>
      </c>
      <c r="H2951" t="s">
        <v>13145</v>
      </c>
      <c r="I2951">
        <f t="shared" ca="1" si="184"/>
        <v>59</v>
      </c>
      <c r="J2951" t="str">
        <f t="shared" ca="1" si="185"/>
        <v>50-59</v>
      </c>
      <c r="K2951">
        <v>63167.45</v>
      </c>
      <c r="L2951" t="str">
        <f>IF(Workforce[[#This Row],[Salary]]&lt;50000,"30k-49k",IF(Workforce[[#This Row],[Salary]]&lt;70000,"50k-69k",IF(Workforce[[#This Row],[Salary]]&lt;90000,"70k-89k","90k+")))</f>
        <v>50k-69k</v>
      </c>
      <c r="M2951" t="s">
        <v>19952</v>
      </c>
      <c r="N2951">
        <f t="shared" ca="1" si="186"/>
        <v>7</v>
      </c>
      <c r="O2951" t="str">
        <f t="shared" ca="1" si="187"/>
        <v>Senior level</v>
      </c>
    </row>
    <row r="2952" spans="1:15" x14ac:dyDescent="0.3">
      <c r="A2952" t="s">
        <v>19953</v>
      </c>
      <c r="B2952" t="s">
        <v>19954</v>
      </c>
      <c r="C2952" t="s">
        <v>26</v>
      </c>
      <c r="D2952" t="s">
        <v>19955</v>
      </c>
      <c r="E2952" t="s">
        <v>19956</v>
      </c>
      <c r="F2952" t="s">
        <v>558</v>
      </c>
      <c r="G2952" t="s">
        <v>19957</v>
      </c>
      <c r="H2952" t="s">
        <v>19958</v>
      </c>
      <c r="I2952">
        <f t="shared" ca="1" si="184"/>
        <v>23</v>
      </c>
      <c r="J2952" t="str">
        <f t="shared" ca="1" si="185"/>
        <v>18-29</v>
      </c>
      <c r="K2952">
        <v>101087.8</v>
      </c>
      <c r="L2952" t="str">
        <f>IF(Workforce[[#This Row],[Salary]]&lt;50000,"30k-49k",IF(Workforce[[#This Row],[Salary]]&lt;70000,"50k-69k",IF(Workforce[[#This Row],[Salary]]&lt;90000,"70k-89k","90k+")))</f>
        <v>90k+</v>
      </c>
      <c r="M2952" t="s">
        <v>19959</v>
      </c>
      <c r="N2952">
        <f t="shared" ca="1" si="186"/>
        <v>2</v>
      </c>
      <c r="O2952" t="str">
        <f t="shared" ca="1" si="187"/>
        <v>Beginner</v>
      </c>
    </row>
    <row r="2953" spans="1:15" x14ac:dyDescent="0.3">
      <c r="A2953" t="s">
        <v>19960</v>
      </c>
      <c r="B2953" t="s">
        <v>19961</v>
      </c>
      <c r="C2953" t="s">
        <v>757</v>
      </c>
      <c r="D2953" t="s">
        <v>19962</v>
      </c>
      <c r="E2953" t="s">
        <v>19963</v>
      </c>
      <c r="F2953" t="s">
        <v>38</v>
      </c>
      <c r="G2953" t="s">
        <v>19964</v>
      </c>
      <c r="H2953" t="s">
        <v>19965</v>
      </c>
      <c r="I2953">
        <f t="shared" ca="1" si="184"/>
        <v>21</v>
      </c>
      <c r="J2953" t="str">
        <f t="shared" ca="1" si="185"/>
        <v>18-29</v>
      </c>
      <c r="K2953">
        <v>46303.03</v>
      </c>
      <c r="L2953" t="str">
        <f>IF(Workforce[[#This Row],[Salary]]&lt;50000,"30k-49k",IF(Workforce[[#This Row],[Salary]]&lt;70000,"50k-69k",IF(Workforce[[#This Row],[Salary]]&lt;90000,"70k-89k","90k+")))</f>
        <v>30k-49k</v>
      </c>
      <c r="M2953" t="s">
        <v>18845</v>
      </c>
      <c r="N2953">
        <f t="shared" ca="1" si="186"/>
        <v>1</v>
      </c>
      <c r="O2953" t="str">
        <f t="shared" ca="1" si="187"/>
        <v>Beginner</v>
      </c>
    </row>
    <row r="2954" spans="1:15" x14ac:dyDescent="0.3">
      <c r="A2954" t="s">
        <v>19966</v>
      </c>
      <c r="B2954" t="s">
        <v>19967</v>
      </c>
      <c r="C2954" t="s">
        <v>440</v>
      </c>
      <c r="D2954" t="s">
        <v>19968</v>
      </c>
      <c r="E2954" t="s">
        <v>19969</v>
      </c>
      <c r="F2954" t="s">
        <v>10031</v>
      </c>
      <c r="G2954" t="s">
        <v>8201</v>
      </c>
      <c r="H2954" t="s">
        <v>19970</v>
      </c>
      <c r="I2954">
        <f t="shared" ca="1" si="184"/>
        <v>46</v>
      </c>
      <c r="J2954" t="str">
        <f t="shared" ca="1" si="185"/>
        <v>40-49</v>
      </c>
      <c r="K2954">
        <v>53081.09</v>
      </c>
      <c r="L2954" t="str">
        <f>IF(Workforce[[#This Row],[Salary]]&lt;50000,"30k-49k",IF(Workforce[[#This Row],[Salary]]&lt;70000,"50k-69k",IF(Workforce[[#This Row],[Salary]]&lt;90000,"70k-89k","90k+")))</f>
        <v>50k-69k</v>
      </c>
      <c r="M2954" t="s">
        <v>19971</v>
      </c>
      <c r="N2954">
        <f t="shared" ca="1" si="186"/>
        <v>10</v>
      </c>
      <c r="O2954" t="str">
        <f t="shared" ca="1" si="187"/>
        <v>Senior level</v>
      </c>
    </row>
    <row r="2955" spans="1:15" x14ac:dyDescent="0.3">
      <c r="A2955" t="s">
        <v>19972</v>
      </c>
      <c r="B2955" t="s">
        <v>19973</v>
      </c>
      <c r="C2955" t="s">
        <v>326</v>
      </c>
      <c r="D2955" t="s">
        <v>19974</v>
      </c>
      <c r="E2955" t="s">
        <v>19975</v>
      </c>
      <c r="F2955" t="s">
        <v>566</v>
      </c>
      <c r="G2955" t="s">
        <v>19976</v>
      </c>
      <c r="H2955" t="s">
        <v>19977</v>
      </c>
      <c r="I2955">
        <f t="shared" ca="1" si="184"/>
        <v>38</v>
      </c>
      <c r="J2955" t="str">
        <f t="shared" ca="1" si="185"/>
        <v>30-39</v>
      </c>
      <c r="K2955">
        <v>114666.79</v>
      </c>
      <c r="L2955" t="str">
        <f>IF(Workforce[[#This Row],[Salary]]&lt;50000,"30k-49k",IF(Workforce[[#This Row],[Salary]]&lt;70000,"50k-69k",IF(Workforce[[#This Row],[Salary]]&lt;90000,"70k-89k","90k+")))</f>
        <v>90k+</v>
      </c>
      <c r="M2955" t="s">
        <v>3874</v>
      </c>
      <c r="N2955">
        <f t="shared" ca="1" si="186"/>
        <v>10</v>
      </c>
      <c r="O2955" t="str">
        <f t="shared" ca="1" si="187"/>
        <v>Senior level</v>
      </c>
    </row>
    <row r="2956" spans="1:15" x14ac:dyDescent="0.3">
      <c r="A2956" t="s">
        <v>19978</v>
      </c>
      <c r="B2956" t="s">
        <v>19979</v>
      </c>
      <c r="C2956" t="s">
        <v>275</v>
      </c>
      <c r="D2956" t="s">
        <v>19980</v>
      </c>
      <c r="E2956" t="s">
        <v>19981</v>
      </c>
      <c r="F2956" t="s">
        <v>7632</v>
      </c>
      <c r="G2956" t="s">
        <v>19982</v>
      </c>
      <c r="H2956" t="s">
        <v>3310</v>
      </c>
      <c r="I2956">
        <f t="shared" ca="1" si="184"/>
        <v>50</v>
      </c>
      <c r="J2956" t="str">
        <f t="shared" ca="1" si="185"/>
        <v>50-59</v>
      </c>
      <c r="K2956">
        <v>85425.26</v>
      </c>
      <c r="L2956" t="str">
        <f>IF(Workforce[[#This Row],[Salary]]&lt;50000,"30k-49k",IF(Workforce[[#This Row],[Salary]]&lt;70000,"50k-69k",IF(Workforce[[#This Row],[Salary]]&lt;90000,"70k-89k","90k+")))</f>
        <v>70k-89k</v>
      </c>
      <c r="M2956" t="s">
        <v>9964</v>
      </c>
      <c r="N2956">
        <f t="shared" ca="1" si="186"/>
        <v>10</v>
      </c>
      <c r="O2956" t="str">
        <f t="shared" ca="1" si="187"/>
        <v>Senior level</v>
      </c>
    </row>
    <row r="2957" spans="1:15" x14ac:dyDescent="0.3">
      <c r="A2957" t="s">
        <v>19983</v>
      </c>
      <c r="B2957" t="s">
        <v>19984</v>
      </c>
      <c r="C2957" t="s">
        <v>151</v>
      </c>
      <c r="D2957" t="s">
        <v>19985</v>
      </c>
      <c r="E2957" t="s">
        <v>19986</v>
      </c>
      <c r="F2957" t="s">
        <v>672</v>
      </c>
      <c r="G2957" t="s">
        <v>19987</v>
      </c>
      <c r="H2957" t="s">
        <v>19988</v>
      </c>
      <c r="I2957">
        <f t="shared" ca="1" si="184"/>
        <v>59</v>
      </c>
      <c r="J2957" t="str">
        <f t="shared" ca="1" si="185"/>
        <v>50-59</v>
      </c>
      <c r="K2957">
        <v>52575.77</v>
      </c>
      <c r="L2957" t="str">
        <f>IF(Workforce[[#This Row],[Salary]]&lt;50000,"30k-49k",IF(Workforce[[#This Row],[Salary]]&lt;70000,"50k-69k",IF(Workforce[[#This Row],[Salary]]&lt;90000,"70k-89k","90k+")))</f>
        <v>50k-69k</v>
      </c>
      <c r="M2957" t="s">
        <v>19989</v>
      </c>
      <c r="N2957">
        <f t="shared" ca="1" si="186"/>
        <v>5</v>
      </c>
      <c r="O2957" t="str">
        <f t="shared" ca="1" si="187"/>
        <v>Intermediate level</v>
      </c>
    </row>
    <row r="2958" spans="1:15" x14ac:dyDescent="0.3">
      <c r="A2958" t="s">
        <v>19990</v>
      </c>
      <c r="B2958" t="s">
        <v>19991</v>
      </c>
      <c r="C2958" t="s">
        <v>160</v>
      </c>
      <c r="D2958" t="s">
        <v>19992</v>
      </c>
      <c r="E2958" t="s">
        <v>19993</v>
      </c>
      <c r="F2958" t="s">
        <v>8249</v>
      </c>
      <c r="G2958" t="s">
        <v>19994</v>
      </c>
      <c r="H2958" t="s">
        <v>19995</v>
      </c>
      <c r="I2958">
        <f t="shared" ca="1" si="184"/>
        <v>34</v>
      </c>
      <c r="J2958" t="str">
        <f t="shared" ca="1" si="185"/>
        <v>30-39</v>
      </c>
      <c r="K2958">
        <v>64715.73</v>
      </c>
      <c r="L2958" t="str">
        <f>IF(Workforce[[#This Row],[Salary]]&lt;50000,"30k-49k",IF(Workforce[[#This Row],[Salary]]&lt;70000,"50k-69k",IF(Workforce[[#This Row],[Salary]]&lt;90000,"70k-89k","90k+")))</f>
        <v>50k-69k</v>
      </c>
      <c r="M2958" t="s">
        <v>19996</v>
      </c>
      <c r="N2958">
        <f t="shared" ca="1" si="186"/>
        <v>2</v>
      </c>
      <c r="O2958" t="str">
        <f t="shared" ca="1" si="187"/>
        <v>Beginner</v>
      </c>
    </row>
    <row r="2959" spans="1:15" x14ac:dyDescent="0.3">
      <c r="A2959" t="s">
        <v>19997</v>
      </c>
      <c r="B2959" t="s">
        <v>19998</v>
      </c>
      <c r="C2959" t="s">
        <v>2086</v>
      </c>
      <c r="D2959" t="s">
        <v>19999</v>
      </c>
      <c r="E2959" t="s">
        <v>20000</v>
      </c>
      <c r="F2959" t="s">
        <v>871</v>
      </c>
      <c r="G2959" t="s">
        <v>20001</v>
      </c>
      <c r="H2959" t="s">
        <v>20002</v>
      </c>
      <c r="I2959">
        <f t="shared" ca="1" si="184"/>
        <v>29</v>
      </c>
      <c r="J2959" t="str">
        <f t="shared" ca="1" si="185"/>
        <v>18-29</v>
      </c>
      <c r="K2959">
        <v>101818.44</v>
      </c>
      <c r="L2959" t="str">
        <f>IF(Workforce[[#This Row],[Salary]]&lt;50000,"30k-49k",IF(Workforce[[#This Row],[Salary]]&lt;70000,"50k-69k",IF(Workforce[[#This Row],[Salary]]&lt;90000,"70k-89k","90k+")))</f>
        <v>90k+</v>
      </c>
      <c r="M2959" t="s">
        <v>20003</v>
      </c>
      <c r="N2959">
        <f t="shared" ca="1" si="186"/>
        <v>7</v>
      </c>
      <c r="O2959" t="str">
        <f t="shared" ca="1" si="187"/>
        <v>Senior level</v>
      </c>
    </row>
    <row r="2960" spans="1:15" x14ac:dyDescent="0.3">
      <c r="A2960" t="s">
        <v>20004</v>
      </c>
      <c r="B2960" t="s">
        <v>20005</v>
      </c>
      <c r="C2960" t="s">
        <v>213</v>
      </c>
      <c r="D2960" t="s">
        <v>20006</v>
      </c>
      <c r="E2960" t="s">
        <v>20007</v>
      </c>
      <c r="F2960" t="s">
        <v>7487</v>
      </c>
      <c r="G2960" t="s">
        <v>20008</v>
      </c>
      <c r="H2960" t="s">
        <v>20009</v>
      </c>
      <c r="I2960">
        <f t="shared" ca="1" si="184"/>
        <v>38</v>
      </c>
      <c r="J2960" t="str">
        <f t="shared" ca="1" si="185"/>
        <v>30-39</v>
      </c>
      <c r="K2960">
        <v>70717.820000000007</v>
      </c>
      <c r="L2960" t="str">
        <f>IF(Workforce[[#This Row],[Salary]]&lt;50000,"30k-49k",IF(Workforce[[#This Row],[Salary]]&lt;70000,"50k-69k",IF(Workforce[[#This Row],[Salary]]&lt;90000,"70k-89k","90k+")))</f>
        <v>70k-89k</v>
      </c>
      <c r="M2960" t="s">
        <v>12407</v>
      </c>
      <c r="N2960">
        <f t="shared" ca="1" si="186"/>
        <v>8</v>
      </c>
      <c r="O2960" t="str">
        <f t="shared" ca="1" si="187"/>
        <v>Senior level</v>
      </c>
    </row>
    <row r="2961" spans="1:15" x14ac:dyDescent="0.3">
      <c r="A2961" t="s">
        <v>20010</v>
      </c>
      <c r="B2961" t="s">
        <v>20011</v>
      </c>
      <c r="C2961" t="s">
        <v>757</v>
      </c>
      <c r="D2961" t="s">
        <v>20012</v>
      </c>
      <c r="E2961" t="s">
        <v>20013</v>
      </c>
      <c r="F2961" t="s">
        <v>5701</v>
      </c>
      <c r="G2961" t="s">
        <v>20014</v>
      </c>
      <c r="H2961" t="s">
        <v>20015</v>
      </c>
      <c r="I2961">
        <f t="shared" ca="1" si="184"/>
        <v>59</v>
      </c>
      <c r="J2961" t="str">
        <f t="shared" ca="1" si="185"/>
        <v>50-59</v>
      </c>
      <c r="K2961">
        <v>89551.09</v>
      </c>
      <c r="L2961" t="str">
        <f>IF(Workforce[[#This Row],[Salary]]&lt;50000,"30k-49k",IF(Workforce[[#This Row],[Salary]]&lt;70000,"50k-69k",IF(Workforce[[#This Row],[Salary]]&lt;90000,"70k-89k","90k+")))</f>
        <v>70k-89k</v>
      </c>
      <c r="M2961" t="s">
        <v>20016</v>
      </c>
      <c r="N2961">
        <f t="shared" ca="1" si="186"/>
        <v>4</v>
      </c>
      <c r="O2961" t="str">
        <f t="shared" ca="1" si="187"/>
        <v>Intermediate level</v>
      </c>
    </row>
    <row r="2962" spans="1:15" x14ac:dyDescent="0.3">
      <c r="A2962" t="s">
        <v>20017</v>
      </c>
      <c r="B2962" t="s">
        <v>20018</v>
      </c>
      <c r="C2962" t="s">
        <v>196</v>
      </c>
      <c r="D2962" t="s">
        <v>20019</v>
      </c>
      <c r="E2962" t="s">
        <v>20020</v>
      </c>
      <c r="F2962" t="s">
        <v>1450</v>
      </c>
      <c r="G2962" t="s">
        <v>20021</v>
      </c>
      <c r="H2962" t="s">
        <v>18209</v>
      </c>
      <c r="I2962">
        <f t="shared" ca="1" si="184"/>
        <v>39</v>
      </c>
      <c r="J2962" t="str">
        <f t="shared" ca="1" si="185"/>
        <v>30-39</v>
      </c>
      <c r="K2962">
        <v>50733.9</v>
      </c>
      <c r="L2962" t="str">
        <f>IF(Workforce[[#This Row],[Salary]]&lt;50000,"30k-49k",IF(Workforce[[#This Row],[Salary]]&lt;70000,"50k-69k",IF(Workforce[[#This Row],[Salary]]&lt;90000,"70k-89k","90k+")))</f>
        <v>50k-69k</v>
      </c>
      <c r="M2962" t="s">
        <v>20022</v>
      </c>
      <c r="N2962">
        <f t="shared" ca="1" si="186"/>
        <v>1</v>
      </c>
      <c r="O2962" t="str">
        <f t="shared" ca="1" si="187"/>
        <v>Beginner</v>
      </c>
    </row>
    <row r="2963" spans="1:15" x14ac:dyDescent="0.3">
      <c r="A2963" t="s">
        <v>20023</v>
      </c>
      <c r="B2963" t="s">
        <v>20024</v>
      </c>
      <c r="C2963" t="s">
        <v>151</v>
      </c>
      <c r="D2963" t="s">
        <v>20025</v>
      </c>
      <c r="E2963" t="s">
        <v>20026</v>
      </c>
      <c r="F2963" t="s">
        <v>136</v>
      </c>
      <c r="G2963" t="s">
        <v>20027</v>
      </c>
      <c r="H2963" t="s">
        <v>20028</v>
      </c>
      <c r="I2963">
        <f t="shared" ca="1" si="184"/>
        <v>50</v>
      </c>
      <c r="J2963" t="str">
        <f t="shared" ca="1" si="185"/>
        <v>50-59</v>
      </c>
      <c r="K2963">
        <v>53489</v>
      </c>
      <c r="L2963" t="str">
        <f>IF(Workforce[[#This Row],[Salary]]&lt;50000,"30k-49k",IF(Workforce[[#This Row],[Salary]]&lt;70000,"50k-69k",IF(Workforce[[#This Row],[Salary]]&lt;90000,"70k-89k","90k+")))</f>
        <v>50k-69k</v>
      </c>
      <c r="M2963" t="s">
        <v>2521</v>
      </c>
      <c r="N2963">
        <f t="shared" ca="1" si="186"/>
        <v>8</v>
      </c>
      <c r="O2963" t="str">
        <f t="shared" ca="1" si="187"/>
        <v>Senior level</v>
      </c>
    </row>
    <row r="2964" spans="1:15" x14ac:dyDescent="0.3">
      <c r="A2964" t="s">
        <v>20029</v>
      </c>
      <c r="B2964" t="s">
        <v>20030</v>
      </c>
      <c r="C2964" t="s">
        <v>35</v>
      </c>
      <c r="D2964" t="s">
        <v>20031</v>
      </c>
      <c r="E2964" t="s">
        <v>20032</v>
      </c>
      <c r="F2964" t="s">
        <v>10080</v>
      </c>
      <c r="G2964" t="s">
        <v>20033</v>
      </c>
      <c r="H2964" t="s">
        <v>13537</v>
      </c>
      <c r="I2964">
        <f t="shared" ca="1" si="184"/>
        <v>48</v>
      </c>
      <c r="J2964" t="str">
        <f t="shared" ca="1" si="185"/>
        <v>40-49</v>
      </c>
      <c r="K2964">
        <v>69701.929999999993</v>
      </c>
      <c r="L2964" t="str">
        <f>IF(Workforce[[#This Row],[Salary]]&lt;50000,"30k-49k",IF(Workforce[[#This Row],[Salary]]&lt;70000,"50k-69k",IF(Workforce[[#This Row],[Salary]]&lt;90000,"70k-89k","90k+")))</f>
        <v>50k-69k</v>
      </c>
      <c r="M2964" t="s">
        <v>17713</v>
      </c>
      <c r="N2964">
        <f t="shared" ca="1" si="186"/>
        <v>2</v>
      </c>
      <c r="O2964" t="str">
        <f t="shared" ca="1" si="187"/>
        <v>Beginner</v>
      </c>
    </row>
    <row r="2965" spans="1:15" x14ac:dyDescent="0.3">
      <c r="A2965" t="s">
        <v>20034</v>
      </c>
      <c r="B2965" t="s">
        <v>20035</v>
      </c>
      <c r="C2965" t="s">
        <v>257</v>
      </c>
      <c r="D2965" t="s">
        <v>20036</v>
      </c>
      <c r="E2965" t="s">
        <v>20037</v>
      </c>
      <c r="F2965" t="s">
        <v>47</v>
      </c>
      <c r="G2965" t="s">
        <v>20038</v>
      </c>
      <c r="H2965" t="s">
        <v>20039</v>
      </c>
      <c r="I2965">
        <f t="shared" ca="1" si="184"/>
        <v>63</v>
      </c>
      <c r="J2965" t="str">
        <f t="shared" ca="1" si="185"/>
        <v>60+</v>
      </c>
      <c r="K2965">
        <v>114489.89</v>
      </c>
      <c r="L2965" t="str">
        <f>IF(Workforce[[#This Row],[Salary]]&lt;50000,"30k-49k",IF(Workforce[[#This Row],[Salary]]&lt;70000,"50k-69k",IF(Workforce[[#This Row],[Salary]]&lt;90000,"70k-89k","90k+")))</f>
        <v>90k+</v>
      </c>
      <c r="M2965" t="s">
        <v>2485</v>
      </c>
      <c r="N2965">
        <f t="shared" ca="1" si="186"/>
        <v>7</v>
      </c>
      <c r="O2965" t="str">
        <f t="shared" ca="1" si="187"/>
        <v>Senior level</v>
      </c>
    </row>
    <row r="2966" spans="1:15" x14ac:dyDescent="0.3">
      <c r="A2966" t="s">
        <v>20040</v>
      </c>
      <c r="B2966" t="s">
        <v>20041</v>
      </c>
      <c r="C2966" t="s">
        <v>26</v>
      </c>
      <c r="D2966" t="s">
        <v>20042</v>
      </c>
      <c r="E2966" t="s">
        <v>20043</v>
      </c>
      <c r="F2966" t="s">
        <v>1091</v>
      </c>
      <c r="G2966" t="s">
        <v>20044</v>
      </c>
      <c r="H2966" t="s">
        <v>20045</v>
      </c>
      <c r="I2966">
        <f t="shared" ca="1" si="184"/>
        <v>46</v>
      </c>
      <c r="J2966" t="str">
        <f t="shared" ca="1" si="185"/>
        <v>40-49</v>
      </c>
      <c r="K2966">
        <v>105026.24000000001</v>
      </c>
      <c r="L2966" t="str">
        <f>IF(Workforce[[#This Row],[Salary]]&lt;50000,"30k-49k",IF(Workforce[[#This Row],[Salary]]&lt;70000,"50k-69k",IF(Workforce[[#This Row],[Salary]]&lt;90000,"70k-89k","90k+")))</f>
        <v>90k+</v>
      </c>
      <c r="M2966" t="s">
        <v>20046</v>
      </c>
      <c r="N2966">
        <f t="shared" ca="1" si="186"/>
        <v>9</v>
      </c>
      <c r="O2966" t="str">
        <f t="shared" ca="1" si="187"/>
        <v>Senior level</v>
      </c>
    </row>
    <row r="2967" spans="1:15" x14ac:dyDescent="0.3">
      <c r="A2967" t="s">
        <v>20047</v>
      </c>
      <c r="B2967" t="s">
        <v>20048</v>
      </c>
      <c r="C2967" t="s">
        <v>133</v>
      </c>
      <c r="D2967" t="s">
        <v>20049</v>
      </c>
      <c r="E2967" t="s">
        <v>20050</v>
      </c>
      <c r="F2967" t="s">
        <v>91</v>
      </c>
      <c r="G2967" t="s">
        <v>20051</v>
      </c>
      <c r="H2967" t="s">
        <v>20052</v>
      </c>
      <c r="I2967">
        <f t="shared" ca="1" si="184"/>
        <v>53</v>
      </c>
      <c r="J2967" t="str">
        <f t="shared" ca="1" si="185"/>
        <v>50-59</v>
      </c>
      <c r="K2967">
        <v>119049.81</v>
      </c>
      <c r="L2967" t="str">
        <f>IF(Workforce[[#This Row],[Salary]]&lt;50000,"30k-49k",IF(Workforce[[#This Row],[Salary]]&lt;70000,"50k-69k",IF(Workforce[[#This Row],[Salary]]&lt;90000,"70k-89k","90k+")))</f>
        <v>90k+</v>
      </c>
      <c r="M2967" t="s">
        <v>12367</v>
      </c>
      <c r="N2967">
        <f t="shared" ca="1" si="186"/>
        <v>7</v>
      </c>
      <c r="O2967" t="str">
        <f t="shared" ca="1" si="187"/>
        <v>Senior level</v>
      </c>
    </row>
    <row r="2968" spans="1:15" x14ac:dyDescent="0.3">
      <c r="A2968" t="s">
        <v>20053</v>
      </c>
      <c r="B2968" t="s">
        <v>20054</v>
      </c>
      <c r="C2968" t="s">
        <v>178</v>
      </c>
      <c r="D2968" t="s">
        <v>20055</v>
      </c>
      <c r="E2968" t="s">
        <v>20056</v>
      </c>
      <c r="F2968" t="s">
        <v>11463</v>
      </c>
      <c r="G2968" t="s">
        <v>20057</v>
      </c>
      <c r="H2968" t="s">
        <v>20058</v>
      </c>
      <c r="I2968">
        <f t="shared" ca="1" si="184"/>
        <v>42</v>
      </c>
      <c r="J2968" t="str">
        <f t="shared" ca="1" si="185"/>
        <v>40-49</v>
      </c>
      <c r="K2968">
        <v>97608.04</v>
      </c>
      <c r="L2968" t="str">
        <f>IF(Workforce[[#This Row],[Salary]]&lt;50000,"30k-49k",IF(Workforce[[#This Row],[Salary]]&lt;70000,"50k-69k",IF(Workforce[[#This Row],[Salary]]&lt;90000,"70k-89k","90k+")))</f>
        <v>90k+</v>
      </c>
      <c r="M2968" t="s">
        <v>20059</v>
      </c>
      <c r="N2968">
        <f t="shared" ca="1" si="186"/>
        <v>3</v>
      </c>
      <c r="O2968" t="str">
        <f t="shared" ca="1" si="187"/>
        <v>Intermediate level</v>
      </c>
    </row>
    <row r="2969" spans="1:15" x14ac:dyDescent="0.3">
      <c r="A2969" t="s">
        <v>20060</v>
      </c>
      <c r="B2969" t="s">
        <v>20061</v>
      </c>
      <c r="C2969" t="s">
        <v>222</v>
      </c>
      <c r="D2969" t="s">
        <v>20062</v>
      </c>
      <c r="E2969" t="s">
        <v>20063</v>
      </c>
      <c r="F2969" t="s">
        <v>3456</v>
      </c>
      <c r="G2969" t="s">
        <v>20064</v>
      </c>
      <c r="H2969" t="s">
        <v>20065</v>
      </c>
      <c r="I2969">
        <f t="shared" ca="1" si="184"/>
        <v>25</v>
      </c>
      <c r="J2969" t="str">
        <f t="shared" ca="1" si="185"/>
        <v>18-29</v>
      </c>
      <c r="K2969">
        <v>83603.38</v>
      </c>
      <c r="L2969" t="str">
        <f>IF(Workforce[[#This Row],[Salary]]&lt;50000,"30k-49k",IF(Workforce[[#This Row],[Salary]]&lt;70000,"50k-69k",IF(Workforce[[#This Row],[Salary]]&lt;90000,"70k-89k","90k+")))</f>
        <v>70k-89k</v>
      </c>
      <c r="M2969" t="s">
        <v>20066</v>
      </c>
      <c r="N2969">
        <f t="shared" ca="1" si="186"/>
        <v>5</v>
      </c>
      <c r="O2969" t="str">
        <f t="shared" ca="1" si="187"/>
        <v>Intermediate level</v>
      </c>
    </row>
    <row r="2970" spans="1:15" x14ac:dyDescent="0.3">
      <c r="A2970" t="s">
        <v>20067</v>
      </c>
      <c r="B2970" t="s">
        <v>20068</v>
      </c>
      <c r="C2970" t="s">
        <v>222</v>
      </c>
      <c r="D2970" t="s">
        <v>20069</v>
      </c>
      <c r="E2970" t="s">
        <v>20070</v>
      </c>
      <c r="F2970" t="s">
        <v>1841</v>
      </c>
      <c r="G2970" t="s">
        <v>20071</v>
      </c>
      <c r="H2970" t="s">
        <v>20072</v>
      </c>
      <c r="I2970">
        <f t="shared" ca="1" si="184"/>
        <v>58</v>
      </c>
      <c r="J2970" t="str">
        <f t="shared" ca="1" si="185"/>
        <v>50-59</v>
      </c>
      <c r="K2970">
        <v>104661.01</v>
      </c>
      <c r="L2970" t="str">
        <f>IF(Workforce[[#This Row],[Salary]]&lt;50000,"30k-49k",IF(Workforce[[#This Row],[Salary]]&lt;70000,"50k-69k",IF(Workforce[[#This Row],[Salary]]&lt;90000,"70k-89k","90k+")))</f>
        <v>90k+</v>
      </c>
      <c r="M2970" t="s">
        <v>20073</v>
      </c>
      <c r="N2970">
        <f t="shared" ca="1" si="186"/>
        <v>2</v>
      </c>
      <c r="O2970" t="str">
        <f t="shared" ca="1" si="187"/>
        <v>Beginner</v>
      </c>
    </row>
    <row r="2971" spans="1:15" x14ac:dyDescent="0.3">
      <c r="A2971" t="s">
        <v>20074</v>
      </c>
      <c r="B2971" t="s">
        <v>20075</v>
      </c>
      <c r="C2971" t="s">
        <v>222</v>
      </c>
      <c r="D2971" t="s">
        <v>20076</v>
      </c>
      <c r="E2971" t="s">
        <v>20077</v>
      </c>
      <c r="F2971" t="s">
        <v>5622</v>
      </c>
      <c r="G2971" t="s">
        <v>20078</v>
      </c>
      <c r="H2971" t="s">
        <v>20079</v>
      </c>
      <c r="I2971">
        <f t="shared" ca="1" si="184"/>
        <v>28</v>
      </c>
      <c r="J2971" t="str">
        <f t="shared" ca="1" si="185"/>
        <v>18-29</v>
      </c>
      <c r="K2971">
        <v>103465.55</v>
      </c>
      <c r="L2971" t="str">
        <f>IF(Workforce[[#This Row],[Salary]]&lt;50000,"30k-49k",IF(Workforce[[#This Row],[Salary]]&lt;70000,"50k-69k",IF(Workforce[[#This Row],[Salary]]&lt;90000,"70k-89k","90k+")))</f>
        <v>90k+</v>
      </c>
      <c r="M2971" t="s">
        <v>4846</v>
      </c>
      <c r="N2971">
        <f t="shared" ca="1" si="186"/>
        <v>7</v>
      </c>
      <c r="O2971" t="str">
        <f t="shared" ca="1" si="187"/>
        <v>Senior level</v>
      </c>
    </row>
    <row r="2972" spans="1:15" x14ac:dyDescent="0.3">
      <c r="A2972" t="s">
        <v>20080</v>
      </c>
      <c r="B2972" t="s">
        <v>20081</v>
      </c>
      <c r="C2972" t="s">
        <v>2086</v>
      </c>
      <c r="D2972" t="s">
        <v>20082</v>
      </c>
      <c r="E2972" t="s">
        <v>20083</v>
      </c>
      <c r="F2972" t="s">
        <v>3529</v>
      </c>
      <c r="G2972" t="s">
        <v>20084</v>
      </c>
      <c r="H2972" t="s">
        <v>20085</v>
      </c>
      <c r="I2972">
        <f t="shared" ca="1" si="184"/>
        <v>65</v>
      </c>
      <c r="J2972" t="str">
        <f t="shared" ca="1" si="185"/>
        <v>60+</v>
      </c>
      <c r="K2972">
        <v>31965.03</v>
      </c>
      <c r="L2972" t="str">
        <f>IF(Workforce[[#This Row],[Salary]]&lt;50000,"30k-49k",IF(Workforce[[#This Row],[Salary]]&lt;70000,"50k-69k",IF(Workforce[[#This Row],[Salary]]&lt;90000,"70k-89k","90k+")))</f>
        <v>30k-49k</v>
      </c>
      <c r="M2972" t="s">
        <v>20086</v>
      </c>
      <c r="N2972">
        <f t="shared" ca="1" si="186"/>
        <v>7</v>
      </c>
      <c r="O2972" t="str">
        <f t="shared" ca="1" si="187"/>
        <v>Senior level</v>
      </c>
    </row>
    <row r="2973" spans="1:15" x14ac:dyDescent="0.3">
      <c r="A2973" t="s">
        <v>20087</v>
      </c>
      <c r="B2973" t="s">
        <v>20088</v>
      </c>
      <c r="C2973" t="s">
        <v>160</v>
      </c>
      <c r="D2973" t="s">
        <v>20089</v>
      </c>
      <c r="E2973" t="s">
        <v>20090</v>
      </c>
      <c r="F2973" t="s">
        <v>768</v>
      </c>
      <c r="G2973" t="s">
        <v>20091</v>
      </c>
      <c r="H2973" t="s">
        <v>20092</v>
      </c>
      <c r="I2973">
        <f t="shared" ca="1" si="184"/>
        <v>54</v>
      </c>
      <c r="J2973" t="str">
        <f t="shared" ca="1" si="185"/>
        <v>50-59</v>
      </c>
      <c r="K2973">
        <v>73582.14</v>
      </c>
      <c r="L2973" t="str">
        <f>IF(Workforce[[#This Row],[Salary]]&lt;50000,"30k-49k",IF(Workforce[[#This Row],[Salary]]&lt;70000,"50k-69k",IF(Workforce[[#This Row],[Salary]]&lt;90000,"70k-89k","90k+")))</f>
        <v>70k-89k</v>
      </c>
      <c r="M2973" t="s">
        <v>20093</v>
      </c>
      <c r="N2973">
        <f t="shared" ca="1" si="186"/>
        <v>9</v>
      </c>
      <c r="O2973" t="str">
        <f t="shared" ca="1" si="187"/>
        <v>Senior level</v>
      </c>
    </row>
    <row r="2974" spans="1:15" x14ac:dyDescent="0.3">
      <c r="A2974" t="s">
        <v>20094</v>
      </c>
      <c r="B2974" t="s">
        <v>20095</v>
      </c>
      <c r="C2974" t="s">
        <v>196</v>
      </c>
      <c r="D2974" t="s">
        <v>20096</v>
      </c>
      <c r="E2974" t="s">
        <v>20097</v>
      </c>
      <c r="F2974" t="s">
        <v>958</v>
      </c>
      <c r="G2974" t="s">
        <v>20098</v>
      </c>
      <c r="H2974" t="s">
        <v>20099</v>
      </c>
      <c r="I2974">
        <f t="shared" ca="1" si="184"/>
        <v>36</v>
      </c>
      <c r="J2974" t="str">
        <f t="shared" ca="1" si="185"/>
        <v>30-39</v>
      </c>
      <c r="K2974">
        <v>113685.78</v>
      </c>
      <c r="L2974" t="str">
        <f>IF(Workforce[[#This Row],[Salary]]&lt;50000,"30k-49k",IF(Workforce[[#This Row],[Salary]]&lt;70000,"50k-69k",IF(Workforce[[#This Row],[Salary]]&lt;90000,"70k-89k","90k+")))</f>
        <v>90k+</v>
      </c>
      <c r="M2974" t="s">
        <v>19408</v>
      </c>
      <c r="N2974">
        <f t="shared" ca="1" si="186"/>
        <v>3</v>
      </c>
      <c r="O2974" t="str">
        <f t="shared" ca="1" si="187"/>
        <v>Intermediate level</v>
      </c>
    </row>
    <row r="2975" spans="1:15" x14ac:dyDescent="0.3">
      <c r="A2975" t="s">
        <v>20100</v>
      </c>
      <c r="B2975" t="s">
        <v>20101</v>
      </c>
      <c r="C2975" t="s">
        <v>160</v>
      </c>
      <c r="D2975" t="s">
        <v>20102</v>
      </c>
      <c r="E2975" t="s">
        <v>20103</v>
      </c>
      <c r="F2975" t="s">
        <v>1541</v>
      </c>
      <c r="G2975" t="s">
        <v>20104</v>
      </c>
      <c r="H2975" t="s">
        <v>20105</v>
      </c>
      <c r="I2975">
        <f t="shared" ca="1" si="184"/>
        <v>47</v>
      </c>
      <c r="J2975" t="str">
        <f t="shared" ca="1" si="185"/>
        <v>40-49</v>
      </c>
      <c r="K2975">
        <v>108058.91</v>
      </c>
      <c r="L2975" t="str">
        <f>IF(Workforce[[#This Row],[Salary]]&lt;50000,"30k-49k",IF(Workforce[[#This Row],[Salary]]&lt;70000,"50k-69k",IF(Workforce[[#This Row],[Salary]]&lt;90000,"70k-89k","90k+")))</f>
        <v>90k+</v>
      </c>
      <c r="M2975" t="s">
        <v>20106</v>
      </c>
      <c r="N2975">
        <f t="shared" ca="1" si="186"/>
        <v>2</v>
      </c>
      <c r="O2975" t="str">
        <f t="shared" ca="1" si="187"/>
        <v>Beginner</v>
      </c>
    </row>
    <row r="2976" spans="1:15" x14ac:dyDescent="0.3">
      <c r="A2976" t="s">
        <v>20107</v>
      </c>
      <c r="B2976" t="s">
        <v>20108</v>
      </c>
      <c r="C2976" t="s">
        <v>133</v>
      </c>
      <c r="D2976" t="s">
        <v>20109</v>
      </c>
      <c r="E2976" t="s">
        <v>20110</v>
      </c>
      <c r="F2976" t="s">
        <v>172</v>
      </c>
      <c r="G2976" t="s">
        <v>20111</v>
      </c>
      <c r="H2976" t="s">
        <v>20112</v>
      </c>
      <c r="I2976">
        <f t="shared" ca="1" si="184"/>
        <v>46</v>
      </c>
      <c r="J2976" t="str">
        <f t="shared" ca="1" si="185"/>
        <v>40-49</v>
      </c>
      <c r="K2976">
        <v>68685.789999999994</v>
      </c>
      <c r="L2976" t="str">
        <f>IF(Workforce[[#This Row],[Salary]]&lt;50000,"30k-49k",IF(Workforce[[#This Row],[Salary]]&lt;70000,"50k-69k",IF(Workforce[[#This Row],[Salary]]&lt;90000,"70k-89k","90k+")))</f>
        <v>50k-69k</v>
      </c>
      <c r="M2976" t="s">
        <v>20113</v>
      </c>
      <c r="N2976">
        <f t="shared" ca="1" si="186"/>
        <v>7</v>
      </c>
      <c r="O2976" t="str">
        <f t="shared" ca="1" si="187"/>
        <v>Senior level</v>
      </c>
    </row>
    <row r="2977" spans="1:15" x14ac:dyDescent="0.3">
      <c r="A2977" t="s">
        <v>20114</v>
      </c>
      <c r="B2977" t="s">
        <v>20115</v>
      </c>
      <c r="C2977" t="s">
        <v>17</v>
      </c>
      <c r="D2977" t="s">
        <v>20116</v>
      </c>
      <c r="E2977" t="s">
        <v>20117</v>
      </c>
      <c r="F2977" t="s">
        <v>6712</v>
      </c>
      <c r="G2977" t="s">
        <v>5192</v>
      </c>
      <c r="H2977" t="s">
        <v>20118</v>
      </c>
      <c r="I2977">
        <f t="shared" ca="1" si="184"/>
        <v>35</v>
      </c>
      <c r="J2977" t="str">
        <f t="shared" ca="1" si="185"/>
        <v>30-39</v>
      </c>
      <c r="K2977">
        <v>112494.93</v>
      </c>
      <c r="L2977" t="str">
        <f>IF(Workforce[[#This Row],[Salary]]&lt;50000,"30k-49k",IF(Workforce[[#This Row],[Salary]]&lt;70000,"50k-69k",IF(Workforce[[#This Row],[Salary]]&lt;90000,"70k-89k","90k+")))</f>
        <v>90k+</v>
      </c>
      <c r="M2977" t="s">
        <v>20119</v>
      </c>
      <c r="N2977">
        <f t="shared" ca="1" si="186"/>
        <v>8</v>
      </c>
      <c r="O2977" t="str">
        <f t="shared" ca="1" si="187"/>
        <v>Senior level</v>
      </c>
    </row>
    <row r="2978" spans="1:15" x14ac:dyDescent="0.3">
      <c r="A2978" t="s">
        <v>20120</v>
      </c>
      <c r="B2978" t="s">
        <v>20121</v>
      </c>
      <c r="C2978" t="s">
        <v>774</v>
      </c>
      <c r="D2978" t="s">
        <v>20122</v>
      </c>
      <c r="E2978" t="s">
        <v>20123</v>
      </c>
      <c r="F2978" t="s">
        <v>15033</v>
      </c>
      <c r="G2978" t="s">
        <v>20124</v>
      </c>
      <c r="H2978" t="s">
        <v>20125</v>
      </c>
      <c r="I2978">
        <f t="shared" ca="1" si="184"/>
        <v>63</v>
      </c>
      <c r="J2978" t="str">
        <f t="shared" ca="1" si="185"/>
        <v>60+</v>
      </c>
      <c r="K2978">
        <v>55478.25</v>
      </c>
      <c r="L2978" t="str">
        <f>IF(Workforce[[#This Row],[Salary]]&lt;50000,"30k-49k",IF(Workforce[[#This Row],[Salary]]&lt;70000,"50k-69k",IF(Workforce[[#This Row],[Salary]]&lt;90000,"70k-89k","90k+")))</f>
        <v>50k-69k</v>
      </c>
      <c r="M2978" t="s">
        <v>4592</v>
      </c>
      <c r="N2978">
        <f t="shared" ca="1" si="186"/>
        <v>9</v>
      </c>
      <c r="O2978" t="str">
        <f t="shared" ca="1" si="187"/>
        <v>Senior level</v>
      </c>
    </row>
    <row r="2979" spans="1:15" x14ac:dyDescent="0.3">
      <c r="A2979" t="s">
        <v>20126</v>
      </c>
      <c r="B2979" t="s">
        <v>20127</v>
      </c>
      <c r="C2979" t="s">
        <v>70</v>
      </c>
      <c r="D2979" t="s">
        <v>20128</v>
      </c>
      <c r="E2979" t="s">
        <v>20129</v>
      </c>
      <c r="F2979" t="s">
        <v>639</v>
      </c>
      <c r="G2979" t="s">
        <v>20130</v>
      </c>
      <c r="H2979" t="s">
        <v>20131</v>
      </c>
      <c r="I2979">
        <f t="shared" ca="1" si="184"/>
        <v>52</v>
      </c>
      <c r="J2979" t="str">
        <f t="shared" ca="1" si="185"/>
        <v>50-59</v>
      </c>
      <c r="K2979">
        <v>63417.38</v>
      </c>
      <c r="L2979" t="str">
        <f>IF(Workforce[[#This Row],[Salary]]&lt;50000,"30k-49k",IF(Workforce[[#This Row],[Salary]]&lt;70000,"50k-69k",IF(Workforce[[#This Row],[Salary]]&lt;90000,"70k-89k","90k+")))</f>
        <v>50k-69k</v>
      </c>
      <c r="M2979" t="s">
        <v>20132</v>
      </c>
      <c r="N2979">
        <f t="shared" ca="1" si="186"/>
        <v>3</v>
      </c>
      <c r="O2979" t="str">
        <f t="shared" ca="1" si="187"/>
        <v>Intermediate level</v>
      </c>
    </row>
    <row r="2980" spans="1:15" x14ac:dyDescent="0.3">
      <c r="A2980" t="s">
        <v>20133</v>
      </c>
      <c r="B2980" t="s">
        <v>20134</v>
      </c>
      <c r="C2980" t="s">
        <v>115</v>
      </c>
      <c r="D2980" t="s">
        <v>20135</v>
      </c>
      <c r="E2980" t="s">
        <v>20136</v>
      </c>
      <c r="F2980" t="s">
        <v>1511</v>
      </c>
      <c r="G2980" t="s">
        <v>20137</v>
      </c>
      <c r="H2980" t="s">
        <v>20138</v>
      </c>
      <c r="I2980">
        <f t="shared" ca="1" si="184"/>
        <v>66</v>
      </c>
      <c r="J2980" t="str">
        <f t="shared" ca="1" si="185"/>
        <v>60+</v>
      </c>
      <c r="K2980">
        <v>37459.75</v>
      </c>
      <c r="L2980" t="str">
        <f>IF(Workforce[[#This Row],[Salary]]&lt;50000,"30k-49k",IF(Workforce[[#This Row],[Salary]]&lt;70000,"50k-69k",IF(Workforce[[#This Row],[Salary]]&lt;90000,"70k-89k","90k+")))</f>
        <v>30k-49k</v>
      </c>
      <c r="M2980" t="s">
        <v>19378</v>
      </c>
      <c r="N2980">
        <f t="shared" ca="1" si="186"/>
        <v>2</v>
      </c>
      <c r="O2980" t="str">
        <f t="shared" ca="1" si="187"/>
        <v>Beginner</v>
      </c>
    </row>
    <row r="2981" spans="1:15" x14ac:dyDescent="0.3">
      <c r="A2981" t="s">
        <v>20139</v>
      </c>
      <c r="B2981" t="s">
        <v>20140</v>
      </c>
      <c r="C2981" t="s">
        <v>17</v>
      </c>
      <c r="D2981" t="s">
        <v>20141</v>
      </c>
      <c r="E2981" t="s">
        <v>20142</v>
      </c>
      <c r="F2981" t="s">
        <v>3986</v>
      </c>
      <c r="G2981" t="s">
        <v>20143</v>
      </c>
      <c r="H2981" t="s">
        <v>20144</v>
      </c>
      <c r="I2981">
        <f t="shared" ca="1" si="184"/>
        <v>26</v>
      </c>
      <c r="J2981" t="str">
        <f t="shared" ca="1" si="185"/>
        <v>18-29</v>
      </c>
      <c r="K2981">
        <v>93631.84</v>
      </c>
      <c r="L2981" t="str">
        <f>IF(Workforce[[#This Row],[Salary]]&lt;50000,"30k-49k",IF(Workforce[[#This Row],[Salary]]&lt;70000,"50k-69k",IF(Workforce[[#This Row],[Salary]]&lt;90000,"70k-89k","90k+")))</f>
        <v>90k+</v>
      </c>
      <c r="M2981" t="s">
        <v>7757</v>
      </c>
      <c r="N2981">
        <f t="shared" ca="1" si="186"/>
        <v>5</v>
      </c>
      <c r="O2981" t="str">
        <f t="shared" ca="1" si="187"/>
        <v>Intermediate level</v>
      </c>
    </row>
    <row r="2982" spans="1:15" x14ac:dyDescent="0.3">
      <c r="A2982" t="s">
        <v>20145</v>
      </c>
      <c r="B2982" t="s">
        <v>20146</v>
      </c>
      <c r="C2982" t="s">
        <v>240</v>
      </c>
      <c r="D2982" t="s">
        <v>20147</v>
      </c>
      <c r="E2982" t="s">
        <v>20148</v>
      </c>
      <c r="F2982" t="s">
        <v>190</v>
      </c>
      <c r="G2982" t="s">
        <v>20149</v>
      </c>
      <c r="H2982" t="s">
        <v>15361</v>
      </c>
      <c r="I2982">
        <f t="shared" ca="1" si="184"/>
        <v>64</v>
      </c>
      <c r="J2982" t="str">
        <f t="shared" ca="1" si="185"/>
        <v>60+</v>
      </c>
      <c r="K2982">
        <v>31866.42</v>
      </c>
      <c r="L2982" t="str">
        <f>IF(Workforce[[#This Row],[Salary]]&lt;50000,"30k-49k",IF(Workforce[[#This Row],[Salary]]&lt;70000,"50k-69k",IF(Workforce[[#This Row],[Salary]]&lt;90000,"70k-89k","90k+")))</f>
        <v>30k-49k</v>
      </c>
      <c r="M2982" t="s">
        <v>20150</v>
      </c>
      <c r="N2982">
        <f t="shared" ca="1" si="186"/>
        <v>8</v>
      </c>
      <c r="O2982" t="str">
        <f t="shared" ca="1" si="187"/>
        <v>Senior level</v>
      </c>
    </row>
    <row r="2983" spans="1:15" x14ac:dyDescent="0.3">
      <c r="A2983" t="s">
        <v>20151</v>
      </c>
      <c r="B2983" t="s">
        <v>20152</v>
      </c>
      <c r="C2983" t="s">
        <v>240</v>
      </c>
      <c r="D2983" t="s">
        <v>20153</v>
      </c>
      <c r="E2983" t="s">
        <v>20154</v>
      </c>
      <c r="F2983" t="s">
        <v>9373</v>
      </c>
      <c r="G2983" t="s">
        <v>20155</v>
      </c>
      <c r="H2983" t="s">
        <v>20156</v>
      </c>
      <c r="I2983">
        <f t="shared" ca="1" si="184"/>
        <v>62</v>
      </c>
      <c r="J2983" t="str">
        <f t="shared" ca="1" si="185"/>
        <v>60+</v>
      </c>
      <c r="K2983">
        <v>119252.76</v>
      </c>
      <c r="L2983" t="str">
        <f>IF(Workforce[[#This Row],[Salary]]&lt;50000,"30k-49k",IF(Workforce[[#This Row],[Salary]]&lt;70000,"50k-69k",IF(Workforce[[#This Row],[Salary]]&lt;90000,"70k-89k","90k+")))</f>
        <v>90k+</v>
      </c>
      <c r="M2983" t="s">
        <v>11406</v>
      </c>
      <c r="N2983">
        <f t="shared" ca="1" si="186"/>
        <v>4</v>
      </c>
      <c r="O2983" t="str">
        <f t="shared" ca="1" si="187"/>
        <v>Intermediate level</v>
      </c>
    </row>
    <row r="2984" spans="1:15" x14ac:dyDescent="0.3">
      <c r="A2984" t="s">
        <v>20157</v>
      </c>
      <c r="B2984" t="s">
        <v>20158</v>
      </c>
      <c r="C2984" t="s">
        <v>178</v>
      </c>
      <c r="D2984" t="s">
        <v>20159</v>
      </c>
      <c r="E2984" t="s">
        <v>20160</v>
      </c>
      <c r="F2984" t="s">
        <v>823</v>
      </c>
      <c r="G2984" t="s">
        <v>20161</v>
      </c>
      <c r="H2984" t="s">
        <v>20162</v>
      </c>
      <c r="I2984">
        <f t="shared" ca="1" si="184"/>
        <v>25</v>
      </c>
      <c r="J2984" t="str">
        <f t="shared" ca="1" si="185"/>
        <v>18-29</v>
      </c>
      <c r="K2984">
        <v>89518.61</v>
      </c>
      <c r="L2984" t="str">
        <f>IF(Workforce[[#This Row],[Salary]]&lt;50000,"30k-49k",IF(Workforce[[#This Row],[Salary]]&lt;70000,"50k-69k",IF(Workforce[[#This Row],[Salary]]&lt;90000,"70k-89k","90k+")))</f>
        <v>70k-89k</v>
      </c>
      <c r="M2984" t="s">
        <v>20163</v>
      </c>
      <c r="N2984">
        <f t="shared" ca="1" si="186"/>
        <v>2</v>
      </c>
      <c r="O2984" t="str">
        <f t="shared" ca="1" si="187"/>
        <v>Beginner</v>
      </c>
    </row>
    <row r="2985" spans="1:15" x14ac:dyDescent="0.3">
      <c r="A2985" t="s">
        <v>20164</v>
      </c>
      <c r="B2985" t="s">
        <v>20165</v>
      </c>
      <c r="C2985" t="s">
        <v>604</v>
      </c>
      <c r="D2985" t="s">
        <v>20166</v>
      </c>
      <c r="E2985" t="s">
        <v>20167</v>
      </c>
      <c r="F2985" t="s">
        <v>7439</v>
      </c>
      <c r="G2985" t="s">
        <v>20168</v>
      </c>
      <c r="H2985" t="s">
        <v>5753</v>
      </c>
      <c r="I2985">
        <f t="shared" ca="1" si="184"/>
        <v>45</v>
      </c>
      <c r="J2985" t="str">
        <f t="shared" ca="1" si="185"/>
        <v>40-49</v>
      </c>
      <c r="K2985">
        <v>30843.88</v>
      </c>
      <c r="L2985" t="str">
        <f>IF(Workforce[[#This Row],[Salary]]&lt;50000,"30k-49k",IF(Workforce[[#This Row],[Salary]]&lt;70000,"50k-69k",IF(Workforce[[#This Row],[Salary]]&lt;90000,"70k-89k","90k+")))</f>
        <v>30k-49k</v>
      </c>
      <c r="M2985" t="s">
        <v>1844</v>
      </c>
      <c r="N2985">
        <f t="shared" ca="1" si="186"/>
        <v>5</v>
      </c>
      <c r="O2985" t="str">
        <f t="shared" ca="1" si="187"/>
        <v>Intermediate level</v>
      </c>
    </row>
    <row r="2986" spans="1:15" x14ac:dyDescent="0.3">
      <c r="A2986" t="s">
        <v>20169</v>
      </c>
      <c r="B2986" t="s">
        <v>20170</v>
      </c>
      <c r="C2986" t="s">
        <v>1043</v>
      </c>
      <c r="D2986" t="s">
        <v>20171</v>
      </c>
      <c r="E2986" t="s">
        <v>20172</v>
      </c>
      <c r="F2986" t="s">
        <v>451</v>
      </c>
      <c r="G2986" t="s">
        <v>20173</v>
      </c>
      <c r="H2986" t="s">
        <v>20174</v>
      </c>
      <c r="I2986">
        <f t="shared" ca="1" si="184"/>
        <v>48</v>
      </c>
      <c r="J2986" t="str">
        <f t="shared" ca="1" si="185"/>
        <v>40-49</v>
      </c>
      <c r="K2986">
        <v>71414.94</v>
      </c>
      <c r="L2986" t="str">
        <f>IF(Workforce[[#This Row],[Salary]]&lt;50000,"30k-49k",IF(Workforce[[#This Row],[Salary]]&lt;70000,"50k-69k",IF(Workforce[[#This Row],[Salary]]&lt;90000,"70k-89k","90k+")))</f>
        <v>70k-89k</v>
      </c>
      <c r="M2986" t="s">
        <v>17249</v>
      </c>
      <c r="N2986">
        <f t="shared" ca="1" si="186"/>
        <v>6</v>
      </c>
      <c r="O2986" t="str">
        <f t="shared" ca="1" si="187"/>
        <v>Intermediate level</v>
      </c>
    </row>
    <row r="2987" spans="1:15" x14ac:dyDescent="0.3">
      <c r="A2987" t="s">
        <v>20175</v>
      </c>
      <c r="B2987" t="s">
        <v>20176</v>
      </c>
      <c r="C2987" t="s">
        <v>748</v>
      </c>
      <c r="D2987" t="s">
        <v>20177</v>
      </c>
      <c r="E2987" t="s">
        <v>20178</v>
      </c>
      <c r="F2987" t="s">
        <v>2653</v>
      </c>
      <c r="G2987" t="s">
        <v>20179</v>
      </c>
      <c r="H2987" t="s">
        <v>20180</v>
      </c>
      <c r="I2987">
        <f t="shared" ca="1" si="184"/>
        <v>39</v>
      </c>
      <c r="J2987" t="str">
        <f t="shared" ca="1" si="185"/>
        <v>30-39</v>
      </c>
      <c r="K2987">
        <v>97408.04</v>
      </c>
      <c r="L2987" t="str">
        <f>IF(Workforce[[#This Row],[Salary]]&lt;50000,"30k-49k",IF(Workforce[[#This Row],[Salary]]&lt;70000,"50k-69k",IF(Workforce[[#This Row],[Salary]]&lt;90000,"70k-89k","90k+")))</f>
        <v>90k+</v>
      </c>
      <c r="M2987" t="s">
        <v>1236</v>
      </c>
      <c r="N2987">
        <f t="shared" ca="1" si="186"/>
        <v>3</v>
      </c>
      <c r="O2987" t="str">
        <f t="shared" ca="1" si="187"/>
        <v>Intermediate level</v>
      </c>
    </row>
    <row r="2988" spans="1:15" x14ac:dyDescent="0.3">
      <c r="A2988" t="s">
        <v>20181</v>
      </c>
      <c r="B2988" t="s">
        <v>20182</v>
      </c>
      <c r="C2988" t="s">
        <v>97</v>
      </c>
      <c r="D2988" t="s">
        <v>20183</v>
      </c>
      <c r="E2988" t="s">
        <v>20184</v>
      </c>
      <c r="F2988" t="s">
        <v>9070</v>
      </c>
      <c r="G2988" t="s">
        <v>20185</v>
      </c>
      <c r="H2988" t="s">
        <v>3586</v>
      </c>
      <c r="I2988">
        <f t="shared" ca="1" si="184"/>
        <v>32</v>
      </c>
      <c r="J2988" t="str">
        <f t="shared" ca="1" si="185"/>
        <v>30-39</v>
      </c>
      <c r="K2988">
        <v>117972.6</v>
      </c>
      <c r="L2988" t="str">
        <f>IF(Workforce[[#This Row],[Salary]]&lt;50000,"30k-49k",IF(Workforce[[#This Row],[Salary]]&lt;70000,"50k-69k",IF(Workforce[[#This Row],[Salary]]&lt;90000,"70k-89k","90k+")))</f>
        <v>90k+</v>
      </c>
      <c r="M2988" t="s">
        <v>15335</v>
      </c>
      <c r="N2988">
        <f t="shared" ca="1" si="186"/>
        <v>3</v>
      </c>
      <c r="O2988" t="str">
        <f t="shared" ca="1" si="187"/>
        <v>Intermediate level</v>
      </c>
    </row>
    <row r="2989" spans="1:15" x14ac:dyDescent="0.3">
      <c r="A2989" t="s">
        <v>20186</v>
      </c>
      <c r="B2989" t="s">
        <v>20187</v>
      </c>
      <c r="C2989" t="s">
        <v>115</v>
      </c>
      <c r="D2989" t="s">
        <v>20188</v>
      </c>
      <c r="E2989" t="s">
        <v>20189</v>
      </c>
      <c r="F2989" t="s">
        <v>269</v>
      </c>
      <c r="G2989" t="s">
        <v>20190</v>
      </c>
      <c r="H2989" t="s">
        <v>20191</v>
      </c>
      <c r="I2989">
        <f t="shared" ca="1" si="184"/>
        <v>18</v>
      </c>
      <c r="J2989" t="str">
        <f t="shared" ca="1" si="185"/>
        <v>18-29</v>
      </c>
      <c r="K2989">
        <v>35142.28</v>
      </c>
      <c r="L2989" t="str">
        <f>IF(Workforce[[#This Row],[Salary]]&lt;50000,"30k-49k",IF(Workforce[[#This Row],[Salary]]&lt;70000,"50k-69k",IF(Workforce[[#This Row],[Salary]]&lt;90000,"70k-89k","90k+")))</f>
        <v>30k-49k</v>
      </c>
      <c r="M2989" t="s">
        <v>20192</v>
      </c>
      <c r="N2989">
        <f t="shared" ca="1" si="186"/>
        <v>8</v>
      </c>
      <c r="O2989" t="str">
        <f t="shared" ca="1" si="187"/>
        <v>Senior level</v>
      </c>
    </row>
    <row r="2990" spans="1:15" x14ac:dyDescent="0.3">
      <c r="A2990" t="s">
        <v>20193</v>
      </c>
      <c r="B2990" t="s">
        <v>20194</v>
      </c>
      <c r="C2990" t="s">
        <v>844</v>
      </c>
      <c r="D2990" t="s">
        <v>20195</v>
      </c>
      <c r="E2990" t="s">
        <v>20196</v>
      </c>
      <c r="F2990" t="s">
        <v>5902</v>
      </c>
      <c r="G2990" t="s">
        <v>5903</v>
      </c>
      <c r="H2990" t="s">
        <v>20197</v>
      </c>
      <c r="I2990">
        <f t="shared" ca="1" si="184"/>
        <v>66</v>
      </c>
      <c r="J2990" t="str">
        <f t="shared" ca="1" si="185"/>
        <v>60+</v>
      </c>
      <c r="K2990">
        <v>113527.96</v>
      </c>
      <c r="L2990" t="str">
        <f>IF(Workforce[[#This Row],[Salary]]&lt;50000,"30k-49k",IF(Workforce[[#This Row],[Salary]]&lt;70000,"50k-69k",IF(Workforce[[#This Row],[Salary]]&lt;90000,"70k-89k","90k+")))</f>
        <v>90k+</v>
      </c>
      <c r="M2990" t="s">
        <v>16505</v>
      </c>
      <c r="N2990">
        <f t="shared" ca="1" si="186"/>
        <v>4</v>
      </c>
      <c r="O2990" t="str">
        <f t="shared" ca="1" si="187"/>
        <v>Intermediate level</v>
      </c>
    </row>
    <row r="2991" spans="1:15" x14ac:dyDescent="0.3">
      <c r="A2991" t="s">
        <v>20198</v>
      </c>
      <c r="B2991" t="s">
        <v>20199</v>
      </c>
      <c r="C2991" t="s">
        <v>240</v>
      </c>
      <c r="D2991" t="s">
        <v>20200</v>
      </c>
      <c r="E2991" t="s">
        <v>20201</v>
      </c>
      <c r="F2991" t="s">
        <v>2305</v>
      </c>
      <c r="G2991" t="s">
        <v>3330</v>
      </c>
      <c r="H2991" t="s">
        <v>14260</v>
      </c>
      <c r="I2991">
        <f t="shared" ca="1" si="184"/>
        <v>55</v>
      </c>
      <c r="J2991" t="str">
        <f t="shared" ca="1" si="185"/>
        <v>50-59</v>
      </c>
      <c r="K2991">
        <v>95571.57</v>
      </c>
      <c r="L2991" t="str">
        <f>IF(Workforce[[#This Row],[Salary]]&lt;50000,"30k-49k",IF(Workforce[[#This Row],[Salary]]&lt;70000,"50k-69k",IF(Workforce[[#This Row],[Salary]]&lt;90000,"70k-89k","90k+")))</f>
        <v>90k+</v>
      </c>
      <c r="M2991" t="s">
        <v>7820</v>
      </c>
      <c r="N2991">
        <f t="shared" ca="1" si="186"/>
        <v>3</v>
      </c>
      <c r="O2991" t="str">
        <f t="shared" ca="1" si="187"/>
        <v>Intermediate level</v>
      </c>
    </row>
    <row r="2992" spans="1:15" x14ac:dyDescent="0.3">
      <c r="A2992" t="s">
        <v>20202</v>
      </c>
      <c r="B2992" t="s">
        <v>20203</v>
      </c>
      <c r="C2992" t="s">
        <v>995</v>
      </c>
      <c r="D2992" t="s">
        <v>20204</v>
      </c>
      <c r="E2992" t="s">
        <v>20205</v>
      </c>
      <c r="F2992" t="s">
        <v>16678</v>
      </c>
      <c r="G2992" t="s">
        <v>20206</v>
      </c>
      <c r="H2992" t="s">
        <v>20207</v>
      </c>
      <c r="I2992">
        <f t="shared" ca="1" si="184"/>
        <v>41</v>
      </c>
      <c r="J2992" t="str">
        <f t="shared" ca="1" si="185"/>
        <v>40-49</v>
      </c>
      <c r="K2992">
        <v>116486.91</v>
      </c>
      <c r="L2992" t="str">
        <f>IF(Workforce[[#This Row],[Salary]]&lt;50000,"30k-49k",IF(Workforce[[#This Row],[Salary]]&lt;70000,"50k-69k",IF(Workforce[[#This Row],[Salary]]&lt;90000,"70k-89k","90k+")))</f>
        <v>90k+</v>
      </c>
      <c r="M2992" t="s">
        <v>20208</v>
      </c>
      <c r="N2992">
        <f t="shared" ca="1" si="186"/>
        <v>4</v>
      </c>
      <c r="O2992" t="str">
        <f t="shared" ca="1" si="187"/>
        <v>Intermediate level</v>
      </c>
    </row>
    <row r="2993" spans="1:15" x14ac:dyDescent="0.3">
      <c r="A2993" t="s">
        <v>20209</v>
      </c>
      <c r="B2993" t="s">
        <v>20210</v>
      </c>
      <c r="C2993" t="s">
        <v>44</v>
      </c>
      <c r="D2993" t="s">
        <v>20211</v>
      </c>
      <c r="E2993" t="s">
        <v>20212</v>
      </c>
      <c r="F2993" t="s">
        <v>1503</v>
      </c>
      <c r="G2993" t="s">
        <v>20213</v>
      </c>
      <c r="H2993" t="s">
        <v>20214</v>
      </c>
      <c r="I2993">
        <f t="shared" ca="1" si="184"/>
        <v>54</v>
      </c>
      <c r="J2993" t="str">
        <f t="shared" ca="1" si="185"/>
        <v>50-59</v>
      </c>
      <c r="K2993">
        <v>105352.27</v>
      </c>
      <c r="L2993" t="str">
        <f>IF(Workforce[[#This Row],[Salary]]&lt;50000,"30k-49k",IF(Workforce[[#This Row],[Salary]]&lt;70000,"50k-69k",IF(Workforce[[#This Row],[Salary]]&lt;90000,"70k-89k","90k+")))</f>
        <v>90k+</v>
      </c>
      <c r="M2993" t="s">
        <v>20215</v>
      </c>
      <c r="N2993">
        <f t="shared" ca="1" si="186"/>
        <v>2</v>
      </c>
      <c r="O2993" t="str">
        <f t="shared" ca="1" si="187"/>
        <v>Beginner</v>
      </c>
    </row>
    <row r="2994" spans="1:15" x14ac:dyDescent="0.3">
      <c r="A2994" t="s">
        <v>20216</v>
      </c>
      <c r="B2994" t="s">
        <v>20217</v>
      </c>
      <c r="C2994" t="s">
        <v>1043</v>
      </c>
      <c r="D2994" t="s">
        <v>20218</v>
      </c>
      <c r="E2994" t="s">
        <v>20219</v>
      </c>
      <c r="F2994" t="s">
        <v>1525</v>
      </c>
      <c r="G2994" t="s">
        <v>20220</v>
      </c>
      <c r="H2994" t="s">
        <v>20221</v>
      </c>
      <c r="I2994">
        <f t="shared" ca="1" si="184"/>
        <v>64</v>
      </c>
      <c r="J2994" t="str">
        <f t="shared" ca="1" si="185"/>
        <v>60+</v>
      </c>
      <c r="K2994">
        <v>51669.07</v>
      </c>
      <c r="L2994" t="str">
        <f>IF(Workforce[[#This Row],[Salary]]&lt;50000,"30k-49k",IF(Workforce[[#This Row],[Salary]]&lt;70000,"50k-69k",IF(Workforce[[#This Row],[Salary]]&lt;90000,"70k-89k","90k+")))</f>
        <v>50k-69k</v>
      </c>
      <c r="M2994" t="s">
        <v>20222</v>
      </c>
      <c r="N2994">
        <f t="shared" ca="1" si="186"/>
        <v>5</v>
      </c>
      <c r="O2994" t="str">
        <f t="shared" ca="1" si="187"/>
        <v>Intermediate level</v>
      </c>
    </row>
    <row r="2995" spans="1:15" x14ac:dyDescent="0.3">
      <c r="A2995" t="s">
        <v>20223</v>
      </c>
      <c r="B2995" t="s">
        <v>20224</v>
      </c>
      <c r="C2995" t="s">
        <v>317</v>
      </c>
      <c r="D2995" t="s">
        <v>20225</v>
      </c>
      <c r="E2995" t="s">
        <v>20226</v>
      </c>
      <c r="F2995" t="s">
        <v>2066</v>
      </c>
      <c r="G2995" t="s">
        <v>20227</v>
      </c>
      <c r="H2995" t="s">
        <v>14441</v>
      </c>
      <c r="I2995">
        <f t="shared" ca="1" si="184"/>
        <v>56</v>
      </c>
      <c r="J2995" t="str">
        <f t="shared" ca="1" si="185"/>
        <v>50-59</v>
      </c>
      <c r="K2995">
        <v>95887.52</v>
      </c>
      <c r="L2995" t="str">
        <f>IF(Workforce[[#This Row],[Salary]]&lt;50000,"30k-49k",IF(Workforce[[#This Row],[Salary]]&lt;70000,"50k-69k",IF(Workforce[[#This Row],[Salary]]&lt;90000,"70k-89k","90k+")))</f>
        <v>90k+</v>
      </c>
      <c r="M2995" t="s">
        <v>13793</v>
      </c>
      <c r="N2995">
        <f t="shared" ca="1" si="186"/>
        <v>8</v>
      </c>
      <c r="O2995" t="str">
        <f t="shared" ca="1" si="187"/>
        <v>Senior level</v>
      </c>
    </row>
    <row r="2996" spans="1:15" x14ac:dyDescent="0.3">
      <c r="A2996" t="s">
        <v>20228</v>
      </c>
      <c r="B2996" t="s">
        <v>20229</v>
      </c>
      <c r="C2996" t="s">
        <v>844</v>
      </c>
      <c r="D2996" t="s">
        <v>20230</v>
      </c>
      <c r="E2996" t="s">
        <v>20231</v>
      </c>
      <c r="F2996" t="s">
        <v>9652</v>
      </c>
      <c r="G2996" t="s">
        <v>20232</v>
      </c>
      <c r="H2996" t="s">
        <v>20233</v>
      </c>
      <c r="I2996">
        <f t="shared" ca="1" si="184"/>
        <v>33</v>
      </c>
      <c r="J2996" t="str">
        <f t="shared" ca="1" si="185"/>
        <v>30-39</v>
      </c>
      <c r="K2996">
        <v>40502.31</v>
      </c>
      <c r="L2996" t="str">
        <f>IF(Workforce[[#This Row],[Salary]]&lt;50000,"30k-49k",IF(Workforce[[#This Row],[Salary]]&lt;70000,"50k-69k",IF(Workforce[[#This Row],[Salary]]&lt;90000,"70k-89k","90k+")))</f>
        <v>30k-49k</v>
      </c>
      <c r="M2996" t="s">
        <v>15056</v>
      </c>
      <c r="N2996">
        <f t="shared" ca="1" si="186"/>
        <v>10</v>
      </c>
      <c r="O2996" t="str">
        <f t="shared" ca="1" si="187"/>
        <v>Senior level</v>
      </c>
    </row>
    <row r="2997" spans="1:15" x14ac:dyDescent="0.3">
      <c r="A2997" t="s">
        <v>20234</v>
      </c>
      <c r="B2997" t="s">
        <v>20235</v>
      </c>
      <c r="C2997" t="s">
        <v>774</v>
      </c>
      <c r="D2997" t="s">
        <v>20236</v>
      </c>
      <c r="E2997" t="s">
        <v>20237</v>
      </c>
      <c r="F2997" t="s">
        <v>154</v>
      </c>
      <c r="G2997" t="s">
        <v>20238</v>
      </c>
      <c r="H2997" t="s">
        <v>13486</v>
      </c>
      <c r="I2997">
        <f t="shared" ca="1" si="184"/>
        <v>28</v>
      </c>
      <c r="J2997" t="str">
        <f t="shared" ca="1" si="185"/>
        <v>18-29</v>
      </c>
      <c r="K2997">
        <v>80060.759999999995</v>
      </c>
      <c r="L2997" t="str">
        <f>IF(Workforce[[#This Row],[Salary]]&lt;50000,"30k-49k",IF(Workforce[[#This Row],[Salary]]&lt;70000,"50k-69k",IF(Workforce[[#This Row],[Salary]]&lt;90000,"70k-89k","90k+")))</f>
        <v>70k-89k</v>
      </c>
      <c r="M2997" t="s">
        <v>20239</v>
      </c>
      <c r="N2997">
        <f t="shared" ca="1" si="186"/>
        <v>5</v>
      </c>
      <c r="O2997" t="str">
        <f t="shared" ca="1" si="187"/>
        <v>Intermediate level</v>
      </c>
    </row>
    <row r="2998" spans="1:15" x14ac:dyDescent="0.3">
      <c r="A2998" t="s">
        <v>20240</v>
      </c>
      <c r="B2998" t="s">
        <v>20241</v>
      </c>
      <c r="C2998" t="s">
        <v>133</v>
      </c>
      <c r="D2998" t="s">
        <v>20242</v>
      </c>
      <c r="E2998" t="s">
        <v>20243</v>
      </c>
      <c r="F2998" t="s">
        <v>14550</v>
      </c>
      <c r="G2998" t="s">
        <v>20244</v>
      </c>
      <c r="H2998" t="s">
        <v>20245</v>
      </c>
      <c r="I2998">
        <f t="shared" ca="1" si="184"/>
        <v>66</v>
      </c>
      <c r="J2998" t="str">
        <f t="shared" ca="1" si="185"/>
        <v>60+</v>
      </c>
      <c r="K2998">
        <v>109108.45</v>
      </c>
      <c r="L2998" t="str">
        <f>IF(Workforce[[#This Row],[Salary]]&lt;50000,"30k-49k",IF(Workforce[[#This Row],[Salary]]&lt;70000,"50k-69k",IF(Workforce[[#This Row],[Salary]]&lt;90000,"70k-89k","90k+")))</f>
        <v>90k+</v>
      </c>
      <c r="M2998" t="s">
        <v>20246</v>
      </c>
      <c r="N2998">
        <f t="shared" ca="1" si="186"/>
        <v>6</v>
      </c>
      <c r="O2998" t="str">
        <f t="shared" ca="1" si="187"/>
        <v>Intermediate level</v>
      </c>
    </row>
    <row r="2999" spans="1:15" x14ac:dyDescent="0.3">
      <c r="A2999" t="s">
        <v>20247</v>
      </c>
      <c r="B2999" t="s">
        <v>20248</v>
      </c>
      <c r="C2999" t="s">
        <v>124</v>
      </c>
      <c r="D2999" t="s">
        <v>20249</v>
      </c>
      <c r="E2999" t="s">
        <v>20250</v>
      </c>
      <c r="F2999" t="s">
        <v>5053</v>
      </c>
      <c r="G2999" t="s">
        <v>20251</v>
      </c>
      <c r="H2999" t="s">
        <v>20252</v>
      </c>
      <c r="I2999">
        <f t="shared" ca="1" si="184"/>
        <v>26</v>
      </c>
      <c r="J2999" t="str">
        <f t="shared" ca="1" si="185"/>
        <v>18-29</v>
      </c>
      <c r="K2999">
        <v>42394.18</v>
      </c>
      <c r="L2999" t="str">
        <f>IF(Workforce[[#This Row],[Salary]]&lt;50000,"30k-49k",IF(Workforce[[#This Row],[Salary]]&lt;70000,"50k-69k",IF(Workforce[[#This Row],[Salary]]&lt;90000,"70k-89k","90k+")))</f>
        <v>30k-49k</v>
      </c>
      <c r="M2999" t="s">
        <v>20253</v>
      </c>
      <c r="N2999">
        <f t="shared" ca="1" si="186"/>
        <v>8</v>
      </c>
      <c r="O2999" t="str">
        <f t="shared" ca="1" si="187"/>
        <v>Senior level</v>
      </c>
    </row>
    <row r="3000" spans="1:15" x14ac:dyDescent="0.3">
      <c r="A3000" t="s">
        <v>20254</v>
      </c>
      <c r="B3000" t="s">
        <v>20255</v>
      </c>
      <c r="C3000" t="s">
        <v>222</v>
      </c>
      <c r="D3000" t="s">
        <v>20256</v>
      </c>
      <c r="E3000" t="s">
        <v>20257</v>
      </c>
      <c r="F3000" t="s">
        <v>100</v>
      </c>
      <c r="G3000" t="s">
        <v>20258</v>
      </c>
      <c r="H3000" t="s">
        <v>20259</v>
      </c>
      <c r="I3000">
        <f t="shared" ca="1" si="184"/>
        <v>19</v>
      </c>
      <c r="J3000" t="str">
        <f t="shared" ca="1" si="185"/>
        <v>18-29</v>
      </c>
      <c r="K3000">
        <v>39075.99</v>
      </c>
      <c r="L3000" t="str">
        <f>IF(Workforce[[#This Row],[Salary]]&lt;50000,"30k-49k",IF(Workforce[[#This Row],[Salary]]&lt;70000,"50k-69k",IF(Workforce[[#This Row],[Salary]]&lt;90000,"70k-89k","90k+")))</f>
        <v>30k-49k</v>
      </c>
      <c r="M3000" t="s">
        <v>5238</v>
      </c>
      <c r="N3000">
        <f t="shared" ca="1" si="186"/>
        <v>8</v>
      </c>
      <c r="O3000" t="str">
        <f t="shared" ca="1" si="187"/>
        <v>Senior level</v>
      </c>
    </row>
    <row r="3001" spans="1:15" x14ac:dyDescent="0.3">
      <c r="A3001" t="s">
        <v>20260</v>
      </c>
      <c r="B3001" t="s">
        <v>20261</v>
      </c>
      <c r="C3001" t="s">
        <v>2086</v>
      </c>
      <c r="D3001" t="s">
        <v>20262</v>
      </c>
      <c r="E3001" t="s">
        <v>20263</v>
      </c>
      <c r="F3001" t="s">
        <v>2562</v>
      </c>
      <c r="G3001" t="s">
        <v>20264</v>
      </c>
      <c r="H3001" t="s">
        <v>20265</v>
      </c>
      <c r="I3001">
        <f t="shared" ca="1" si="184"/>
        <v>53</v>
      </c>
      <c r="J3001" t="str">
        <f t="shared" ca="1" si="185"/>
        <v>50-59</v>
      </c>
      <c r="K3001">
        <v>92518.27</v>
      </c>
      <c r="L3001" t="str">
        <f>IF(Workforce[[#This Row],[Salary]]&lt;50000,"30k-49k",IF(Workforce[[#This Row],[Salary]]&lt;70000,"50k-69k",IF(Workforce[[#This Row],[Salary]]&lt;90000,"70k-89k","90k+")))</f>
        <v>90k+</v>
      </c>
      <c r="M3001" t="s">
        <v>5201</v>
      </c>
      <c r="N3001">
        <f t="shared" ca="1" si="186"/>
        <v>7</v>
      </c>
      <c r="O3001" t="str">
        <f t="shared" ca="1" si="187"/>
        <v>Senior level</v>
      </c>
    </row>
  </sheetData>
  <hyperlinks>
    <hyperlink ref="B263" r:id="rId1" xr:uid="{8459346C-BE50-4208-B77F-A431045FA47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adulojumiriam@gmail.com</dc:creator>
  <cp:lastModifiedBy>adulojumiriam@gmail.com</cp:lastModifiedBy>
  <dcterms:created xsi:type="dcterms:W3CDTF">2026-05-30T06:23:46Z</dcterms:created>
  <dcterms:modified xsi:type="dcterms:W3CDTF">2026-05-30T06:33:59Z</dcterms:modified>
</cp:coreProperties>
</file>